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ctrlProps/ctrlProp1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heme/themeOverride1.xml" ContentType="application/vnd.openxmlformats-officedocument.themeOverride+xml"/>
  <Override PartName="/xl/comments1.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updateLinks="never" codeName="ThisWorkbook" defaultThemeVersion="124226"/>
  <mc:AlternateContent xmlns:mc="http://schemas.openxmlformats.org/markup-compatibility/2006">
    <mc:Choice Requires="x15">
      <x15ac:absPath xmlns:x15ac="http://schemas.microsoft.com/office/spreadsheetml/2010/11/ac" url="https://arcticsheetmetal-my.sharepoint.com/personal/jareneells_arctic_biz/Documents/"/>
    </mc:Choice>
  </mc:AlternateContent>
  <xr:revisionPtr revIDLastSave="5" documentId="8_{CFFB2A97-C611-462B-B7F3-F30A339DABAC}" xr6:coauthVersionLast="47" xr6:coauthVersionMax="47" xr10:uidLastSave="{AC3E60FE-3BB6-401C-A484-99F86C7B9C65}"/>
  <bookViews>
    <workbookView xWindow="38280" yWindow="-120" windowWidth="29040" windowHeight="15720" firstSheet="5" activeTab="12" xr2:uid="{B69F867A-B633-42F0-B90C-05DDD06492A5}"/>
  </bookViews>
  <sheets>
    <sheet name="Macros" sheetId="10" state="veryHidden" r:id="rId1"/>
    <sheet name="Job Ticket" sheetId="12" r:id="rId2"/>
    <sheet name="Proposal" sheetId="9" r:id="rId3"/>
    <sheet name="CP" sheetId="4" r:id="rId4"/>
    <sheet name="CP Backup" sheetId="5" r:id="rId5"/>
    <sheet name="Plumb Takeoff" sheetId="21" r:id="rId6"/>
    <sheet name="Pipe Takeoff" sheetId="19" r:id="rId7"/>
    <sheet name="SM Takeoff" sheetId="8" r:id="rId8"/>
    <sheet name="Inventory Takeoff" sheetId="15" r:id="rId9"/>
    <sheet name="Crew Mix" sheetId="6" r:id="rId10"/>
    <sheet name="Labor Rates" sheetId="23" r:id="rId11"/>
    <sheet name="Booking" sheetId="13" r:id="rId12"/>
    <sheet name="Labor Burden Generator" sheetId="22" r:id="rId13"/>
    <sheet name="FAB EST Export" sheetId="16" state="veryHidden" r:id="rId14"/>
    <sheet name="INV Export" sheetId="17" state="veryHidden" r:id="rId15"/>
  </sheets>
  <externalReferences>
    <externalReference r:id="rId16"/>
  </externalReferences>
  <definedNames>
    <definedName name="_xlnm._FilterDatabase" localSheetId="4" hidden="1">'CP Backup'!$B$23:$D$125</definedName>
    <definedName name="_xlnm._FilterDatabase" localSheetId="8" hidden="1">'Inventory Takeoff'!$A$5:$J$967</definedName>
    <definedName name="_xleta.SHEET" hidden="1" xlm="1">#NAME?</definedName>
    <definedName name="Bond" localSheetId="0">[1]Bond!$E$9</definedName>
    <definedName name="Bond_Req" localSheetId="0">'[1]MCAA RECAP'!$K$61</definedName>
    <definedName name="Booking_Type" localSheetId="0">'[1]Booking Report'!$B$16</definedName>
    <definedName name="CAE_Field_Hours_Total" localSheetId="0">'[1]SM Import'!$H$7</definedName>
    <definedName name="CAE_Material_Cost_Total" localSheetId="0">'[1]SM Import'!$K$7</definedName>
    <definedName name="CAE_Pipe_Field_Hours_Total" localSheetId="0">'[1]Pipe Import'!$D$7</definedName>
    <definedName name="CAE_Pipe_Material_Cost_Total" localSheetId="0">'[1]Pipe Import'!$E$7</definedName>
    <definedName name="CAE_Shop_Hours_Total" localSheetId="0">'[1]SM Import'!$J$7</definedName>
    <definedName name="Certified_Payrole" localSheetId="0">'[1]Booking Report'!$C$10</definedName>
    <definedName name="Codes_GC" localSheetId="0">'[1]Phase Codes'!$B$4:$B$102</definedName>
    <definedName name="Codes_Subcontractor" localSheetId="0">'[1]Phase Codes'!$H$4:$H$102</definedName>
    <definedName name="CrewRate_Pipe_StraightTime" localSheetId="0">'[1]Crew Mix'!$J$122</definedName>
    <definedName name="CrewRate_Plumb_StraightTime" localSheetId="0">'[1]Crew Mix'!$J$102</definedName>
    <definedName name="CrewRate_SMField" localSheetId="0">'[1]MCAA RECAP'!$G$23</definedName>
    <definedName name="CrewRate_SMField_Overtime" localSheetId="0">'[1]Crew Mix'!$J$42</definedName>
    <definedName name="CrewRate_SMField_Straight" localSheetId="0">'[1]Crew Mix'!$J$22</definedName>
    <definedName name="CrewRate_SMShop" localSheetId="0">'[1]MCAA RECAP'!$H$24</definedName>
    <definedName name="CrewRate_SMShop_Straight" localSheetId="0">'[1]Crew Mix'!$J$82</definedName>
    <definedName name="Info_Address" localSheetId="0">'[1]Booking Report'!$C$5</definedName>
    <definedName name="Info_City" localSheetId="0">'[1]Booking Report'!$C$6</definedName>
    <definedName name="Info_Job_Name" localSheetId="0">'[1]MCAA RECAP'!$H$6</definedName>
    <definedName name="Info_Job_Number" localSheetId="0">'[1]Booking Report'!$F$2</definedName>
    <definedName name="Info_Location" localSheetId="0">'[1]MCAA RECAP'!$H$7</definedName>
    <definedName name="Info_Market_Recovery" localSheetId="0">'[1]MCAA RECAP'!$H$59</definedName>
    <definedName name="Info_Schedule_End_Date" localSheetId="0">'[1]Crew Mix'!$J$7</definedName>
    <definedName name="Info_Schedule_Start_Date" localSheetId="0">'[1]Crew Mix'!$J$5</definedName>
    <definedName name="Info_State" localSheetId="0">'[1]Booking Report'!$D$6</definedName>
    <definedName name="Info_Total_Bid" localSheetId="0">'[1]MCAA RECAP'!$H$64</definedName>
    <definedName name="Info_Zip" localSheetId="0">'[1]Booking Report'!$E$6</definedName>
    <definedName name="OCIP_Deduct" localSheetId="0">'[1]Crew Mix'!$O$27</definedName>
    <definedName name="OCIP_Deduct_Total" localSheetId="0">[1]OCIP!$O$173</definedName>
    <definedName name="OCIP_Req" localSheetId="0">'[1]MCAA RECAP'!$K$26</definedName>
    <definedName name="Pay_Type_Selection">'CP Backup'!$J$36</definedName>
    <definedName name="PipeImport_CalcFieldHours" localSheetId="0">'[1]Pipe Import'!$D$9:$D$122</definedName>
    <definedName name="PipeImport_MaterialCost" localSheetId="0">'[1]Pipe Import'!$E$9:$E$122</definedName>
    <definedName name="PipeImport_Type" localSheetId="0">'[1]Pipe Import'!$B$9:$B$122</definedName>
    <definedName name="Piping_Field_Labor" localSheetId="0">'[1]Piping Sheets'!$H$7</definedName>
    <definedName name="Piping_Shop_Labor" localSheetId="0">'[1]Piping Sheets'!$K$7</definedName>
    <definedName name="Plumbing_Field_Labor" localSheetId="0">'[1]Plumbing Sheets'!$H$7</definedName>
    <definedName name="Plumbing_Shop_Labor" localSheetId="0">'[1]Plumbing Sheets'!$K$7</definedName>
    <definedName name="_xlnm.Print_Area" localSheetId="11">Booking!$A$1:$L$37</definedName>
    <definedName name="_xlnm.Print_Area" localSheetId="3">CP!$A$1:$F$94</definedName>
    <definedName name="_xlnm.Print_Area" localSheetId="4">'CP Backup'!$A$1:$F$125</definedName>
    <definedName name="_xlnm.Print_Area" localSheetId="9">'Crew Mix'!$A$1:$I$78</definedName>
    <definedName name="_xlnm.Print_Area" localSheetId="1">'Job Ticket'!$A$1:$H$40</definedName>
    <definedName name="_xlnm.Print_Area" localSheetId="10">'Labor Rates'!$A$1:$G$78</definedName>
    <definedName name="_xlnm.Print_Area" localSheetId="6">'Pipe Takeoff'!$A$1:$H$93</definedName>
    <definedName name="_xlnm.Print_Area" localSheetId="5">'Plumb Takeoff'!$A$1:$H$93</definedName>
    <definedName name="_xlnm.Print_Area" localSheetId="2">Proposal!$A$1:$T$64</definedName>
    <definedName name="_xlnm.Print_Area" localSheetId="7">'SM Takeoff'!$A$1:$J$93</definedName>
    <definedName name="_xlnm.Print_Titles" localSheetId="8">'Inventory Takeoff'!$1:$5</definedName>
    <definedName name="QP_Import_Field_Hours" localSheetId="0">OFFSET([1]Pivot!#REF!,0,0,COUNT([1]Pivot!#REF!)+1,1)</definedName>
    <definedName name="QP_Import_Material_Cost" localSheetId="0">OFFSET([1]Pivot!#REF!,0,0,COUNT([1]Pivot!#REF!),1)</definedName>
    <definedName name="QP_Quantity_Import" localSheetId="0">OFFSET([1]Pivot!#REF!,0,0,COUNT([1]Pivot!#REF!)+1,1)</definedName>
    <definedName name="QP_Shop_Import_Hours" localSheetId="0">OFFSET([1]Pivot!#REF!,0,0,COUNT([1]Pivot!#REF!)+4,1)</definedName>
    <definedName name="QP_SM_Audit_Trail" localSheetId="0">OFFSET('[1]QP SM Audit Trail'!$A$1,0,0,COUNTA('[1]QP SM Audit Trail'!$K:$K)+1,COUNTA('[1]QP SM Audit Trail'!$1:$1))</definedName>
    <definedName name="Schedule_Type" localSheetId="0">'[1]MCAA RECAP'!$K$25</definedName>
    <definedName name="SM_Field_Labor" localSheetId="0">'[1]SM Sheets'!$H$7</definedName>
    <definedName name="SM_Material" localSheetId="0">'[1]SM Sheets'!$M$7</definedName>
    <definedName name="SM_Shop_Labor" localSheetId="0">'[1]SM Sheets'!$K$7</definedName>
    <definedName name="SMAuditTrail" localSheetId="0">OFFSET('[1]SM Audit Trail'!$A$1,0,0,COUNTA('[1]SM Audit Trail'!$H:$H)+1,COUNTA('[1]SM Audit Trail'!$1:$1))</definedName>
    <definedName name="SMImport_CalcFieldHours" localSheetId="0">'[1]SM Import'!$H$9:$H$66</definedName>
    <definedName name="SMImport_CalcShopHours" localSheetId="0">'[1]SM Import'!$J$9:$J$66</definedName>
    <definedName name="SMImport_CutType" localSheetId="0">'[1]SM Import'!$E$9:$E$66</definedName>
    <definedName name="SMImport_Material" localSheetId="0">'[1]SM Import'!$D$9:$D$66</definedName>
    <definedName name="SMImport_MaterialCost" localSheetId="0">'[1]SM Import'!$K$9:$K$66</definedName>
    <definedName name="SMImport_Qty" localSheetId="0">'[1]SM Import'!$F$9:$F$66</definedName>
    <definedName name="SMImport_Type" localSheetId="0">'[1]SM Import'!$C$9:$C$66</definedName>
    <definedName name="Takeoff_Pipe_FieldLabor" localSheetId="6">'Pipe Takeoff'!$D:$D</definedName>
    <definedName name="Takeoff_Pipe_FieldOvertime" localSheetId="6">'Pipe Takeoff'!$I:$I</definedName>
    <definedName name="Takeoff_Plumb_FieldLabor" localSheetId="5">'Plumb Takeoff'!$D:$D</definedName>
    <definedName name="Takeoff_Plumb_FieldOvertime" localSheetId="5">'Plumb Takeoff'!$I:$I</definedName>
    <definedName name="Takeoff_ShopLabor">'SM Takeoff'!$F:$F</definedName>
    <definedName name="Takeoff_SM_FieldLabor">'SM Takeoff'!$D:$D</definedName>
    <definedName name="Takeoff_SM_FieldOvertime">'SM Takeoff'!$K:$K</definedName>
    <definedName name="Total_PipeField_StraightTime" localSheetId="0">'[1]Crew Mix'!$D$107</definedName>
    <definedName name="Total_PlumbField_StraightTime" localSheetId="0">'[1]Crew Mix'!$D$87</definedName>
    <definedName name="Total_SMField_StraightTime" localSheetId="0">'[1]Crew Mix'!$D$7</definedName>
    <definedName name="Total_SMShop_StraightTime" localSheetId="0">'[1]Crew Mix'!$D$67</definedName>
    <definedName name="wrn.Estimate." localSheetId="3" hidden="1">{#N/A,#N/A,TRUE,"Admin";#N/A,#N/A,TRUE,"Summary";#N/A,#N/A,TRUE,"Fab &amp; Install";#N/A,#N/A,TRUE,"Miscl Lbr";#N/A,#N/A,TRUE,"Equip";#N/A,#N/A,TRUE,"SubCon";#N/A,#N/A,TRUE,"ODC"}</definedName>
    <definedName name="wrn.Estimate." localSheetId="4" hidden="1">{#N/A,#N/A,TRUE,"Admin";#N/A,#N/A,TRUE,"Summary";#N/A,#N/A,TRUE,"Fab &amp; Install";#N/A,#N/A,TRUE,"Miscl Lbr";#N/A,#N/A,TRUE,"Equip";#N/A,#N/A,TRUE,"SubCon";#N/A,#N/A,TRUE,"ODC"}</definedName>
    <definedName name="wrn.Estimate." localSheetId="0" hidden="1">{#N/A,#N/A,TRUE,"Admin";#N/A,#N/A,TRUE,"Summary";#N/A,#N/A,TRUE,"Fab &amp; Install";#N/A,#N/A,TRUE,"Miscl Lbr";#N/A,#N/A,TRUE,"Equip";#N/A,#N/A,TRUE,"SubCon";#N/A,#N/A,TRUE,"ODC"}</definedName>
    <definedName name="wrn.Estimate." localSheetId="2" hidden="1">{#N/A,#N/A,TRUE,"Admin";#N/A,#N/A,TRUE,"Summary";#N/A,#N/A,TRUE,"Fab &amp; Install";#N/A,#N/A,TRUE,"Miscl Lbr";#N/A,#N/A,TRUE,"Equip";#N/A,#N/A,TRUE,"SubCon";#N/A,#N/A,TRUE,"ODC"}</definedName>
    <definedName name="wrn.Estimate." hidden="1">{#N/A,#N/A,TRUE,"Admin";#N/A,#N/A,TRUE,"Summary";#N/A,#N/A,TRUE,"Fab &amp; Install";#N/A,#N/A,TRUE,"Miscl Lbr";#N/A,#N/A,TRUE,"Equip";#N/A,#N/A,TRUE,"SubCon";#N/A,#N/A,TRUE,"ODC"}</definedName>
    <definedName name="wrnwhat" localSheetId="0" hidden="1">{#N/A,#N/A,TRUE,"Admin";#N/A,#N/A,TRUE,"Summary";#N/A,#N/A,TRUE,"Fab &amp; Install";#N/A,#N/A,TRUE,"Miscl Lbr";#N/A,#N/A,TRUE,"Equip";#N/A,#N/A,TRUE,"SubCon";#N/A,#N/A,TRUE,"ODC"}</definedName>
    <definedName name="wrnwhat" localSheetId="2" hidden="1">{#N/A,#N/A,TRUE,"Admin";#N/A,#N/A,TRUE,"Summary";#N/A,#N/A,TRUE,"Fab &amp; Install";#N/A,#N/A,TRUE,"Miscl Lbr";#N/A,#N/A,TRUE,"Equip";#N/A,#N/A,TRUE,"SubCon";#N/A,#N/A,TRUE,"ODC"}</definedName>
    <definedName name="wrnwhat" hidden="1">{#N/A,#N/A,TRUE,"Admin";#N/A,#N/A,TRUE,"Summary";#N/A,#N/A,TRUE,"Fab &amp; Install";#N/A,#N/A,TRUE,"Miscl Lbr";#N/A,#N/A,TRUE,"Equip";#N/A,#N/A,TRUE,"SubCon";#N/A,#N/A,TRUE,"ODC"}</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2" i="6" l="1"/>
  <c r="E42" i="6"/>
  <c r="G2" i="6"/>
  <c r="G22" i="6" s="1"/>
  <c r="E2" i="6"/>
  <c r="E22" i="6" s="1"/>
  <c r="E48" i="23"/>
  <c r="E47" i="23"/>
  <c r="E46" i="23"/>
  <c r="E45" i="23"/>
  <c r="E8" i="23"/>
  <c r="E7" i="23"/>
  <c r="E6" i="23"/>
  <c r="E5" i="23"/>
  <c r="C18" i="23"/>
  <c r="C17" i="23"/>
  <c r="C16" i="23"/>
  <c r="C15" i="23"/>
  <c r="C13" i="23"/>
  <c r="C12" i="23"/>
  <c r="C11" i="23"/>
  <c r="C10" i="23"/>
  <c r="J64" i="23"/>
  <c r="J65" i="23"/>
  <c r="J66" i="23"/>
  <c r="J67" i="23"/>
  <c r="J68" i="23"/>
  <c r="J69" i="23"/>
  <c r="J70" i="23"/>
  <c r="J71" i="23"/>
  <c r="J24" i="23"/>
  <c r="J25" i="23"/>
  <c r="J26" i="23"/>
  <c r="J27" i="23"/>
  <c r="J28" i="23"/>
  <c r="J29" i="23"/>
  <c r="J30" i="23"/>
  <c r="J31" i="23"/>
  <c r="M67" i="23"/>
  <c r="C123" i="5"/>
  <c r="L9" i="9"/>
  <c r="C7" i="9"/>
  <c r="F13" i="9"/>
  <c r="B7" i="4"/>
  <c r="E7" i="4"/>
  <c r="E6" i="4"/>
  <c r="U90" i="5"/>
  <c r="U88" i="5"/>
  <c r="U86" i="5"/>
  <c r="U50" i="5"/>
  <c r="U52" i="5"/>
  <c r="U54" i="5"/>
  <c r="U56" i="5"/>
  <c r="U58" i="5"/>
  <c r="U60" i="5"/>
  <c r="U62" i="5"/>
  <c r="U64" i="5"/>
  <c r="U66" i="5"/>
  <c r="U68" i="5"/>
  <c r="U70" i="5"/>
  <c r="U72" i="5"/>
  <c r="U74" i="5"/>
  <c r="U76" i="5"/>
  <c r="U78" i="5"/>
  <c r="U80" i="5"/>
  <c r="U82" i="5"/>
  <c r="U84" i="5"/>
  <c r="U48" i="5"/>
  <c r="G6" i="13"/>
  <c r="G4" i="13"/>
  <c r="B7" i="13"/>
  <c r="B6" i="13"/>
  <c r="B5" i="13"/>
  <c r="B4" i="13"/>
  <c r="F5" i="4"/>
  <c r="B6" i="4"/>
  <c r="B5" i="4"/>
  <c r="B4" i="4"/>
  <c r="B33" i="12"/>
  <c r="B32" i="12"/>
  <c r="B31" i="12"/>
  <c r="B30" i="12"/>
  <c r="B29" i="12"/>
  <c r="B28" i="12"/>
  <c r="E18" i="23" l="1"/>
  <c r="E17" i="23"/>
  <c r="E16" i="23"/>
  <c r="E15" i="23"/>
  <c r="G15" i="6" s="1"/>
  <c r="E13" i="23"/>
  <c r="E12" i="23"/>
  <c r="E11" i="23"/>
  <c r="E10" i="23"/>
  <c r="D78" i="6"/>
  <c r="D77" i="6"/>
  <c r="D76" i="6"/>
  <c r="D75" i="6"/>
  <c r="D73" i="6"/>
  <c r="D72" i="6"/>
  <c r="D71" i="6"/>
  <c r="D70" i="6"/>
  <c r="D68" i="6"/>
  <c r="D67" i="6"/>
  <c r="D66" i="6"/>
  <c r="D65" i="6"/>
  <c r="D58" i="6"/>
  <c r="D57" i="6"/>
  <c r="D56" i="6"/>
  <c r="D55" i="6"/>
  <c r="D53" i="6"/>
  <c r="D52" i="6"/>
  <c r="D51" i="6"/>
  <c r="D50" i="6"/>
  <c r="F48" i="6"/>
  <c r="E48" i="6"/>
  <c r="D48" i="6"/>
  <c r="F47" i="6"/>
  <c r="E47" i="6"/>
  <c r="D47" i="6"/>
  <c r="F46" i="6"/>
  <c r="E46" i="6"/>
  <c r="D46" i="6"/>
  <c r="F45" i="6"/>
  <c r="E45" i="6"/>
  <c r="D45" i="6"/>
  <c r="D15" i="6"/>
  <c r="D16" i="6"/>
  <c r="D17" i="6"/>
  <c r="D18" i="6"/>
  <c r="D10" i="6"/>
  <c r="D11" i="6"/>
  <c r="E11" i="6"/>
  <c r="D12" i="6"/>
  <c r="D13" i="6"/>
  <c r="D5" i="6"/>
  <c r="E5" i="6"/>
  <c r="F5" i="6"/>
  <c r="D6" i="6"/>
  <c r="E6" i="6"/>
  <c r="F6" i="6"/>
  <c r="D7" i="6"/>
  <c r="E7" i="6"/>
  <c r="F7" i="6"/>
  <c r="D8" i="6"/>
  <c r="E8" i="6"/>
  <c r="F8" i="6"/>
  <c r="J72" i="23"/>
  <c r="D68" i="23"/>
  <c r="D78" i="23" s="1"/>
  <c r="F78" i="6" s="1"/>
  <c r="C68" i="23"/>
  <c r="D67" i="23"/>
  <c r="D77" i="23" s="1"/>
  <c r="F77" i="6" s="1"/>
  <c r="C67" i="23"/>
  <c r="D66" i="23"/>
  <c r="D76" i="23" s="1"/>
  <c r="F76" i="6" s="1"/>
  <c r="C66" i="23"/>
  <c r="D65" i="23"/>
  <c r="D70" i="23" s="1"/>
  <c r="F70" i="6" s="1"/>
  <c r="C65" i="23"/>
  <c r="M64" i="23"/>
  <c r="E62" i="23"/>
  <c r="C62" i="23"/>
  <c r="D58" i="23"/>
  <c r="F58" i="6" s="1"/>
  <c r="C58" i="23"/>
  <c r="D57" i="23"/>
  <c r="F57" i="6" s="1"/>
  <c r="C57" i="23"/>
  <c r="E57" i="23" s="1"/>
  <c r="G57" i="6" s="1"/>
  <c r="D56" i="23"/>
  <c r="F56" i="6" s="1"/>
  <c r="C56" i="23"/>
  <c r="D55" i="23"/>
  <c r="F55" i="6" s="1"/>
  <c r="C55" i="23"/>
  <c r="D53" i="23"/>
  <c r="F53" i="6" s="1"/>
  <c r="C53" i="23"/>
  <c r="J52" i="23"/>
  <c r="D52" i="23"/>
  <c r="F52" i="6" s="1"/>
  <c r="C52" i="23"/>
  <c r="E52" i="23" s="1"/>
  <c r="G52" i="6" s="1"/>
  <c r="D51" i="23"/>
  <c r="F51" i="6" s="1"/>
  <c r="C51" i="23"/>
  <c r="E51" i="23" s="1"/>
  <c r="D50" i="23"/>
  <c r="C50" i="23"/>
  <c r="G48" i="6"/>
  <c r="G46" i="6"/>
  <c r="G45" i="6"/>
  <c r="M44" i="23"/>
  <c r="B38" i="23"/>
  <c r="B37" i="23"/>
  <c r="B36" i="23"/>
  <c r="B35" i="23"/>
  <c r="B33" i="23"/>
  <c r="J32" i="23"/>
  <c r="B32" i="23"/>
  <c r="B31" i="23"/>
  <c r="B30" i="23"/>
  <c r="D28" i="23"/>
  <c r="F28" i="6" s="1"/>
  <c r="C28" i="23"/>
  <c r="B28" i="23"/>
  <c r="M27" i="23"/>
  <c r="D27" i="23"/>
  <c r="C27" i="23"/>
  <c r="E27" i="23" s="1"/>
  <c r="B27" i="23"/>
  <c r="D26" i="23"/>
  <c r="C26" i="23"/>
  <c r="B26" i="23"/>
  <c r="D25" i="23"/>
  <c r="C25" i="23"/>
  <c r="E25" i="23" s="1"/>
  <c r="B25" i="23"/>
  <c r="M24" i="23"/>
  <c r="E22" i="23"/>
  <c r="C22" i="23"/>
  <c r="D18" i="23"/>
  <c r="D38" i="23" s="1"/>
  <c r="E18" i="6"/>
  <c r="D17" i="23"/>
  <c r="D37" i="23" s="1"/>
  <c r="C37" i="23"/>
  <c r="D16" i="23"/>
  <c r="D36" i="23" s="1"/>
  <c r="D15" i="23"/>
  <c r="D35" i="23" s="1"/>
  <c r="F35" i="6" s="1"/>
  <c r="D13" i="23"/>
  <c r="D33" i="23" s="1"/>
  <c r="C33" i="23"/>
  <c r="E33" i="23" s="1"/>
  <c r="J12" i="23"/>
  <c r="H116" i="5" s="1"/>
  <c r="H115" i="5" s="1"/>
  <c r="D12" i="23"/>
  <c r="D32" i="23" s="1"/>
  <c r="F32" i="6" s="1"/>
  <c r="D11" i="23"/>
  <c r="D10" i="23"/>
  <c r="D30" i="23" s="1"/>
  <c r="F30" i="6" s="1"/>
  <c r="E10" i="6"/>
  <c r="G7" i="6"/>
  <c r="G6" i="6"/>
  <c r="F6" i="22"/>
  <c r="D4" i="22"/>
  <c r="D5" i="22"/>
  <c r="D6" i="22"/>
  <c r="D7" i="22"/>
  <c r="D3" i="22"/>
  <c r="J4" i="22"/>
  <c r="J5" i="22"/>
  <c r="J6" i="22"/>
  <c r="J7" i="22"/>
  <c r="J3" i="22"/>
  <c r="K5" i="22"/>
  <c r="L5" i="22"/>
  <c r="E62" i="6"/>
  <c r="G62" i="6"/>
  <c r="B63" i="6"/>
  <c r="B65" i="6"/>
  <c r="B66" i="6"/>
  <c r="B67" i="6"/>
  <c r="B68" i="6"/>
  <c r="C70" i="6"/>
  <c r="C75" i="6" s="1"/>
  <c r="B75" i="6" s="1"/>
  <c r="J75" i="6" s="1"/>
  <c r="C71" i="6"/>
  <c r="C76" i="6" s="1"/>
  <c r="C72" i="6"/>
  <c r="C73" i="6"/>
  <c r="C78" i="6" s="1"/>
  <c r="E58" i="6" l="1"/>
  <c r="E58" i="23"/>
  <c r="E56" i="6"/>
  <c r="E56" i="23"/>
  <c r="G56" i="6" s="1"/>
  <c r="E55" i="6"/>
  <c r="E55" i="23"/>
  <c r="E53" i="6"/>
  <c r="E53" i="23"/>
  <c r="E50" i="6"/>
  <c r="E50" i="23"/>
  <c r="E28" i="6"/>
  <c r="E28" i="23"/>
  <c r="E26" i="6"/>
  <c r="E26" i="23"/>
  <c r="E37" i="6"/>
  <c r="E37" i="23"/>
  <c r="C78" i="23"/>
  <c r="E68" i="23"/>
  <c r="G68" i="6" s="1"/>
  <c r="C77" i="23"/>
  <c r="E67" i="23"/>
  <c r="C76" i="23"/>
  <c r="E66" i="23"/>
  <c r="C70" i="23"/>
  <c r="E65" i="23"/>
  <c r="E51" i="6"/>
  <c r="G47" i="6"/>
  <c r="F38" i="6"/>
  <c r="F37" i="6"/>
  <c r="F36" i="6"/>
  <c r="D35" i="6"/>
  <c r="F33" i="6"/>
  <c r="D32" i="6"/>
  <c r="D30" i="6"/>
  <c r="F27" i="6"/>
  <c r="F26" i="6"/>
  <c r="F25" i="6"/>
  <c r="D25" i="6"/>
  <c r="F50" i="6"/>
  <c r="D38" i="6"/>
  <c r="D37" i="6"/>
  <c r="D36" i="6"/>
  <c r="D33" i="6"/>
  <c r="D31" i="6"/>
  <c r="D28" i="6"/>
  <c r="D27" i="6"/>
  <c r="D26" i="6"/>
  <c r="E25" i="6"/>
  <c r="F16" i="6"/>
  <c r="F11" i="6"/>
  <c r="F12" i="6"/>
  <c r="G11" i="6"/>
  <c r="E33" i="6"/>
  <c r="E13" i="6"/>
  <c r="G8" i="6"/>
  <c r="E27" i="6"/>
  <c r="G12" i="6"/>
  <c r="E12" i="6"/>
  <c r="E16" i="6"/>
  <c r="G5" i="6"/>
  <c r="E57" i="6"/>
  <c r="E52" i="6"/>
  <c r="E65" i="6"/>
  <c r="F13" i="6"/>
  <c r="F18" i="6"/>
  <c r="F17" i="6"/>
  <c r="E17" i="6"/>
  <c r="F15" i="6"/>
  <c r="F10" i="6"/>
  <c r="E15" i="6"/>
  <c r="F65" i="6"/>
  <c r="E67" i="6"/>
  <c r="J63" i="6" s="1"/>
  <c r="V88" i="5"/>
  <c r="V90" i="5"/>
  <c r="V86" i="5"/>
  <c r="X88" i="5"/>
  <c r="X86" i="5"/>
  <c r="X90" i="5"/>
  <c r="W88" i="5"/>
  <c r="W90" i="5"/>
  <c r="W86" i="5"/>
  <c r="F67" i="6"/>
  <c r="E68" i="6"/>
  <c r="F68" i="6"/>
  <c r="E66" i="6"/>
  <c r="F66" i="6"/>
  <c r="B72" i="6"/>
  <c r="F46" i="23"/>
  <c r="G46" i="23" s="1"/>
  <c r="I46" i="6" s="1"/>
  <c r="C71" i="23"/>
  <c r="E71" i="23" s="1"/>
  <c r="C72" i="23"/>
  <c r="D72" i="23"/>
  <c r="F72" i="6" s="1"/>
  <c r="C73" i="23"/>
  <c r="E73" i="23" s="1"/>
  <c r="C31" i="23"/>
  <c r="E31" i="23" s="1"/>
  <c r="D73" i="23"/>
  <c r="F45" i="23"/>
  <c r="G13" i="6"/>
  <c r="C75" i="23"/>
  <c r="E75" i="23" s="1"/>
  <c r="D75" i="23"/>
  <c r="F75" i="6" s="1"/>
  <c r="F8" i="23"/>
  <c r="G33" i="6"/>
  <c r="F33" i="23"/>
  <c r="F47" i="23"/>
  <c r="D71" i="23"/>
  <c r="F71" i="6" s="1"/>
  <c r="C30" i="23"/>
  <c r="G18" i="6"/>
  <c r="F11" i="23"/>
  <c r="F15" i="23"/>
  <c r="F48" i="23"/>
  <c r="G51" i="6"/>
  <c r="F6" i="23"/>
  <c r="G27" i="6"/>
  <c r="F27" i="23"/>
  <c r="F7" i="23"/>
  <c r="F57" i="23"/>
  <c r="C38" i="23"/>
  <c r="C32" i="23"/>
  <c r="D31" i="23"/>
  <c r="F31" i="6" s="1"/>
  <c r="F52" i="23"/>
  <c r="C35" i="23"/>
  <c r="F12" i="23"/>
  <c r="F5" i="23"/>
  <c r="C36" i="23"/>
  <c r="J8" i="22"/>
  <c r="J10" i="22" s="1"/>
  <c r="J11" i="22" s="1"/>
  <c r="D8" i="22"/>
  <c r="D10" i="22" s="1"/>
  <c r="D11" i="22" s="1"/>
  <c r="C77" i="6"/>
  <c r="B73" i="6"/>
  <c r="B71" i="6"/>
  <c r="B70" i="6"/>
  <c r="G26" i="6" l="1"/>
  <c r="F26" i="23"/>
  <c r="E30" i="6"/>
  <c r="E30" i="23"/>
  <c r="E38" i="6"/>
  <c r="E38" i="23"/>
  <c r="G38" i="6" s="1"/>
  <c r="E32" i="6"/>
  <c r="E32" i="23"/>
  <c r="G32" i="6" s="1"/>
  <c r="E35" i="6"/>
  <c r="E35" i="23"/>
  <c r="E36" i="6"/>
  <c r="E36" i="23"/>
  <c r="B76" i="6"/>
  <c r="J76" i="6" s="1"/>
  <c r="B77" i="6"/>
  <c r="J77" i="6" s="1"/>
  <c r="B78" i="6"/>
  <c r="J78" i="6" s="1"/>
  <c r="E78" i="23"/>
  <c r="E78" i="6"/>
  <c r="E77" i="23"/>
  <c r="E77" i="6"/>
  <c r="E76" i="23"/>
  <c r="E76" i="6"/>
  <c r="E70" i="23"/>
  <c r="E70" i="6"/>
  <c r="E72" i="6"/>
  <c r="E72" i="23"/>
  <c r="K63" i="6"/>
  <c r="L63" i="6"/>
  <c r="F13" i="23"/>
  <c r="G31" i="6"/>
  <c r="E31" i="6"/>
  <c r="F17" i="23"/>
  <c r="G17" i="6"/>
  <c r="F25" i="23"/>
  <c r="G25" i="6"/>
  <c r="F28" i="23"/>
  <c r="H28" i="6" s="1"/>
  <c r="G28" i="6"/>
  <c r="F16" i="23"/>
  <c r="H16" i="6" s="1"/>
  <c r="G16" i="6"/>
  <c r="F37" i="23"/>
  <c r="G37" i="23" s="1"/>
  <c r="I37" i="6" s="1"/>
  <c r="G37" i="6"/>
  <c r="F10" i="23"/>
  <c r="H10" i="6" s="1"/>
  <c r="G10" i="6"/>
  <c r="R11" i="13"/>
  <c r="H19" i="13" s="1"/>
  <c r="F58" i="23"/>
  <c r="G58" i="23" s="1"/>
  <c r="I58" i="6" s="1"/>
  <c r="X82" i="5"/>
  <c r="G58" i="6"/>
  <c r="F50" i="23"/>
  <c r="G50" i="23" s="1"/>
  <c r="I50" i="6" s="1"/>
  <c r="W80" i="5"/>
  <c r="W84" i="5"/>
  <c r="G50" i="6"/>
  <c r="F55" i="23"/>
  <c r="G55" i="23" s="1"/>
  <c r="I55" i="6" s="1"/>
  <c r="X84" i="5"/>
  <c r="X80" i="5"/>
  <c r="G55" i="6"/>
  <c r="W82" i="5"/>
  <c r="G53" i="6"/>
  <c r="G75" i="6"/>
  <c r="E75" i="6"/>
  <c r="F66" i="23"/>
  <c r="G66" i="23" s="1"/>
  <c r="I66" i="6" s="1"/>
  <c r="G66" i="6"/>
  <c r="F65" i="23"/>
  <c r="G65" i="23" s="1"/>
  <c r="I65" i="6" s="1"/>
  <c r="G65" i="6"/>
  <c r="F73" i="6"/>
  <c r="G73" i="6"/>
  <c r="E73" i="6"/>
  <c r="G71" i="6"/>
  <c r="E71" i="6"/>
  <c r="F67" i="23"/>
  <c r="H67" i="6" s="1"/>
  <c r="G67" i="6"/>
  <c r="H27" i="6"/>
  <c r="H55" i="6"/>
  <c r="H46" i="6"/>
  <c r="H33" i="6"/>
  <c r="G47" i="23"/>
  <c r="I47" i="6" s="1"/>
  <c r="H47" i="6"/>
  <c r="G45" i="23"/>
  <c r="I45" i="6" s="1"/>
  <c r="H45" i="6"/>
  <c r="G52" i="23"/>
  <c r="I52" i="6" s="1"/>
  <c r="H52" i="6"/>
  <c r="G57" i="23"/>
  <c r="I57" i="6" s="1"/>
  <c r="H57" i="6"/>
  <c r="G48" i="23"/>
  <c r="I48" i="6" s="1"/>
  <c r="H48" i="6"/>
  <c r="G6" i="23"/>
  <c r="I6" i="6" s="1"/>
  <c r="H6" i="6"/>
  <c r="G8" i="23"/>
  <c r="I8" i="6" s="1"/>
  <c r="H8" i="6"/>
  <c r="G17" i="23"/>
  <c r="I17" i="6" s="1"/>
  <c r="H17" i="6"/>
  <c r="G5" i="23"/>
  <c r="I5" i="6" s="1"/>
  <c r="H5" i="6"/>
  <c r="G12" i="23"/>
  <c r="I12" i="6" s="1"/>
  <c r="H12" i="6"/>
  <c r="G15" i="23"/>
  <c r="I15" i="6" s="1"/>
  <c r="H15" i="6"/>
  <c r="G11" i="23"/>
  <c r="I11" i="6" s="1"/>
  <c r="H11" i="6"/>
  <c r="G13" i="23"/>
  <c r="I13" i="6" s="1"/>
  <c r="H13" i="6"/>
  <c r="G7" i="23"/>
  <c r="I7" i="6" s="1"/>
  <c r="H7" i="6"/>
  <c r="F31" i="23"/>
  <c r="G27" i="23"/>
  <c r="I27" i="6" s="1"/>
  <c r="F51" i="23"/>
  <c r="G33" i="23"/>
  <c r="I33" i="6" s="1"/>
  <c r="G25" i="23"/>
  <c r="I25" i="6" s="1"/>
  <c r="F56" i="23"/>
  <c r="F68" i="23"/>
  <c r="G16" i="23"/>
  <c r="I16" i="6" s="1"/>
  <c r="F53" i="23"/>
  <c r="F18" i="23"/>
  <c r="K75" i="6" l="1"/>
  <c r="G77" i="6"/>
  <c r="F77" i="23"/>
  <c r="G77" i="23" s="1"/>
  <c r="I77" i="6" s="1"/>
  <c r="G26" i="23"/>
  <c r="I26" i="6" s="1"/>
  <c r="H26" i="6"/>
  <c r="F78" i="23"/>
  <c r="G78" i="6"/>
  <c r="F76" i="23"/>
  <c r="G76" i="6"/>
  <c r="G70" i="6"/>
  <c r="F70" i="23"/>
  <c r="H25" i="6"/>
  <c r="H58" i="6"/>
  <c r="F75" i="23"/>
  <c r="G28" i="23"/>
  <c r="I28" i="6" s="1"/>
  <c r="H37" i="6"/>
  <c r="G10" i="23"/>
  <c r="I10" i="6" s="1"/>
  <c r="F35" i="23"/>
  <c r="H35" i="6" s="1"/>
  <c r="G35" i="6"/>
  <c r="F30" i="23"/>
  <c r="G30" i="23" s="1"/>
  <c r="I30" i="6" s="1"/>
  <c r="G30" i="6"/>
  <c r="F36" i="23"/>
  <c r="H36" i="6" s="1"/>
  <c r="G36" i="6"/>
  <c r="H65" i="6"/>
  <c r="H66" i="6"/>
  <c r="G67" i="23"/>
  <c r="I67" i="6" s="1"/>
  <c r="F71" i="23"/>
  <c r="H71" i="6" s="1"/>
  <c r="H50" i="6"/>
  <c r="F72" i="23"/>
  <c r="G72" i="6"/>
  <c r="H77" i="6"/>
  <c r="F73" i="23"/>
  <c r="G51" i="23"/>
  <c r="I51" i="6" s="1"/>
  <c r="H51" i="6"/>
  <c r="G56" i="23"/>
  <c r="I56" i="6" s="1"/>
  <c r="H56" i="6"/>
  <c r="G53" i="23"/>
  <c r="I53" i="6" s="1"/>
  <c r="H53" i="6"/>
  <c r="G31" i="23"/>
  <c r="I31" i="6" s="1"/>
  <c r="H31" i="6"/>
  <c r="G68" i="23"/>
  <c r="I68" i="6" s="1"/>
  <c r="H68" i="6"/>
  <c r="G18" i="23"/>
  <c r="I18" i="6" s="1"/>
  <c r="H18" i="6"/>
  <c r="F38" i="23"/>
  <c r="F32" i="23"/>
  <c r="G78" i="23" l="1"/>
  <c r="I78" i="6" s="1"/>
  <c r="H78" i="6"/>
  <c r="G76" i="23"/>
  <c r="I76" i="6" s="1"/>
  <c r="H76" i="6"/>
  <c r="G70" i="23"/>
  <c r="I70" i="6" s="1"/>
  <c r="H70" i="6"/>
  <c r="G75" i="23"/>
  <c r="I75" i="6" s="1"/>
  <c r="H75" i="6"/>
  <c r="G35" i="23"/>
  <c r="I35" i="6" s="1"/>
  <c r="H30" i="6"/>
  <c r="G71" i="23"/>
  <c r="I71" i="6" s="1"/>
  <c r="G36" i="23"/>
  <c r="I36" i="6" s="1"/>
  <c r="H73" i="6"/>
  <c r="G73" i="23"/>
  <c r="I73" i="6" s="1"/>
  <c r="H72" i="6"/>
  <c r="G72" i="23"/>
  <c r="I72" i="6" s="1"/>
  <c r="G32" i="23"/>
  <c r="I32" i="6" s="1"/>
  <c r="H32" i="6"/>
  <c r="G38" i="23"/>
  <c r="I38" i="6" s="1"/>
  <c r="H38" i="6"/>
  <c r="P11" i="13"/>
  <c r="G19" i="13" s="1"/>
  <c r="B964" i="17"/>
  <c r="D963" i="17"/>
  <c r="C963" i="17"/>
  <c r="A963" i="17"/>
  <c r="B963" i="17" s="1"/>
  <c r="D962" i="17"/>
  <c r="C962" i="17"/>
  <c r="A962" i="17"/>
  <c r="B962" i="17" s="1"/>
  <c r="D961" i="17"/>
  <c r="C961" i="17"/>
  <c r="A961" i="17"/>
  <c r="B961" i="17" s="1"/>
  <c r="D960" i="17"/>
  <c r="C960" i="17"/>
  <c r="A960" i="17"/>
  <c r="B960" i="17" s="1"/>
  <c r="D959" i="17"/>
  <c r="C959" i="17"/>
  <c r="A959" i="17"/>
  <c r="B959" i="17" s="1"/>
  <c r="D958" i="17"/>
  <c r="C958" i="17"/>
  <c r="A958" i="17"/>
  <c r="B958" i="17" s="1"/>
  <c r="D957" i="17"/>
  <c r="C957" i="17"/>
  <c r="A957" i="17"/>
  <c r="B957" i="17" s="1"/>
  <c r="D956" i="17"/>
  <c r="C956" i="17"/>
  <c r="A956" i="17"/>
  <c r="B956" i="17" s="1"/>
  <c r="D955" i="17"/>
  <c r="C955" i="17"/>
  <c r="A955" i="17"/>
  <c r="B955" i="17" s="1"/>
  <c r="D954" i="17"/>
  <c r="C954" i="17"/>
  <c r="A954" i="17"/>
  <c r="B954" i="17" s="1"/>
  <c r="D953" i="17"/>
  <c r="C953" i="17"/>
  <c r="A953" i="17"/>
  <c r="B953" i="17" s="1"/>
  <c r="D952" i="17"/>
  <c r="C952" i="17"/>
  <c r="A952" i="17"/>
  <c r="B952" i="17" s="1"/>
  <c r="D951" i="17"/>
  <c r="C951" i="17"/>
  <c r="A951" i="17"/>
  <c r="B951" i="17" s="1"/>
  <c r="D950" i="17"/>
  <c r="C950" i="17"/>
  <c r="A950" i="17"/>
  <c r="B950" i="17" s="1"/>
  <c r="D949" i="17"/>
  <c r="C949" i="17"/>
  <c r="A949" i="17"/>
  <c r="B949" i="17" s="1"/>
  <c r="D948" i="17"/>
  <c r="C948" i="17"/>
  <c r="A948" i="17"/>
  <c r="B948" i="17" s="1"/>
  <c r="D947" i="17"/>
  <c r="C947" i="17"/>
  <c r="A947" i="17"/>
  <c r="B947" i="17" s="1"/>
  <c r="D946" i="17"/>
  <c r="C946" i="17"/>
  <c r="A946" i="17"/>
  <c r="B946" i="17" s="1"/>
  <c r="D945" i="17"/>
  <c r="C945" i="17"/>
  <c r="A945" i="17"/>
  <c r="B945" i="17" s="1"/>
  <c r="D944" i="17"/>
  <c r="C944" i="17"/>
  <c r="A944" i="17"/>
  <c r="B944" i="17" s="1"/>
  <c r="D943" i="17"/>
  <c r="C943" i="17"/>
  <c r="A943" i="17"/>
  <c r="B943" i="17" s="1"/>
  <c r="D942" i="17"/>
  <c r="C942" i="17"/>
  <c r="A942" i="17"/>
  <c r="B942" i="17" s="1"/>
  <c r="D941" i="17"/>
  <c r="C941" i="17"/>
  <c r="A941" i="17"/>
  <c r="B941" i="17" s="1"/>
  <c r="D940" i="17"/>
  <c r="C940" i="17"/>
  <c r="A940" i="17"/>
  <c r="B940" i="17" s="1"/>
  <c r="D939" i="17"/>
  <c r="C939" i="17"/>
  <c r="A939" i="17"/>
  <c r="B939" i="17" s="1"/>
  <c r="D938" i="17"/>
  <c r="C938" i="17"/>
  <c r="A938" i="17"/>
  <c r="B938" i="17" s="1"/>
  <c r="D937" i="17"/>
  <c r="C937" i="17"/>
  <c r="A937" i="17"/>
  <c r="B937" i="17" s="1"/>
  <c r="D936" i="17"/>
  <c r="C936" i="17"/>
  <c r="A936" i="17"/>
  <c r="B936" i="17" s="1"/>
  <c r="D935" i="17"/>
  <c r="C935" i="17"/>
  <c r="A935" i="17"/>
  <c r="B935" i="17" s="1"/>
  <c r="D934" i="17"/>
  <c r="C934" i="17"/>
  <c r="A934" i="17"/>
  <c r="B934" i="17" s="1"/>
  <c r="D933" i="17"/>
  <c r="C933" i="17"/>
  <c r="A933" i="17"/>
  <c r="B933" i="17" s="1"/>
  <c r="D932" i="17"/>
  <c r="C932" i="17"/>
  <c r="A932" i="17"/>
  <c r="B932" i="17" s="1"/>
  <c r="D931" i="17"/>
  <c r="C931" i="17"/>
  <c r="A931" i="17"/>
  <c r="B931" i="17" s="1"/>
  <c r="D930" i="17"/>
  <c r="C930" i="17"/>
  <c r="A930" i="17"/>
  <c r="B930" i="17" s="1"/>
  <c r="D929" i="17"/>
  <c r="C929" i="17"/>
  <c r="A929" i="17"/>
  <c r="B929" i="17" s="1"/>
  <c r="D928" i="17"/>
  <c r="C928" i="17"/>
  <c r="A928" i="17"/>
  <c r="B928" i="17" s="1"/>
  <c r="D927" i="17"/>
  <c r="C927" i="17"/>
  <c r="A927" i="17"/>
  <c r="B927" i="17" s="1"/>
  <c r="D926" i="17"/>
  <c r="C926" i="17"/>
  <c r="A926" i="17"/>
  <c r="B926" i="17" s="1"/>
  <c r="D925" i="17"/>
  <c r="C925" i="17"/>
  <c r="A925" i="17"/>
  <c r="B925" i="17" s="1"/>
  <c r="D924" i="17"/>
  <c r="C924" i="17"/>
  <c r="A924" i="17"/>
  <c r="B924" i="17" s="1"/>
  <c r="D923" i="17"/>
  <c r="C923" i="17"/>
  <c r="A923" i="17"/>
  <c r="B923" i="17" s="1"/>
  <c r="D922" i="17"/>
  <c r="C922" i="17"/>
  <c r="A922" i="17"/>
  <c r="B922" i="17" s="1"/>
  <c r="D921" i="17"/>
  <c r="C921" i="17"/>
  <c r="A921" i="17"/>
  <c r="B921" i="17" s="1"/>
  <c r="D920" i="17"/>
  <c r="C920" i="17"/>
  <c r="A920" i="17"/>
  <c r="B920" i="17" s="1"/>
  <c r="D919" i="17"/>
  <c r="C919" i="17"/>
  <c r="A919" i="17"/>
  <c r="B919" i="17" s="1"/>
  <c r="D918" i="17"/>
  <c r="C918" i="17"/>
  <c r="A918" i="17"/>
  <c r="B918" i="17" s="1"/>
  <c r="D917" i="17"/>
  <c r="C917" i="17"/>
  <c r="A917" i="17"/>
  <c r="B917" i="17" s="1"/>
  <c r="D916" i="17"/>
  <c r="C916" i="17"/>
  <c r="A916" i="17"/>
  <c r="B916" i="17" s="1"/>
  <c r="D915" i="17"/>
  <c r="C915" i="17"/>
  <c r="A915" i="17"/>
  <c r="B915" i="17" s="1"/>
  <c r="D914" i="17"/>
  <c r="C914" i="17"/>
  <c r="A914" i="17"/>
  <c r="B914" i="17" s="1"/>
  <c r="D913" i="17"/>
  <c r="C913" i="17"/>
  <c r="A913" i="17"/>
  <c r="B913" i="17" s="1"/>
  <c r="D912" i="17"/>
  <c r="C912" i="17"/>
  <c r="A912" i="17"/>
  <c r="B912" i="17" s="1"/>
  <c r="D911" i="17"/>
  <c r="C911" i="17"/>
  <c r="A911" i="17"/>
  <c r="B911" i="17" s="1"/>
  <c r="D910" i="17"/>
  <c r="C910" i="17"/>
  <c r="A910" i="17"/>
  <c r="B910" i="17" s="1"/>
  <c r="D909" i="17"/>
  <c r="C909" i="17"/>
  <c r="A909" i="17"/>
  <c r="B909" i="17" s="1"/>
  <c r="D908" i="17"/>
  <c r="C908" i="17"/>
  <c r="A908" i="17"/>
  <c r="B908" i="17" s="1"/>
  <c r="D907" i="17"/>
  <c r="C907" i="17"/>
  <c r="A907" i="17"/>
  <c r="B907" i="17" s="1"/>
  <c r="D906" i="17"/>
  <c r="C906" i="17"/>
  <c r="A906" i="17"/>
  <c r="B906" i="17" s="1"/>
  <c r="D905" i="17"/>
  <c r="C905" i="17"/>
  <c r="A905" i="17"/>
  <c r="B905" i="17" s="1"/>
  <c r="D904" i="17"/>
  <c r="C904" i="17"/>
  <c r="A904" i="17"/>
  <c r="B904" i="17" s="1"/>
  <c r="D903" i="17"/>
  <c r="C903" i="17"/>
  <c r="A903" i="17"/>
  <c r="B903" i="17" s="1"/>
  <c r="D902" i="17"/>
  <c r="C902" i="17"/>
  <c r="A902" i="17"/>
  <c r="B902" i="17" s="1"/>
  <c r="D901" i="17"/>
  <c r="C901" i="17"/>
  <c r="A901" i="17"/>
  <c r="B901" i="17" s="1"/>
  <c r="D900" i="17"/>
  <c r="C900" i="17"/>
  <c r="A900" i="17"/>
  <c r="B900" i="17" s="1"/>
  <c r="D899" i="17"/>
  <c r="C899" i="17"/>
  <c r="A899" i="17"/>
  <c r="B899" i="17" s="1"/>
  <c r="D898" i="17"/>
  <c r="C898" i="17"/>
  <c r="A898" i="17"/>
  <c r="B898" i="17" s="1"/>
  <c r="D897" i="17"/>
  <c r="C897" i="17"/>
  <c r="A897" i="17"/>
  <c r="B897" i="17" s="1"/>
  <c r="D896" i="17"/>
  <c r="C896" i="17"/>
  <c r="A896" i="17"/>
  <c r="B896" i="17" s="1"/>
  <c r="D895" i="17"/>
  <c r="C895" i="17"/>
  <c r="A895" i="17"/>
  <c r="B895" i="17" s="1"/>
  <c r="D894" i="17"/>
  <c r="C894" i="17"/>
  <c r="A894" i="17"/>
  <c r="B894" i="17" s="1"/>
  <c r="D893" i="17"/>
  <c r="C893" i="17"/>
  <c r="A893" i="17"/>
  <c r="B893" i="17" s="1"/>
  <c r="D892" i="17"/>
  <c r="C892" i="17"/>
  <c r="A892" i="17"/>
  <c r="B892" i="17" s="1"/>
  <c r="D891" i="17"/>
  <c r="C891" i="17"/>
  <c r="A891" i="17"/>
  <c r="B891" i="17" s="1"/>
  <c r="D890" i="17"/>
  <c r="C890" i="17"/>
  <c r="A890" i="17"/>
  <c r="B890" i="17" s="1"/>
  <c r="D889" i="17"/>
  <c r="C889" i="17"/>
  <c r="A889" i="17"/>
  <c r="B889" i="17" s="1"/>
  <c r="D888" i="17"/>
  <c r="C888" i="17"/>
  <c r="A888" i="17"/>
  <c r="B888" i="17" s="1"/>
  <c r="D887" i="17"/>
  <c r="C887" i="17"/>
  <c r="A887" i="17"/>
  <c r="B887" i="17" s="1"/>
  <c r="D886" i="17"/>
  <c r="C886" i="17"/>
  <c r="A886" i="17"/>
  <c r="B886" i="17" s="1"/>
  <c r="D885" i="17"/>
  <c r="C885" i="17"/>
  <c r="A885" i="17"/>
  <c r="B885" i="17" s="1"/>
  <c r="D884" i="17"/>
  <c r="C884" i="17"/>
  <c r="A884" i="17"/>
  <c r="B884" i="17" s="1"/>
  <c r="D883" i="17"/>
  <c r="C883" i="17"/>
  <c r="A883" i="17"/>
  <c r="B883" i="17" s="1"/>
  <c r="D882" i="17"/>
  <c r="C882" i="17"/>
  <c r="A882" i="17"/>
  <c r="B882" i="17" s="1"/>
  <c r="D881" i="17"/>
  <c r="C881" i="17"/>
  <c r="A881" i="17"/>
  <c r="B881" i="17" s="1"/>
  <c r="D880" i="17"/>
  <c r="C880" i="17"/>
  <c r="A880" i="17"/>
  <c r="B880" i="17" s="1"/>
  <c r="D879" i="17"/>
  <c r="C879" i="17"/>
  <c r="A879" i="17"/>
  <c r="B879" i="17" s="1"/>
  <c r="D878" i="17"/>
  <c r="C878" i="17"/>
  <c r="A878" i="17"/>
  <c r="B878" i="17" s="1"/>
  <c r="D877" i="17"/>
  <c r="C877" i="17"/>
  <c r="A877" i="17"/>
  <c r="B877" i="17" s="1"/>
  <c r="D876" i="17"/>
  <c r="C876" i="17"/>
  <c r="A876" i="17"/>
  <c r="B876" i="17" s="1"/>
  <c r="D875" i="17"/>
  <c r="C875" i="17"/>
  <c r="A875" i="17"/>
  <c r="B875" i="17" s="1"/>
  <c r="D874" i="17"/>
  <c r="C874" i="17"/>
  <c r="A874" i="17"/>
  <c r="B874" i="17" s="1"/>
  <c r="D873" i="17"/>
  <c r="C873" i="17"/>
  <c r="A873" i="17"/>
  <c r="B873" i="17" s="1"/>
  <c r="D872" i="17"/>
  <c r="C872" i="17"/>
  <c r="A872" i="17"/>
  <c r="B872" i="17" s="1"/>
  <c r="D871" i="17"/>
  <c r="C871" i="17"/>
  <c r="A871" i="17"/>
  <c r="B871" i="17" s="1"/>
  <c r="D870" i="17"/>
  <c r="C870" i="17"/>
  <c r="A870" i="17"/>
  <c r="B870" i="17" s="1"/>
  <c r="D869" i="17"/>
  <c r="C869" i="17"/>
  <c r="A869" i="17"/>
  <c r="B869" i="17" s="1"/>
  <c r="D868" i="17"/>
  <c r="C868" i="17"/>
  <c r="A868" i="17"/>
  <c r="B868" i="17" s="1"/>
  <c r="D867" i="17"/>
  <c r="C867" i="17"/>
  <c r="A867" i="17"/>
  <c r="B867" i="17" s="1"/>
  <c r="D866" i="17"/>
  <c r="C866" i="17"/>
  <c r="A866" i="17"/>
  <c r="B866" i="17" s="1"/>
  <c r="D865" i="17"/>
  <c r="C865" i="17"/>
  <c r="A865" i="17"/>
  <c r="B865" i="17" s="1"/>
  <c r="D864" i="17"/>
  <c r="C864" i="17"/>
  <c r="A864" i="17"/>
  <c r="B864" i="17" s="1"/>
  <c r="D863" i="17"/>
  <c r="C863" i="17"/>
  <c r="A863" i="17"/>
  <c r="B863" i="17" s="1"/>
  <c r="D862" i="17"/>
  <c r="C862" i="17"/>
  <c r="A862" i="17"/>
  <c r="B862" i="17" s="1"/>
  <c r="D861" i="17"/>
  <c r="C861" i="17"/>
  <c r="A861" i="17"/>
  <c r="B861" i="17" s="1"/>
  <c r="D860" i="17"/>
  <c r="C860" i="17"/>
  <c r="A860" i="17"/>
  <c r="B860" i="17" s="1"/>
  <c r="D859" i="17"/>
  <c r="C859" i="17"/>
  <c r="A859" i="17"/>
  <c r="B859" i="17" s="1"/>
  <c r="D858" i="17"/>
  <c r="C858" i="17"/>
  <c r="A858" i="17"/>
  <c r="B858" i="17" s="1"/>
  <c r="D857" i="17"/>
  <c r="C857" i="17"/>
  <c r="A857" i="17"/>
  <c r="B857" i="17" s="1"/>
  <c r="D856" i="17"/>
  <c r="C856" i="17"/>
  <c r="A856" i="17"/>
  <c r="B856" i="17" s="1"/>
  <c r="D855" i="17"/>
  <c r="C855" i="17"/>
  <c r="A855" i="17"/>
  <c r="B855" i="17" s="1"/>
  <c r="D854" i="17"/>
  <c r="C854" i="17"/>
  <c r="A854" i="17"/>
  <c r="B854" i="17" s="1"/>
  <c r="D853" i="17"/>
  <c r="C853" i="17"/>
  <c r="A853" i="17"/>
  <c r="B853" i="17" s="1"/>
  <c r="D852" i="17"/>
  <c r="C852" i="17"/>
  <c r="A852" i="17"/>
  <c r="B852" i="17" s="1"/>
  <c r="D851" i="17"/>
  <c r="C851" i="17"/>
  <c r="A851" i="17"/>
  <c r="B851" i="17" s="1"/>
  <c r="D850" i="17"/>
  <c r="C850" i="17"/>
  <c r="A850" i="17"/>
  <c r="B850" i="17" s="1"/>
  <c r="D849" i="17"/>
  <c r="C849" i="17"/>
  <c r="A849" i="17"/>
  <c r="B849" i="17" s="1"/>
  <c r="D848" i="17"/>
  <c r="C848" i="17"/>
  <c r="A848" i="17"/>
  <c r="B848" i="17" s="1"/>
  <c r="D847" i="17"/>
  <c r="C847" i="17"/>
  <c r="A847" i="17"/>
  <c r="B847" i="17" s="1"/>
  <c r="D846" i="17"/>
  <c r="C846" i="17"/>
  <c r="A846" i="17"/>
  <c r="B846" i="17" s="1"/>
  <c r="D845" i="17"/>
  <c r="C845" i="17"/>
  <c r="A845" i="17"/>
  <c r="B845" i="17" s="1"/>
  <c r="D844" i="17"/>
  <c r="C844" i="17"/>
  <c r="A844" i="17"/>
  <c r="B844" i="17" s="1"/>
  <c r="D843" i="17"/>
  <c r="C843" i="17"/>
  <c r="A843" i="17"/>
  <c r="B843" i="17" s="1"/>
  <c r="D842" i="17"/>
  <c r="C842" i="17"/>
  <c r="A842" i="17"/>
  <c r="B842" i="17" s="1"/>
  <c r="D841" i="17"/>
  <c r="C841" i="17"/>
  <c r="A841" i="17"/>
  <c r="B841" i="17" s="1"/>
  <c r="D840" i="17"/>
  <c r="C840" i="17"/>
  <c r="A840" i="17"/>
  <c r="B840" i="17" s="1"/>
  <c r="D839" i="17"/>
  <c r="C839" i="17"/>
  <c r="A839" i="17"/>
  <c r="B839" i="17" s="1"/>
  <c r="D838" i="17"/>
  <c r="C838" i="17"/>
  <c r="A838" i="17"/>
  <c r="B838" i="17" s="1"/>
  <c r="D837" i="17"/>
  <c r="C837" i="17"/>
  <c r="B837" i="17"/>
  <c r="A837" i="17"/>
  <c r="D836" i="17"/>
  <c r="C836" i="17"/>
  <c r="B836" i="17"/>
  <c r="A836" i="17"/>
  <c r="D835" i="17"/>
  <c r="C835" i="17"/>
  <c r="B835" i="17"/>
  <c r="A835" i="17"/>
  <c r="D834" i="17"/>
  <c r="C834" i="17"/>
  <c r="A834" i="17"/>
  <c r="B834" i="17" s="1"/>
  <c r="D833" i="17"/>
  <c r="C833" i="17"/>
  <c r="A833" i="17"/>
  <c r="B833" i="17" s="1"/>
  <c r="D832" i="17"/>
  <c r="C832" i="17"/>
  <c r="A832" i="17"/>
  <c r="B832" i="17" s="1"/>
  <c r="D831" i="17"/>
  <c r="C831" i="17"/>
  <c r="A831" i="17"/>
  <c r="B831" i="17" s="1"/>
  <c r="D830" i="17"/>
  <c r="C830" i="17"/>
  <c r="A830" i="17"/>
  <c r="B830" i="17" s="1"/>
  <c r="D829" i="17"/>
  <c r="C829" i="17"/>
  <c r="A829" i="17"/>
  <c r="B829" i="17" s="1"/>
  <c r="D828" i="17"/>
  <c r="C828" i="17"/>
  <c r="A828" i="17"/>
  <c r="B828" i="17" s="1"/>
  <c r="D827" i="17"/>
  <c r="C827" i="17"/>
  <c r="A827" i="17"/>
  <c r="B827" i="17" s="1"/>
  <c r="D826" i="17"/>
  <c r="C826" i="17"/>
  <c r="A826" i="17"/>
  <c r="B826" i="17" s="1"/>
  <c r="D825" i="17"/>
  <c r="C825" i="17"/>
  <c r="A825" i="17"/>
  <c r="B825" i="17" s="1"/>
  <c r="D824" i="17"/>
  <c r="C824" i="17"/>
  <c r="A824" i="17"/>
  <c r="B824" i="17" s="1"/>
  <c r="D823" i="17"/>
  <c r="C823" i="17"/>
  <c r="A823" i="17"/>
  <c r="B823" i="17" s="1"/>
  <c r="D822" i="17"/>
  <c r="C822" i="17"/>
  <c r="A822" i="17"/>
  <c r="B822" i="17" s="1"/>
  <c r="D821" i="17"/>
  <c r="C821" i="17"/>
  <c r="A821" i="17"/>
  <c r="B821" i="17" s="1"/>
  <c r="D820" i="17"/>
  <c r="C820" i="17"/>
  <c r="A820" i="17"/>
  <c r="B820" i="17" s="1"/>
  <c r="D819" i="17"/>
  <c r="C819" i="17"/>
  <c r="A819" i="17"/>
  <c r="B819" i="17" s="1"/>
  <c r="D818" i="17"/>
  <c r="C818" i="17"/>
  <c r="A818" i="17"/>
  <c r="B818" i="17" s="1"/>
  <c r="D817" i="17"/>
  <c r="C817" i="17"/>
  <c r="A817" i="17"/>
  <c r="B817" i="17" s="1"/>
  <c r="D816" i="17"/>
  <c r="C816" i="17"/>
  <c r="A816" i="17"/>
  <c r="B816" i="17" s="1"/>
  <c r="D815" i="17"/>
  <c r="C815" i="17"/>
  <c r="A815" i="17"/>
  <c r="B815" i="17" s="1"/>
  <c r="D814" i="17"/>
  <c r="C814" i="17"/>
  <c r="A814" i="17"/>
  <c r="B814" i="17" s="1"/>
  <c r="D813" i="17"/>
  <c r="C813" i="17"/>
  <c r="A813" i="17"/>
  <c r="B813" i="17" s="1"/>
  <c r="D812" i="17"/>
  <c r="C812" i="17"/>
  <c r="A812" i="17"/>
  <c r="B812" i="17" s="1"/>
  <c r="D811" i="17"/>
  <c r="C811" i="17"/>
  <c r="A811" i="17"/>
  <c r="B811" i="17" s="1"/>
  <c r="D810" i="17"/>
  <c r="C810" i="17"/>
  <c r="A810" i="17"/>
  <c r="B810" i="17" s="1"/>
  <c r="D809" i="17"/>
  <c r="C809" i="17"/>
  <c r="A809" i="17"/>
  <c r="B809" i="17" s="1"/>
  <c r="D808" i="17"/>
  <c r="C808" i="17"/>
  <c r="A808" i="17"/>
  <c r="B808" i="17" s="1"/>
  <c r="D807" i="17"/>
  <c r="C807" i="17"/>
  <c r="A807" i="17"/>
  <c r="B807" i="17" s="1"/>
  <c r="D806" i="17"/>
  <c r="C806" i="17"/>
  <c r="A806" i="17"/>
  <c r="B806" i="17" s="1"/>
  <c r="D805" i="17"/>
  <c r="C805" i="17"/>
  <c r="A805" i="17"/>
  <c r="B805" i="17" s="1"/>
  <c r="D804" i="17"/>
  <c r="C804" i="17"/>
  <c r="A804" i="17"/>
  <c r="B804" i="17" s="1"/>
  <c r="D803" i="17"/>
  <c r="C803" i="17"/>
  <c r="A803" i="17"/>
  <c r="B803" i="17" s="1"/>
  <c r="D802" i="17"/>
  <c r="C802" i="17"/>
  <c r="A802" i="17"/>
  <c r="B802" i="17" s="1"/>
  <c r="D801" i="17"/>
  <c r="C801" i="17"/>
  <c r="A801" i="17"/>
  <c r="B801" i="17" s="1"/>
  <c r="D800" i="17"/>
  <c r="C800" i="17"/>
  <c r="A800" i="17"/>
  <c r="B800" i="17" s="1"/>
  <c r="D799" i="17"/>
  <c r="C799" i="17"/>
  <c r="A799" i="17"/>
  <c r="B799" i="17" s="1"/>
  <c r="D798" i="17"/>
  <c r="C798" i="17"/>
  <c r="A798" i="17"/>
  <c r="B798" i="17" s="1"/>
  <c r="D797" i="17"/>
  <c r="C797" i="17"/>
  <c r="A797" i="17"/>
  <c r="B797" i="17" s="1"/>
  <c r="D796" i="17"/>
  <c r="C796" i="17"/>
  <c r="A796" i="17"/>
  <c r="B796" i="17" s="1"/>
  <c r="D795" i="17"/>
  <c r="C795" i="17"/>
  <c r="A795" i="17"/>
  <c r="B795" i="17" s="1"/>
  <c r="D794" i="17"/>
  <c r="C794" i="17"/>
  <c r="A794" i="17"/>
  <c r="B794" i="17" s="1"/>
  <c r="D793" i="17"/>
  <c r="C793" i="17"/>
  <c r="A793" i="17"/>
  <c r="B793" i="17" s="1"/>
  <c r="D792" i="17"/>
  <c r="C792" i="17"/>
  <c r="A792" i="17"/>
  <c r="B792" i="17" s="1"/>
  <c r="D791" i="17"/>
  <c r="C791" i="17"/>
  <c r="A791" i="17"/>
  <c r="B791" i="17" s="1"/>
  <c r="D790" i="17"/>
  <c r="C790" i="17"/>
  <c r="A790" i="17"/>
  <c r="B790" i="17" s="1"/>
  <c r="D789" i="17"/>
  <c r="C789" i="17"/>
  <c r="A789" i="17"/>
  <c r="B789" i="17" s="1"/>
  <c r="D788" i="17"/>
  <c r="C788" i="17"/>
  <c r="A788" i="17"/>
  <c r="B788" i="17" s="1"/>
  <c r="D787" i="17"/>
  <c r="C787" i="17"/>
  <c r="A787" i="17"/>
  <c r="B787" i="17" s="1"/>
  <c r="D786" i="17"/>
  <c r="C786" i="17"/>
  <c r="A786" i="17"/>
  <c r="B786" i="17" s="1"/>
  <c r="D785" i="17"/>
  <c r="C785" i="17"/>
  <c r="A785" i="17"/>
  <c r="B785" i="17" s="1"/>
  <c r="D784" i="17"/>
  <c r="C784" i="17"/>
  <c r="A784" i="17"/>
  <c r="B784" i="17" s="1"/>
  <c r="D783" i="17"/>
  <c r="C783" i="17"/>
  <c r="A783" i="17"/>
  <c r="B783" i="17" s="1"/>
  <c r="D782" i="17"/>
  <c r="C782" i="17"/>
  <c r="A782" i="17"/>
  <c r="B782" i="17" s="1"/>
  <c r="D781" i="17"/>
  <c r="C781" i="17"/>
  <c r="A781" i="17"/>
  <c r="B781" i="17" s="1"/>
  <c r="D780" i="17"/>
  <c r="C780" i="17"/>
  <c r="A780" i="17"/>
  <c r="B780" i="17" s="1"/>
  <c r="D779" i="17"/>
  <c r="C779" i="17"/>
  <c r="A779" i="17"/>
  <c r="B779" i="17" s="1"/>
  <c r="D778" i="17"/>
  <c r="C778" i="17"/>
  <c r="A778" i="17"/>
  <c r="B778" i="17" s="1"/>
  <c r="D777" i="17"/>
  <c r="C777" i="17"/>
  <c r="A777" i="17"/>
  <c r="B777" i="17" s="1"/>
  <c r="D776" i="17"/>
  <c r="C776" i="17"/>
  <c r="A776" i="17"/>
  <c r="B776" i="17" s="1"/>
  <c r="D775" i="17"/>
  <c r="C775" i="17"/>
  <c r="A775" i="17"/>
  <c r="B775" i="17" s="1"/>
  <c r="D774" i="17"/>
  <c r="C774" i="17"/>
  <c r="A774" i="17"/>
  <c r="B774" i="17" s="1"/>
  <c r="D773" i="17"/>
  <c r="C773" i="17"/>
  <c r="A773" i="17"/>
  <c r="B773" i="17" s="1"/>
  <c r="D772" i="17"/>
  <c r="C772" i="17"/>
  <c r="A772" i="17"/>
  <c r="D771" i="17"/>
  <c r="C771" i="17"/>
  <c r="A771" i="17"/>
  <c r="B771" i="17" s="1"/>
  <c r="D770" i="17"/>
  <c r="C770" i="17"/>
  <c r="A770" i="17"/>
  <c r="B770" i="17" s="1"/>
  <c r="D769" i="17"/>
  <c r="C769" i="17"/>
  <c r="A769" i="17"/>
  <c r="B769" i="17" s="1"/>
  <c r="D768" i="17"/>
  <c r="C768" i="17"/>
  <c r="A768" i="17"/>
  <c r="B768" i="17" s="1"/>
  <c r="D767" i="17"/>
  <c r="C767" i="17"/>
  <c r="A767" i="17"/>
  <c r="B767" i="17" s="1"/>
  <c r="D766" i="17"/>
  <c r="C766" i="17"/>
  <c r="A766" i="17"/>
  <c r="D765" i="17"/>
  <c r="C765" i="17"/>
  <c r="A765" i="17"/>
  <c r="B765" i="17" s="1"/>
  <c r="D764" i="17"/>
  <c r="C764" i="17"/>
  <c r="A764" i="17"/>
  <c r="B764" i="17" s="1"/>
  <c r="D763" i="17"/>
  <c r="C763" i="17"/>
  <c r="A763" i="17"/>
  <c r="B763" i="17" s="1"/>
  <c r="D762" i="17"/>
  <c r="C762" i="17"/>
  <c r="A762" i="17"/>
  <c r="B762" i="17" s="1"/>
  <c r="D761" i="17"/>
  <c r="C761" i="17"/>
  <c r="A761" i="17"/>
  <c r="B761" i="17" s="1"/>
  <c r="D760" i="17"/>
  <c r="C760" i="17"/>
  <c r="A760" i="17"/>
  <c r="B760" i="17" s="1"/>
  <c r="D759" i="17"/>
  <c r="C759" i="17"/>
  <c r="A759" i="17"/>
  <c r="B759" i="17" s="1"/>
  <c r="D758" i="17"/>
  <c r="C758" i="17"/>
  <c r="A758" i="17"/>
  <c r="B758" i="17" s="1"/>
  <c r="D757" i="17"/>
  <c r="C757" i="17"/>
  <c r="B757" i="17"/>
  <c r="A757" i="17"/>
  <c r="D756" i="17"/>
  <c r="C756" i="17"/>
  <c r="B756" i="17"/>
  <c r="A756" i="17"/>
  <c r="D755" i="17"/>
  <c r="C755" i="17"/>
  <c r="B755" i="17"/>
  <c r="A755" i="17"/>
  <c r="D754" i="17"/>
  <c r="C754" i="17"/>
  <c r="B754" i="17"/>
  <c r="A754" i="17"/>
  <c r="D753" i="17"/>
  <c r="C753" i="17"/>
  <c r="B753" i="17"/>
  <c r="A753" i="17"/>
  <c r="D752" i="17"/>
  <c r="C752" i="17"/>
  <c r="B752" i="17"/>
  <c r="A752" i="17"/>
  <c r="D751" i="17"/>
  <c r="C751" i="17"/>
  <c r="B751" i="17"/>
  <c r="A751" i="17"/>
  <c r="D750" i="17"/>
  <c r="C750" i="17"/>
  <c r="B750" i="17"/>
  <c r="A750" i="17"/>
  <c r="D749" i="17"/>
  <c r="C749" i="17"/>
  <c r="B749" i="17"/>
  <c r="A749" i="17"/>
  <c r="D748" i="17"/>
  <c r="C748" i="17"/>
  <c r="B748" i="17"/>
  <c r="A748" i="17"/>
  <c r="D747" i="17"/>
  <c r="C747" i="17"/>
  <c r="B747" i="17"/>
  <c r="A747" i="17"/>
  <c r="D746" i="17"/>
  <c r="C746" i="17"/>
  <c r="B746" i="17"/>
  <c r="A746" i="17"/>
  <c r="D745" i="17"/>
  <c r="C745" i="17"/>
  <c r="B745" i="17"/>
  <c r="A745" i="17"/>
  <c r="D744" i="17"/>
  <c r="C744" i="17"/>
  <c r="B744" i="17"/>
  <c r="A744" i="17"/>
  <c r="D743" i="17"/>
  <c r="C743" i="17"/>
  <c r="B743" i="17"/>
  <c r="A743" i="17"/>
  <c r="D742" i="17"/>
  <c r="C742" i="17"/>
  <c r="B742" i="17"/>
  <c r="A742" i="17"/>
  <c r="D741" i="17"/>
  <c r="C741" i="17"/>
  <c r="B741" i="17"/>
  <c r="A741" i="17"/>
  <c r="D740" i="17"/>
  <c r="C740" i="17"/>
  <c r="B740" i="17"/>
  <c r="A740" i="17"/>
  <c r="D739" i="17"/>
  <c r="C739" i="17"/>
  <c r="B739" i="17"/>
  <c r="A739" i="17"/>
  <c r="D738" i="17"/>
  <c r="C738" i="17"/>
  <c r="B738" i="17"/>
  <c r="A738" i="17"/>
  <c r="D737" i="17"/>
  <c r="C737" i="17"/>
  <c r="B737" i="17"/>
  <c r="A737" i="17"/>
  <c r="D736" i="17"/>
  <c r="C736" i="17"/>
  <c r="B736" i="17"/>
  <c r="A736" i="17"/>
  <c r="D735" i="17"/>
  <c r="C735" i="17"/>
  <c r="B735" i="17"/>
  <c r="A735" i="17"/>
  <c r="D734" i="17"/>
  <c r="C734" i="17"/>
  <c r="B734" i="17"/>
  <c r="A734" i="17"/>
  <c r="D733" i="17"/>
  <c r="C733" i="17"/>
  <c r="B733" i="17"/>
  <c r="A733" i="17"/>
  <c r="D732" i="17"/>
  <c r="C732" i="17"/>
  <c r="B732" i="17"/>
  <c r="A732" i="17"/>
  <c r="D731" i="17"/>
  <c r="C731" i="17"/>
  <c r="B731" i="17"/>
  <c r="A731" i="17"/>
  <c r="D730" i="17"/>
  <c r="C730" i="17"/>
  <c r="B730" i="17"/>
  <c r="A730" i="17"/>
  <c r="D729" i="17"/>
  <c r="C729" i="17"/>
  <c r="A729" i="17"/>
  <c r="B729" i="17" s="1"/>
  <c r="D728" i="17"/>
  <c r="C728" i="17"/>
  <c r="A728" i="17"/>
  <c r="B728" i="17" s="1"/>
  <c r="D727" i="17"/>
  <c r="C727" i="17"/>
  <c r="A727" i="17"/>
  <c r="B727" i="17" s="1"/>
  <c r="D726" i="17"/>
  <c r="C726" i="17"/>
  <c r="A726" i="17"/>
  <c r="B726" i="17" s="1"/>
  <c r="D725" i="17"/>
  <c r="C725" i="17"/>
  <c r="A725" i="17"/>
  <c r="B725" i="17" s="1"/>
  <c r="D724" i="17"/>
  <c r="C724" i="17"/>
  <c r="A724" i="17"/>
  <c r="B724" i="17" s="1"/>
  <c r="D723" i="17"/>
  <c r="C723" i="17"/>
  <c r="A723" i="17"/>
  <c r="B723" i="17" s="1"/>
  <c r="D722" i="17"/>
  <c r="C722" i="17"/>
  <c r="A722" i="17"/>
  <c r="B722" i="17" s="1"/>
  <c r="D721" i="17"/>
  <c r="C721" i="17"/>
  <c r="A721" i="17"/>
  <c r="B721" i="17" s="1"/>
  <c r="D720" i="17"/>
  <c r="C720" i="17"/>
  <c r="A720" i="17"/>
  <c r="B720" i="17" s="1"/>
  <c r="D719" i="17"/>
  <c r="C719" i="17"/>
  <c r="A719" i="17"/>
  <c r="B719" i="17" s="1"/>
  <c r="D718" i="17"/>
  <c r="C718" i="17"/>
  <c r="A718" i="17"/>
  <c r="B718" i="17" s="1"/>
  <c r="D717" i="17"/>
  <c r="C717" i="17"/>
  <c r="A717" i="17"/>
  <c r="B717" i="17" s="1"/>
  <c r="D716" i="17"/>
  <c r="C716" i="17"/>
  <c r="A716" i="17"/>
  <c r="B716" i="17" s="1"/>
  <c r="D715" i="17"/>
  <c r="C715" i="17"/>
  <c r="A715" i="17"/>
  <c r="B715" i="17" s="1"/>
  <c r="D714" i="17"/>
  <c r="C714" i="17"/>
  <c r="A714" i="17"/>
  <c r="B714" i="17" s="1"/>
  <c r="D713" i="17"/>
  <c r="C713" i="17"/>
  <c r="A713" i="17"/>
  <c r="B713" i="17" s="1"/>
  <c r="D712" i="17"/>
  <c r="C712" i="17"/>
  <c r="A712" i="17"/>
  <c r="B712" i="17" s="1"/>
  <c r="D711" i="17"/>
  <c r="C711" i="17"/>
  <c r="A711" i="17"/>
  <c r="B711" i="17" s="1"/>
  <c r="D710" i="17"/>
  <c r="C710" i="17"/>
  <c r="A710" i="17"/>
  <c r="B710" i="17" s="1"/>
  <c r="D709" i="17"/>
  <c r="C709" i="17"/>
  <c r="A709" i="17"/>
  <c r="B709" i="17" s="1"/>
  <c r="D708" i="17"/>
  <c r="C708" i="17"/>
  <c r="A708" i="17"/>
  <c r="B708" i="17" s="1"/>
  <c r="D707" i="17"/>
  <c r="C707" i="17"/>
  <c r="A707" i="17"/>
  <c r="B707" i="17" s="1"/>
  <c r="D706" i="17"/>
  <c r="C706" i="17"/>
  <c r="A706" i="17"/>
  <c r="B706" i="17" s="1"/>
  <c r="D705" i="17"/>
  <c r="C705" i="17"/>
  <c r="A705" i="17"/>
  <c r="B705" i="17" s="1"/>
  <c r="D704" i="17"/>
  <c r="C704" i="17"/>
  <c r="A704" i="17"/>
  <c r="B704" i="17" s="1"/>
  <c r="D703" i="17"/>
  <c r="C703" i="17"/>
  <c r="A703" i="17"/>
  <c r="B703" i="17" s="1"/>
  <c r="D702" i="17"/>
  <c r="C702" i="17"/>
  <c r="A702" i="17"/>
  <c r="B702" i="17" s="1"/>
  <c r="D701" i="17"/>
  <c r="C701" i="17"/>
  <c r="A701" i="17"/>
  <c r="B701" i="17" s="1"/>
  <c r="D700" i="17"/>
  <c r="C700" i="17"/>
  <c r="A700" i="17"/>
  <c r="B700" i="17" s="1"/>
  <c r="D699" i="17"/>
  <c r="C699" i="17"/>
  <c r="A699" i="17"/>
  <c r="B699" i="17" s="1"/>
  <c r="D698" i="17"/>
  <c r="C698" i="17"/>
  <c r="A698" i="17"/>
  <c r="B698" i="17" s="1"/>
  <c r="D697" i="17"/>
  <c r="C697" i="17"/>
  <c r="A697" i="17"/>
  <c r="B697" i="17" s="1"/>
  <c r="D696" i="17"/>
  <c r="C696" i="17"/>
  <c r="A696" i="17"/>
  <c r="B696" i="17" s="1"/>
  <c r="D695" i="17"/>
  <c r="C695" i="17"/>
  <c r="A695" i="17"/>
  <c r="B695" i="17" s="1"/>
  <c r="D694" i="17"/>
  <c r="C694" i="17"/>
  <c r="A694" i="17"/>
  <c r="B694" i="17" s="1"/>
  <c r="D693" i="17"/>
  <c r="C693" i="17"/>
  <c r="A693" i="17"/>
  <c r="B693" i="17" s="1"/>
  <c r="D692" i="17"/>
  <c r="C692" i="17"/>
  <c r="A692" i="17"/>
  <c r="B692" i="17" s="1"/>
  <c r="D691" i="17"/>
  <c r="C691" i="17"/>
  <c r="A691" i="17"/>
  <c r="B691" i="17" s="1"/>
  <c r="D690" i="17"/>
  <c r="C690" i="17"/>
  <c r="A690" i="17"/>
  <c r="B690" i="17" s="1"/>
  <c r="D689" i="17"/>
  <c r="C689" i="17"/>
  <c r="A689" i="17"/>
  <c r="B689" i="17" s="1"/>
  <c r="D688" i="17"/>
  <c r="C688" i="17"/>
  <c r="A688" i="17"/>
  <c r="B688" i="17" s="1"/>
  <c r="D687" i="17"/>
  <c r="C687" i="17"/>
  <c r="A687" i="17"/>
  <c r="B687" i="17" s="1"/>
  <c r="D686" i="17"/>
  <c r="C686" i="17"/>
  <c r="A686" i="17"/>
  <c r="B686" i="17" s="1"/>
  <c r="D685" i="17"/>
  <c r="C685" i="17"/>
  <c r="A685" i="17"/>
  <c r="B685" i="17" s="1"/>
  <c r="D684" i="17"/>
  <c r="C684" i="17"/>
  <c r="A684" i="17"/>
  <c r="B684" i="17" s="1"/>
  <c r="D683" i="17"/>
  <c r="C683" i="17"/>
  <c r="A683" i="17"/>
  <c r="B683" i="17" s="1"/>
  <c r="D682" i="17"/>
  <c r="C682" i="17"/>
  <c r="A682" i="17"/>
  <c r="B682" i="17" s="1"/>
  <c r="D681" i="17"/>
  <c r="C681" i="17"/>
  <c r="A681" i="17"/>
  <c r="B681" i="17" s="1"/>
  <c r="D680" i="17"/>
  <c r="C680" i="17"/>
  <c r="A680" i="17"/>
  <c r="B680" i="17" s="1"/>
  <c r="D679" i="17"/>
  <c r="C679" i="17"/>
  <c r="A679" i="17"/>
  <c r="B679" i="17" s="1"/>
  <c r="D678" i="17"/>
  <c r="C678" i="17"/>
  <c r="A678" i="17"/>
  <c r="B678" i="17" s="1"/>
  <c r="D677" i="17"/>
  <c r="C677" i="17"/>
  <c r="A677" i="17"/>
  <c r="B677" i="17" s="1"/>
  <c r="D676" i="17"/>
  <c r="C676" i="17"/>
  <c r="A676" i="17"/>
  <c r="B676" i="17" s="1"/>
  <c r="D675" i="17"/>
  <c r="C675" i="17"/>
  <c r="A675" i="17"/>
  <c r="B675" i="17" s="1"/>
  <c r="D674" i="17"/>
  <c r="C674" i="17"/>
  <c r="A674" i="17"/>
  <c r="B674" i="17" s="1"/>
  <c r="D673" i="17"/>
  <c r="C673" i="17"/>
  <c r="A673" i="17"/>
  <c r="B673" i="17" s="1"/>
  <c r="D672" i="17"/>
  <c r="C672" i="17"/>
  <c r="A672" i="17"/>
  <c r="B672" i="17" s="1"/>
  <c r="D671" i="17"/>
  <c r="C671" i="17"/>
  <c r="A671" i="17"/>
  <c r="B671" i="17" s="1"/>
  <c r="D670" i="17"/>
  <c r="C670" i="17"/>
  <c r="A670" i="17"/>
  <c r="B670" i="17" s="1"/>
  <c r="D669" i="17"/>
  <c r="C669" i="17"/>
  <c r="A669" i="17"/>
  <c r="B669" i="17" s="1"/>
  <c r="D668" i="17"/>
  <c r="C668" i="17"/>
  <c r="A668" i="17"/>
  <c r="B668" i="17" s="1"/>
  <c r="D667" i="17"/>
  <c r="C667" i="17"/>
  <c r="A667" i="17"/>
  <c r="B667" i="17" s="1"/>
  <c r="D666" i="17"/>
  <c r="C666" i="17"/>
  <c r="A666" i="17"/>
  <c r="B666" i="17" s="1"/>
  <c r="D665" i="17"/>
  <c r="C665" i="17"/>
  <c r="A665" i="17"/>
  <c r="B665" i="17" s="1"/>
  <c r="D664" i="17"/>
  <c r="C664" i="17"/>
  <c r="A664" i="17"/>
  <c r="B664" i="17" s="1"/>
  <c r="D663" i="17"/>
  <c r="C663" i="17"/>
  <c r="A663" i="17"/>
  <c r="B663" i="17" s="1"/>
  <c r="D662" i="17"/>
  <c r="C662" i="17"/>
  <c r="A662" i="17"/>
  <c r="B662" i="17" s="1"/>
  <c r="D661" i="17"/>
  <c r="C661" i="17"/>
  <c r="A661" i="17"/>
  <c r="B661" i="17" s="1"/>
  <c r="D660" i="17"/>
  <c r="C660" i="17"/>
  <c r="A660" i="17"/>
  <c r="B660" i="17" s="1"/>
  <c r="D659" i="17"/>
  <c r="C659" i="17"/>
  <c r="A659" i="17"/>
  <c r="B659" i="17" s="1"/>
  <c r="D658" i="17"/>
  <c r="C658" i="17"/>
  <c r="A658" i="17"/>
  <c r="B658" i="17" s="1"/>
  <c r="D657" i="17"/>
  <c r="C657" i="17"/>
  <c r="B657" i="17"/>
  <c r="A657" i="17"/>
  <c r="D656" i="17"/>
  <c r="C656" i="17"/>
  <c r="A656" i="17"/>
  <c r="B656" i="17" s="1"/>
  <c r="D655" i="17"/>
  <c r="C655" i="17"/>
  <c r="A655" i="17"/>
  <c r="B655" i="17" s="1"/>
  <c r="D654" i="17"/>
  <c r="C654" i="17"/>
  <c r="B654" i="17"/>
  <c r="A654" i="17"/>
  <c r="D653" i="17"/>
  <c r="C653" i="17"/>
  <c r="A653" i="17"/>
  <c r="B653" i="17" s="1"/>
  <c r="D652" i="17"/>
  <c r="C652" i="17"/>
  <c r="A652" i="17"/>
  <c r="B652" i="17" s="1"/>
  <c r="D651" i="17"/>
  <c r="C651" i="17"/>
  <c r="A651" i="17"/>
  <c r="B651" i="17" s="1"/>
  <c r="D650" i="17"/>
  <c r="C650" i="17"/>
  <c r="A650" i="17"/>
  <c r="B650" i="17" s="1"/>
  <c r="D649" i="17"/>
  <c r="C649" i="17"/>
  <c r="A649" i="17"/>
  <c r="D648" i="17"/>
  <c r="C648" i="17"/>
  <c r="A648" i="17"/>
  <c r="B648" i="17" s="1"/>
  <c r="D647" i="17"/>
  <c r="C647" i="17"/>
  <c r="A647" i="17"/>
  <c r="B647" i="17" s="1"/>
  <c r="D646" i="17"/>
  <c r="C646" i="17"/>
  <c r="A646" i="17"/>
  <c r="B646" i="17" s="1"/>
  <c r="D645" i="17"/>
  <c r="C645" i="17"/>
  <c r="A645" i="17"/>
  <c r="B645" i="17" s="1"/>
  <c r="D644" i="17"/>
  <c r="C644" i="17"/>
  <c r="A644" i="17"/>
  <c r="B644" i="17" s="1"/>
  <c r="D643" i="17"/>
  <c r="C643" i="17"/>
  <c r="B643" i="17"/>
  <c r="A643" i="17"/>
  <c r="D642" i="17"/>
  <c r="C642" i="17"/>
  <c r="B642" i="17"/>
  <c r="A642" i="17"/>
  <c r="D641" i="17"/>
  <c r="C641" i="17"/>
  <c r="A641" i="17"/>
  <c r="B641" i="17" s="1"/>
  <c r="D640" i="17"/>
  <c r="C640" i="17"/>
  <c r="A640" i="17"/>
  <c r="B640" i="17" s="1"/>
  <c r="D639" i="17"/>
  <c r="C639" i="17"/>
  <c r="A639" i="17"/>
  <c r="B639" i="17" s="1"/>
  <c r="D638" i="17"/>
  <c r="C638" i="17"/>
  <c r="A638" i="17"/>
  <c r="B638" i="17" s="1"/>
  <c r="D637" i="17"/>
  <c r="C637" i="17"/>
  <c r="A637" i="17"/>
  <c r="B637" i="17" s="1"/>
  <c r="D636" i="17"/>
  <c r="C636" i="17"/>
  <c r="A636" i="17"/>
  <c r="B636" i="17" s="1"/>
  <c r="D635" i="17"/>
  <c r="C635" i="17"/>
  <c r="A635" i="17"/>
  <c r="B635" i="17" s="1"/>
  <c r="D634" i="17"/>
  <c r="C634" i="17"/>
  <c r="A634" i="17"/>
  <c r="B634" i="17" s="1"/>
  <c r="D633" i="17"/>
  <c r="C633" i="17"/>
  <c r="A633" i="17"/>
  <c r="B633" i="17" s="1"/>
  <c r="D632" i="17"/>
  <c r="C632" i="17"/>
  <c r="A632" i="17"/>
  <c r="B632" i="17" s="1"/>
  <c r="D631" i="17"/>
  <c r="C631" i="17"/>
  <c r="A631" i="17"/>
  <c r="B631" i="17" s="1"/>
  <c r="D630" i="17"/>
  <c r="C630" i="17"/>
  <c r="A630" i="17"/>
  <c r="B630" i="17" s="1"/>
  <c r="D629" i="17"/>
  <c r="C629" i="17"/>
  <c r="A629" i="17"/>
  <c r="B629" i="17" s="1"/>
  <c r="D628" i="17"/>
  <c r="C628" i="17"/>
  <c r="A628" i="17"/>
  <c r="B628" i="17" s="1"/>
  <c r="D627" i="17"/>
  <c r="C627" i="17"/>
  <c r="A627" i="17"/>
  <c r="B627" i="17" s="1"/>
  <c r="D626" i="17"/>
  <c r="C626" i="17"/>
  <c r="A626" i="17"/>
  <c r="B626" i="17" s="1"/>
  <c r="D625" i="17"/>
  <c r="C625" i="17"/>
  <c r="A625" i="17"/>
  <c r="B625" i="17" s="1"/>
  <c r="D624" i="17"/>
  <c r="C624" i="17"/>
  <c r="A624" i="17"/>
  <c r="B624" i="17" s="1"/>
  <c r="D623" i="17"/>
  <c r="C623" i="17"/>
  <c r="A623" i="17"/>
  <c r="B623" i="17" s="1"/>
  <c r="D622" i="17"/>
  <c r="C622" i="17"/>
  <c r="A622" i="17"/>
  <c r="B622" i="17" s="1"/>
  <c r="D621" i="17"/>
  <c r="C621" i="17"/>
  <c r="A621" i="17"/>
  <c r="B621" i="17" s="1"/>
  <c r="D620" i="17"/>
  <c r="C620" i="17"/>
  <c r="A620" i="17"/>
  <c r="B620" i="17" s="1"/>
  <c r="D619" i="17"/>
  <c r="C619" i="17"/>
  <c r="A619" i="17"/>
  <c r="B619" i="17" s="1"/>
  <c r="D618" i="17"/>
  <c r="C618" i="17"/>
  <c r="A618" i="17"/>
  <c r="B618" i="17" s="1"/>
  <c r="D617" i="17"/>
  <c r="C617" i="17"/>
  <c r="A617" i="17"/>
  <c r="B617" i="17" s="1"/>
  <c r="D616" i="17"/>
  <c r="C616" i="17"/>
  <c r="A616" i="17"/>
  <c r="B616" i="17" s="1"/>
  <c r="D615" i="17"/>
  <c r="C615" i="17"/>
  <c r="A615" i="17"/>
  <c r="B615" i="17" s="1"/>
  <c r="D614" i="17"/>
  <c r="C614" i="17"/>
  <c r="A614" i="17"/>
  <c r="B614" i="17" s="1"/>
  <c r="D613" i="17"/>
  <c r="C613" i="17"/>
  <c r="A613" i="17"/>
  <c r="B613" i="17" s="1"/>
  <c r="D612" i="17"/>
  <c r="C612" i="17"/>
  <c r="A612" i="17"/>
  <c r="B612" i="17" s="1"/>
  <c r="D611" i="17"/>
  <c r="C611" i="17"/>
  <c r="A611" i="17"/>
  <c r="B611" i="17" s="1"/>
  <c r="D610" i="17"/>
  <c r="C610" i="17"/>
  <c r="A610" i="17"/>
  <c r="B610" i="17" s="1"/>
  <c r="D609" i="17"/>
  <c r="C609" i="17"/>
  <c r="A609" i="17"/>
  <c r="B609" i="17" s="1"/>
  <c r="D608" i="17"/>
  <c r="C608" i="17"/>
  <c r="A608" i="17"/>
  <c r="B608" i="17" s="1"/>
  <c r="D607" i="17"/>
  <c r="C607" i="17"/>
  <c r="A607" i="17"/>
  <c r="B607" i="17" s="1"/>
  <c r="D606" i="17"/>
  <c r="C606" i="17"/>
  <c r="A606" i="17"/>
  <c r="B606" i="17" s="1"/>
  <c r="D605" i="17"/>
  <c r="C605" i="17"/>
  <c r="A605" i="17"/>
  <c r="B605" i="17" s="1"/>
  <c r="D604" i="17"/>
  <c r="C604" i="17"/>
  <c r="A604" i="17"/>
  <c r="B604" i="17" s="1"/>
  <c r="D603" i="17"/>
  <c r="C603" i="17"/>
  <c r="A603" i="17"/>
  <c r="B603" i="17" s="1"/>
  <c r="D602" i="17"/>
  <c r="C602" i="17"/>
  <c r="A602" i="17"/>
  <c r="B602" i="17" s="1"/>
  <c r="D601" i="17"/>
  <c r="C601" i="17"/>
  <c r="A601" i="17"/>
  <c r="B601" i="17" s="1"/>
  <c r="D600" i="17"/>
  <c r="C600" i="17"/>
  <c r="A600" i="17"/>
  <c r="B600" i="17" s="1"/>
  <c r="D599" i="17"/>
  <c r="C599" i="17"/>
  <c r="A599" i="17"/>
  <c r="B599" i="17" s="1"/>
  <c r="D598" i="17"/>
  <c r="C598" i="17"/>
  <c r="A598" i="17"/>
  <c r="B598" i="17" s="1"/>
  <c r="D597" i="17"/>
  <c r="C597" i="17"/>
  <c r="A597" i="17"/>
  <c r="B597" i="17" s="1"/>
  <c r="D596" i="17"/>
  <c r="C596" i="17"/>
  <c r="A596" i="17"/>
  <c r="B596" i="17" s="1"/>
  <c r="D595" i="17"/>
  <c r="C595" i="17"/>
  <c r="A595" i="17"/>
  <c r="B595" i="17" s="1"/>
  <c r="D594" i="17"/>
  <c r="C594" i="17"/>
  <c r="A594" i="17"/>
  <c r="B594" i="17" s="1"/>
  <c r="D593" i="17"/>
  <c r="C593" i="17"/>
  <c r="A593" i="17"/>
  <c r="B593" i="17" s="1"/>
  <c r="D592" i="17"/>
  <c r="C592" i="17"/>
  <c r="A592" i="17"/>
  <c r="B592" i="17" s="1"/>
  <c r="D591" i="17"/>
  <c r="C591" i="17"/>
  <c r="A591" i="17"/>
  <c r="B591" i="17" s="1"/>
  <c r="D590" i="17"/>
  <c r="C590" i="17"/>
  <c r="A590" i="17"/>
  <c r="B590" i="17" s="1"/>
  <c r="D589" i="17"/>
  <c r="C589" i="17"/>
  <c r="A589" i="17"/>
  <c r="B589" i="17" s="1"/>
  <c r="D588" i="17"/>
  <c r="C588" i="17"/>
  <c r="A588" i="17"/>
  <c r="B588" i="17" s="1"/>
  <c r="D587" i="17"/>
  <c r="C587" i="17"/>
  <c r="A587" i="17"/>
  <c r="B587" i="17" s="1"/>
  <c r="D586" i="17"/>
  <c r="C586" i="17"/>
  <c r="A586" i="17"/>
  <c r="B586" i="17" s="1"/>
  <c r="D585" i="17"/>
  <c r="C585" i="17"/>
  <c r="A585" i="17"/>
  <c r="B585" i="17" s="1"/>
  <c r="D584" i="17"/>
  <c r="C584" i="17"/>
  <c r="A584" i="17"/>
  <c r="B584" i="17" s="1"/>
  <c r="D583" i="17"/>
  <c r="C583" i="17"/>
  <c r="A583" i="17"/>
  <c r="D582" i="17"/>
  <c r="C582" i="17"/>
  <c r="A582" i="17"/>
  <c r="D581" i="17"/>
  <c r="C581" i="17"/>
  <c r="A581" i="17"/>
  <c r="D580" i="17"/>
  <c r="C580" i="17"/>
  <c r="A580" i="17"/>
  <c r="D579" i="17"/>
  <c r="C579" i="17"/>
  <c r="A579" i="17"/>
  <c r="D578" i="17"/>
  <c r="C578" i="17"/>
  <c r="A578" i="17"/>
  <c r="B578" i="17" s="1"/>
  <c r="D577" i="17"/>
  <c r="C577" i="17"/>
  <c r="A577" i="17"/>
  <c r="B577" i="17" s="1"/>
  <c r="D576" i="17"/>
  <c r="C576" i="17"/>
  <c r="A576" i="17"/>
  <c r="B576" i="17" s="1"/>
  <c r="D575" i="17"/>
  <c r="C575" i="17"/>
  <c r="A575" i="17"/>
  <c r="D574" i="17"/>
  <c r="C574" i="17"/>
  <c r="A574" i="17"/>
  <c r="B574" i="17" s="1"/>
  <c r="D573" i="17"/>
  <c r="C573" i="17"/>
  <c r="A573" i="17"/>
  <c r="D572" i="17"/>
  <c r="C572" i="17"/>
  <c r="A572" i="17"/>
  <c r="B572" i="17" s="1"/>
  <c r="D571" i="17"/>
  <c r="C571" i="17"/>
  <c r="A571" i="17"/>
  <c r="B571" i="17" s="1"/>
  <c r="D570" i="17"/>
  <c r="C570" i="17"/>
  <c r="A570" i="17"/>
  <c r="B570" i="17" s="1"/>
  <c r="D569" i="17"/>
  <c r="C569" i="17"/>
  <c r="A569" i="17"/>
  <c r="B569" i="17" s="1"/>
  <c r="D568" i="17"/>
  <c r="C568" i="17"/>
  <c r="A568" i="17"/>
  <c r="B568" i="17" s="1"/>
  <c r="D567" i="17"/>
  <c r="C567" i="17"/>
  <c r="A567" i="17"/>
  <c r="B567" i="17" s="1"/>
  <c r="D566" i="17"/>
  <c r="C566" i="17"/>
  <c r="A566" i="17"/>
  <c r="B566" i="17" s="1"/>
  <c r="D565" i="17"/>
  <c r="C565" i="17"/>
  <c r="A565" i="17"/>
  <c r="B565" i="17" s="1"/>
  <c r="D564" i="17"/>
  <c r="C564" i="17"/>
  <c r="A564" i="17"/>
  <c r="B564" i="17" s="1"/>
  <c r="D563" i="17"/>
  <c r="C563" i="17"/>
  <c r="A563" i="17"/>
  <c r="B563" i="17" s="1"/>
  <c r="D562" i="17"/>
  <c r="C562" i="17"/>
  <c r="A562" i="17"/>
  <c r="B562" i="17" s="1"/>
  <c r="D561" i="17"/>
  <c r="C561" i="17"/>
  <c r="A561" i="17"/>
  <c r="B561" i="17" s="1"/>
  <c r="D560" i="17"/>
  <c r="C560" i="17"/>
  <c r="A560" i="17"/>
  <c r="B560" i="17" s="1"/>
  <c r="D559" i="17"/>
  <c r="C559" i="17"/>
  <c r="A559" i="17"/>
  <c r="B559" i="17" s="1"/>
  <c r="D558" i="17"/>
  <c r="C558" i="17"/>
  <c r="A558" i="17"/>
  <c r="B558" i="17" s="1"/>
  <c r="D557" i="17"/>
  <c r="C557" i="17"/>
  <c r="A557" i="17"/>
  <c r="B557" i="17" s="1"/>
  <c r="D556" i="17"/>
  <c r="C556" i="17"/>
  <c r="A556" i="17"/>
  <c r="B556" i="17" s="1"/>
  <c r="D555" i="17"/>
  <c r="C555" i="17"/>
  <c r="A555" i="17"/>
  <c r="B555" i="17" s="1"/>
  <c r="D554" i="17"/>
  <c r="C554" i="17"/>
  <c r="A554" i="17"/>
  <c r="B554" i="17" s="1"/>
  <c r="D553" i="17"/>
  <c r="C553" i="17"/>
  <c r="A553" i="17"/>
  <c r="B553" i="17" s="1"/>
  <c r="D552" i="17"/>
  <c r="C552" i="17"/>
  <c r="A552" i="17"/>
  <c r="B552" i="17" s="1"/>
  <c r="D551" i="17"/>
  <c r="C551" i="17"/>
  <c r="A551" i="17"/>
  <c r="B551" i="17" s="1"/>
  <c r="D550" i="17"/>
  <c r="C550" i="17"/>
  <c r="A550" i="17"/>
  <c r="B550" i="17" s="1"/>
  <c r="D549" i="17"/>
  <c r="C549" i="17"/>
  <c r="A549" i="17"/>
  <c r="B549" i="17" s="1"/>
  <c r="D548" i="17"/>
  <c r="C548" i="17"/>
  <c r="A548" i="17"/>
  <c r="B548" i="17" s="1"/>
  <c r="D547" i="17"/>
  <c r="C547" i="17"/>
  <c r="A547" i="17"/>
  <c r="B547" i="17" s="1"/>
  <c r="D546" i="17"/>
  <c r="C546" i="17"/>
  <c r="A546" i="17"/>
  <c r="B546" i="17" s="1"/>
  <c r="D545" i="17"/>
  <c r="C545" i="17"/>
  <c r="A545" i="17"/>
  <c r="B545" i="17" s="1"/>
  <c r="D544" i="17"/>
  <c r="C544" i="17"/>
  <c r="A544" i="17"/>
  <c r="B544" i="17" s="1"/>
  <c r="D543" i="17"/>
  <c r="C543" i="17"/>
  <c r="A543" i="17"/>
  <c r="B543" i="17" s="1"/>
  <c r="D542" i="17"/>
  <c r="C542" i="17"/>
  <c r="A542" i="17"/>
  <c r="B542" i="17" s="1"/>
  <c r="D541" i="17"/>
  <c r="C541" i="17"/>
  <c r="A541" i="17"/>
  <c r="B541" i="17" s="1"/>
  <c r="D540" i="17"/>
  <c r="C540" i="17"/>
  <c r="A540" i="17"/>
  <c r="B540" i="17" s="1"/>
  <c r="D539" i="17"/>
  <c r="C539" i="17"/>
  <c r="A539" i="17"/>
  <c r="B539" i="17" s="1"/>
  <c r="D538" i="17"/>
  <c r="C538" i="17"/>
  <c r="A538" i="17"/>
  <c r="B538" i="17" s="1"/>
  <c r="D537" i="17"/>
  <c r="C537" i="17"/>
  <c r="A537" i="17"/>
  <c r="B537" i="17" s="1"/>
  <c r="D536" i="17"/>
  <c r="C536" i="17"/>
  <c r="A536" i="17"/>
  <c r="B536" i="17" s="1"/>
  <c r="D535" i="17"/>
  <c r="C535" i="17"/>
  <c r="A535" i="17"/>
  <c r="D534" i="17"/>
  <c r="C534" i="17"/>
  <c r="A534" i="17"/>
  <c r="B534" i="17" s="1"/>
  <c r="D533" i="17"/>
  <c r="C533" i="17"/>
  <c r="A533" i="17"/>
  <c r="D532" i="17"/>
  <c r="C532" i="17"/>
  <c r="A532" i="17"/>
  <c r="D531" i="17"/>
  <c r="C531" i="17"/>
  <c r="A531" i="17"/>
  <c r="D530" i="17"/>
  <c r="C530" i="17"/>
  <c r="A530" i="17"/>
  <c r="D529" i="17"/>
  <c r="C529" i="17"/>
  <c r="A529" i="17"/>
  <c r="D528" i="17"/>
  <c r="C528" i="17"/>
  <c r="A528" i="17"/>
  <c r="D527" i="17"/>
  <c r="C527" i="17"/>
  <c r="A527" i="17"/>
  <c r="D526" i="17"/>
  <c r="C526" i="17"/>
  <c r="A526" i="17"/>
  <c r="D525" i="17"/>
  <c r="C525" i="17"/>
  <c r="A525" i="17"/>
  <c r="D524" i="17"/>
  <c r="C524" i="17"/>
  <c r="A524" i="17"/>
  <c r="D523" i="17"/>
  <c r="C523" i="17"/>
  <c r="A523" i="17"/>
  <c r="D522" i="17"/>
  <c r="C522" i="17"/>
  <c r="A522" i="17"/>
  <c r="D521" i="17"/>
  <c r="C521" i="17"/>
  <c r="A521" i="17"/>
  <c r="D520" i="17"/>
  <c r="C520" i="17"/>
  <c r="A520" i="17"/>
  <c r="D519" i="17"/>
  <c r="C519" i="17"/>
  <c r="A519" i="17"/>
  <c r="D518" i="17"/>
  <c r="C518" i="17"/>
  <c r="A518" i="17"/>
  <c r="D517" i="17"/>
  <c r="C517" i="17"/>
  <c r="A517" i="17"/>
  <c r="D516" i="17"/>
  <c r="C516" i="17"/>
  <c r="A516" i="17"/>
  <c r="D515" i="17"/>
  <c r="C515" i="17"/>
  <c r="A515" i="17"/>
  <c r="D514" i="17"/>
  <c r="C514" i="17"/>
  <c r="A514" i="17"/>
  <c r="D513" i="17"/>
  <c r="C513" i="17"/>
  <c r="A513" i="17"/>
  <c r="D512" i="17"/>
  <c r="C512" i="17"/>
  <c r="A512" i="17"/>
  <c r="D511" i="17"/>
  <c r="C511" i="17"/>
  <c r="A511" i="17"/>
  <c r="D510" i="17"/>
  <c r="C510" i="17"/>
  <c r="A510" i="17"/>
  <c r="D509" i="17"/>
  <c r="C509" i="17"/>
  <c r="A509" i="17"/>
  <c r="D508" i="17"/>
  <c r="C508" i="17"/>
  <c r="A508" i="17"/>
  <c r="D507" i="17"/>
  <c r="C507" i="17"/>
  <c r="A507" i="17"/>
  <c r="D506" i="17"/>
  <c r="C506" i="17"/>
  <c r="A506" i="17"/>
  <c r="D505" i="17"/>
  <c r="C505" i="17"/>
  <c r="A505" i="17"/>
  <c r="D504" i="17"/>
  <c r="C504" i="17"/>
  <c r="A504" i="17"/>
  <c r="D503" i="17"/>
  <c r="C503" i="17"/>
  <c r="A503" i="17"/>
  <c r="D502" i="17"/>
  <c r="C502" i="17"/>
  <c r="A502" i="17"/>
  <c r="D501" i="17"/>
  <c r="C501" i="17"/>
  <c r="A501" i="17"/>
  <c r="D500" i="17"/>
  <c r="C500" i="17"/>
  <c r="A500" i="17"/>
  <c r="D499" i="17"/>
  <c r="C499" i="17"/>
  <c r="A499" i="17"/>
  <c r="D498" i="17"/>
  <c r="C498" i="17"/>
  <c r="A498" i="17"/>
  <c r="D497" i="17"/>
  <c r="C497" i="17"/>
  <c r="A497" i="17"/>
  <c r="D496" i="17"/>
  <c r="C496" i="17"/>
  <c r="A496" i="17"/>
  <c r="D495" i="17"/>
  <c r="C495" i="17"/>
  <c r="A495" i="17"/>
  <c r="D494" i="17"/>
  <c r="C494" i="17"/>
  <c r="A494" i="17"/>
  <c r="D493" i="17"/>
  <c r="C493" i="17"/>
  <c r="A493" i="17"/>
  <c r="D492" i="17"/>
  <c r="C492" i="17"/>
  <c r="A492" i="17"/>
  <c r="D491" i="17"/>
  <c r="C491" i="17"/>
  <c r="A491" i="17"/>
  <c r="D490" i="17"/>
  <c r="C490" i="17"/>
  <c r="A490" i="17"/>
  <c r="D489" i="17"/>
  <c r="C489" i="17"/>
  <c r="A489" i="17"/>
  <c r="D488" i="17"/>
  <c r="C488" i="17"/>
  <c r="A488" i="17"/>
  <c r="D487" i="17"/>
  <c r="C487" i="17"/>
  <c r="A487" i="17"/>
  <c r="D486" i="17"/>
  <c r="C486" i="17"/>
  <c r="A486" i="17"/>
  <c r="D485" i="17"/>
  <c r="C485" i="17"/>
  <c r="A485" i="17"/>
  <c r="D484" i="17"/>
  <c r="C484" i="17"/>
  <c r="A484" i="17"/>
  <c r="D483" i="17"/>
  <c r="C483" i="17"/>
  <c r="A483" i="17"/>
  <c r="D482" i="17"/>
  <c r="C482" i="17"/>
  <c r="A482" i="17"/>
  <c r="D481" i="17"/>
  <c r="C481" i="17"/>
  <c r="A481" i="17"/>
  <c r="D480" i="17"/>
  <c r="C480" i="17"/>
  <c r="A480" i="17"/>
  <c r="D479" i="17"/>
  <c r="C479" i="17"/>
  <c r="A479" i="17"/>
  <c r="D478" i="17"/>
  <c r="C478" i="17"/>
  <c r="A478" i="17"/>
  <c r="D477" i="17"/>
  <c r="C477" i="17"/>
  <c r="A477" i="17"/>
  <c r="D476" i="17"/>
  <c r="C476" i="17"/>
  <c r="A476" i="17"/>
  <c r="D475" i="17"/>
  <c r="C475" i="17"/>
  <c r="A475" i="17"/>
  <c r="D474" i="17"/>
  <c r="C474" i="17"/>
  <c r="A474" i="17"/>
  <c r="D473" i="17"/>
  <c r="C473" i="17"/>
  <c r="A473" i="17"/>
  <c r="D472" i="17"/>
  <c r="C472" i="17"/>
  <c r="A472" i="17"/>
  <c r="D471" i="17"/>
  <c r="C471" i="17"/>
  <c r="A471" i="17"/>
  <c r="D470" i="17"/>
  <c r="C470" i="17"/>
  <c r="A470" i="17"/>
  <c r="D469" i="17"/>
  <c r="C469" i="17"/>
  <c r="A469" i="17"/>
  <c r="D468" i="17"/>
  <c r="C468" i="17"/>
  <c r="A468" i="17"/>
  <c r="D467" i="17"/>
  <c r="C467" i="17"/>
  <c r="A467" i="17"/>
  <c r="D466" i="17"/>
  <c r="C466" i="17"/>
  <c r="A466" i="17"/>
  <c r="D465" i="17"/>
  <c r="C465" i="17"/>
  <c r="A465" i="17"/>
  <c r="D464" i="17"/>
  <c r="C464" i="17"/>
  <c r="A464" i="17"/>
  <c r="D463" i="17"/>
  <c r="C463" i="17"/>
  <c r="A463" i="17"/>
  <c r="D462" i="17"/>
  <c r="C462" i="17"/>
  <c r="A462" i="17"/>
  <c r="D461" i="17"/>
  <c r="C461" i="17"/>
  <c r="A461" i="17"/>
  <c r="D460" i="17"/>
  <c r="C460" i="17"/>
  <c r="A460" i="17"/>
  <c r="D459" i="17"/>
  <c r="C459" i="17"/>
  <c r="A459" i="17"/>
  <c r="D458" i="17"/>
  <c r="C458" i="17"/>
  <c r="A458" i="17"/>
  <c r="D457" i="17"/>
  <c r="C457" i="17"/>
  <c r="A457" i="17"/>
  <c r="D456" i="17"/>
  <c r="C456" i="17"/>
  <c r="A456" i="17"/>
  <c r="D455" i="17"/>
  <c r="C455" i="17"/>
  <c r="A455" i="17"/>
  <c r="D454" i="17"/>
  <c r="C454" i="17"/>
  <c r="A454" i="17"/>
  <c r="D453" i="17"/>
  <c r="C453" i="17"/>
  <c r="A453" i="17"/>
  <c r="B453" i="17" s="1"/>
  <c r="D452" i="17"/>
  <c r="C452" i="17"/>
  <c r="A452" i="17"/>
  <c r="B452" i="17" s="1"/>
  <c r="D451" i="17"/>
  <c r="C451" i="17"/>
  <c r="A451" i="17"/>
  <c r="B451" i="17" s="1"/>
  <c r="D450" i="17"/>
  <c r="C450" i="17"/>
  <c r="A450" i="17"/>
  <c r="B450" i="17" s="1"/>
  <c r="D449" i="17"/>
  <c r="C449" i="17"/>
  <c r="A449" i="17"/>
  <c r="B449" i="17" s="1"/>
  <c r="D448" i="17"/>
  <c r="C448" i="17"/>
  <c r="A448" i="17"/>
  <c r="D447" i="17"/>
  <c r="C447" i="17"/>
  <c r="A447" i="17"/>
  <c r="B447" i="17" s="1"/>
  <c r="D446" i="17"/>
  <c r="C446" i="17"/>
  <c r="A446" i="17"/>
  <c r="D445" i="17"/>
  <c r="C445" i="17"/>
  <c r="A445" i="17"/>
  <c r="B445" i="17" s="1"/>
  <c r="D444" i="17"/>
  <c r="C444" i="17"/>
  <c r="A444" i="17"/>
  <c r="B444" i="17" s="1"/>
  <c r="D443" i="17"/>
  <c r="C443" i="17"/>
  <c r="A443" i="17"/>
  <c r="B443" i="17" s="1"/>
  <c r="D442" i="17"/>
  <c r="C442" i="17"/>
  <c r="A442" i="17"/>
  <c r="B442" i="17" s="1"/>
  <c r="D441" i="17"/>
  <c r="C441" i="17"/>
  <c r="A441" i="17"/>
  <c r="B441" i="17" s="1"/>
  <c r="D440" i="17"/>
  <c r="C440" i="17"/>
  <c r="A440" i="17"/>
  <c r="B440" i="17" s="1"/>
  <c r="D439" i="17"/>
  <c r="C439" i="17"/>
  <c r="A439" i="17"/>
  <c r="B439" i="17" s="1"/>
  <c r="D438" i="17"/>
  <c r="C438" i="17"/>
  <c r="A438" i="17"/>
  <c r="B438" i="17" s="1"/>
  <c r="D437" i="17"/>
  <c r="C437" i="17"/>
  <c r="A437" i="17"/>
  <c r="B437" i="17" s="1"/>
  <c r="D436" i="17"/>
  <c r="C436" i="17"/>
  <c r="A436" i="17"/>
  <c r="B436" i="17" s="1"/>
  <c r="D435" i="17"/>
  <c r="C435" i="17"/>
  <c r="A435" i="17"/>
  <c r="B435" i="17" s="1"/>
  <c r="D434" i="17"/>
  <c r="C434" i="17"/>
  <c r="A434" i="17"/>
  <c r="B434" i="17" s="1"/>
  <c r="D433" i="17"/>
  <c r="C433" i="17"/>
  <c r="A433" i="17"/>
  <c r="B433" i="17" s="1"/>
  <c r="D432" i="17"/>
  <c r="C432" i="17"/>
  <c r="A432" i="17"/>
  <c r="B432" i="17" s="1"/>
  <c r="D431" i="17"/>
  <c r="C431" i="17"/>
  <c r="A431" i="17"/>
  <c r="B431" i="17" s="1"/>
  <c r="D430" i="17"/>
  <c r="C430" i="17"/>
  <c r="A430" i="17"/>
  <c r="B430" i="17" s="1"/>
  <c r="D429" i="17"/>
  <c r="C429" i="17"/>
  <c r="A429" i="17"/>
  <c r="B429" i="17" s="1"/>
  <c r="D428" i="17"/>
  <c r="C428" i="17"/>
  <c r="A428" i="17"/>
  <c r="B428" i="17" s="1"/>
  <c r="D427" i="17"/>
  <c r="C427" i="17"/>
  <c r="A427" i="17"/>
  <c r="B427" i="17" s="1"/>
  <c r="D426" i="17"/>
  <c r="C426" i="17"/>
  <c r="A426" i="17"/>
  <c r="B426" i="17" s="1"/>
  <c r="D425" i="17"/>
  <c r="C425" i="17"/>
  <c r="A425" i="17"/>
  <c r="B425" i="17" s="1"/>
  <c r="D424" i="17"/>
  <c r="C424" i="17"/>
  <c r="A424" i="17"/>
  <c r="B424" i="17" s="1"/>
  <c r="D423" i="17"/>
  <c r="C423" i="17"/>
  <c r="A423" i="17"/>
  <c r="B423" i="17" s="1"/>
  <c r="D422" i="17"/>
  <c r="C422" i="17"/>
  <c r="A422" i="17"/>
  <c r="B422" i="17" s="1"/>
  <c r="D421" i="17"/>
  <c r="C421" i="17"/>
  <c r="A421" i="17"/>
  <c r="B421" i="17" s="1"/>
  <c r="D420" i="17"/>
  <c r="C420" i="17"/>
  <c r="A420" i="17"/>
  <c r="B420" i="17" s="1"/>
  <c r="D419" i="17"/>
  <c r="C419" i="17"/>
  <c r="A419" i="17"/>
  <c r="B419" i="17" s="1"/>
  <c r="D418" i="17"/>
  <c r="C418" i="17"/>
  <c r="A418" i="17"/>
  <c r="B418" i="17" s="1"/>
  <c r="D417" i="17"/>
  <c r="C417" i="17"/>
  <c r="A417" i="17"/>
  <c r="B417" i="17" s="1"/>
  <c r="D416" i="17"/>
  <c r="C416" i="17"/>
  <c r="A416" i="17"/>
  <c r="B416" i="17" s="1"/>
  <c r="D415" i="17"/>
  <c r="C415" i="17"/>
  <c r="A415" i="17"/>
  <c r="B415" i="17" s="1"/>
  <c r="D414" i="17"/>
  <c r="C414" i="17"/>
  <c r="A414" i="17"/>
  <c r="D413" i="17"/>
  <c r="C413" i="17"/>
  <c r="A413" i="17"/>
  <c r="B413" i="17" s="1"/>
  <c r="D412" i="17"/>
  <c r="C412" i="17"/>
  <c r="A412" i="17"/>
  <c r="B412" i="17" s="1"/>
  <c r="D411" i="17"/>
  <c r="C411" i="17"/>
  <c r="A411" i="17"/>
  <c r="B411" i="17" s="1"/>
  <c r="D410" i="17"/>
  <c r="C410" i="17"/>
  <c r="A410" i="17"/>
  <c r="B410" i="17" s="1"/>
  <c r="D409" i="17"/>
  <c r="C409" i="17"/>
  <c r="A409" i="17"/>
  <c r="B409" i="17" s="1"/>
  <c r="D408" i="17"/>
  <c r="C408" i="17"/>
  <c r="A408" i="17"/>
  <c r="B408" i="17" s="1"/>
  <c r="D407" i="17"/>
  <c r="C407" i="17"/>
  <c r="A407" i="17"/>
  <c r="B407" i="17" s="1"/>
  <c r="D406" i="17"/>
  <c r="C406" i="17"/>
  <c r="A406" i="17"/>
  <c r="B406" i="17" s="1"/>
  <c r="D405" i="17"/>
  <c r="C405" i="17"/>
  <c r="A405" i="17"/>
  <c r="B405" i="17" s="1"/>
  <c r="D404" i="17"/>
  <c r="C404" i="17"/>
  <c r="A404" i="17"/>
  <c r="B404" i="17" s="1"/>
  <c r="D403" i="17"/>
  <c r="C403" i="17"/>
  <c r="A403" i="17"/>
  <c r="B403" i="17" s="1"/>
  <c r="D402" i="17"/>
  <c r="C402" i="17"/>
  <c r="A402" i="17"/>
  <c r="B402" i="17" s="1"/>
  <c r="D401" i="17"/>
  <c r="C401" i="17"/>
  <c r="A401" i="17"/>
  <c r="B401" i="17" s="1"/>
  <c r="D400" i="17"/>
  <c r="C400" i="17"/>
  <c r="A400" i="17"/>
  <c r="B400" i="17" s="1"/>
  <c r="D399" i="17"/>
  <c r="C399" i="17"/>
  <c r="A399" i="17"/>
  <c r="B399" i="17" s="1"/>
  <c r="D398" i="17"/>
  <c r="C398" i="17"/>
  <c r="A398" i="17"/>
  <c r="B398" i="17" s="1"/>
  <c r="D397" i="17"/>
  <c r="C397" i="17"/>
  <c r="A397" i="17"/>
  <c r="B397" i="17" s="1"/>
  <c r="D396" i="17"/>
  <c r="C396" i="17"/>
  <c r="A396" i="17"/>
  <c r="B396" i="17" s="1"/>
  <c r="D395" i="17"/>
  <c r="C395" i="17"/>
  <c r="A395" i="17"/>
  <c r="B395" i="17" s="1"/>
  <c r="D394" i="17"/>
  <c r="C394" i="17"/>
  <c r="A394" i="17"/>
  <c r="B394" i="17" s="1"/>
  <c r="D393" i="17"/>
  <c r="C393" i="17"/>
  <c r="A393" i="17"/>
  <c r="B393" i="17" s="1"/>
  <c r="D392" i="17"/>
  <c r="C392" i="17"/>
  <c r="A392" i="17"/>
  <c r="B392" i="17" s="1"/>
  <c r="D391" i="17"/>
  <c r="C391" i="17"/>
  <c r="A391" i="17"/>
  <c r="B391" i="17" s="1"/>
  <c r="D390" i="17"/>
  <c r="C390" i="17"/>
  <c r="A390" i="17"/>
  <c r="B390" i="17" s="1"/>
  <c r="D389" i="17"/>
  <c r="C389" i="17"/>
  <c r="A389" i="17"/>
  <c r="B389" i="17" s="1"/>
  <c r="D388" i="17"/>
  <c r="C388" i="17"/>
  <c r="A388" i="17"/>
  <c r="B388" i="17" s="1"/>
  <c r="D387" i="17"/>
  <c r="C387" i="17"/>
  <c r="A387" i="17"/>
  <c r="B387" i="17" s="1"/>
  <c r="D386" i="17"/>
  <c r="C386" i="17"/>
  <c r="A386" i="17"/>
  <c r="B386" i="17" s="1"/>
  <c r="D385" i="17"/>
  <c r="C385" i="17"/>
  <c r="A385" i="17"/>
  <c r="B385" i="17" s="1"/>
  <c r="D384" i="17"/>
  <c r="C384" i="17"/>
  <c r="A384" i="17"/>
  <c r="B384" i="17" s="1"/>
  <c r="D383" i="17"/>
  <c r="C383" i="17"/>
  <c r="A383" i="17"/>
  <c r="B383" i="17" s="1"/>
  <c r="D382" i="17"/>
  <c r="C382" i="17"/>
  <c r="A382" i="17"/>
  <c r="B382" i="17" s="1"/>
  <c r="D381" i="17"/>
  <c r="C381" i="17"/>
  <c r="A381" i="17"/>
  <c r="B381" i="17" s="1"/>
  <c r="D380" i="17"/>
  <c r="C380" i="17"/>
  <c r="A380" i="17"/>
  <c r="B380" i="17" s="1"/>
  <c r="D379" i="17"/>
  <c r="C379" i="17"/>
  <c r="A379" i="17"/>
  <c r="B379" i="17" s="1"/>
  <c r="D378" i="17"/>
  <c r="C378" i="17"/>
  <c r="A378" i="17"/>
  <c r="B378" i="17" s="1"/>
  <c r="D377" i="17"/>
  <c r="C377" i="17"/>
  <c r="A377" i="17"/>
  <c r="B377" i="17" s="1"/>
  <c r="D376" i="17"/>
  <c r="C376" i="17"/>
  <c r="A376" i="17"/>
  <c r="B376" i="17" s="1"/>
  <c r="D375" i="17"/>
  <c r="C375" i="17"/>
  <c r="A375" i="17"/>
  <c r="B375" i="17" s="1"/>
  <c r="D374" i="17"/>
  <c r="C374" i="17"/>
  <c r="A374" i="17"/>
  <c r="B374" i="17" s="1"/>
  <c r="D373" i="17"/>
  <c r="C373" i="17"/>
  <c r="A373" i="17"/>
  <c r="B373" i="17" s="1"/>
  <c r="D372" i="17"/>
  <c r="C372" i="17"/>
  <c r="A372" i="17"/>
  <c r="B372" i="17" s="1"/>
  <c r="D371" i="17"/>
  <c r="C371" i="17"/>
  <c r="A371" i="17"/>
  <c r="B371" i="17" s="1"/>
  <c r="D370" i="17"/>
  <c r="C370" i="17"/>
  <c r="A370" i="17"/>
  <c r="B370" i="17" s="1"/>
  <c r="D369" i="17"/>
  <c r="C369" i="17"/>
  <c r="A369" i="17"/>
  <c r="B369" i="17" s="1"/>
  <c r="D368" i="17"/>
  <c r="C368" i="17"/>
  <c r="A368" i="17"/>
  <c r="B368" i="17" s="1"/>
  <c r="D367" i="17"/>
  <c r="C367" i="17"/>
  <c r="A367" i="17"/>
  <c r="B367" i="17" s="1"/>
  <c r="D366" i="17"/>
  <c r="C366" i="17"/>
  <c r="A366" i="17"/>
  <c r="B366" i="17" s="1"/>
  <c r="D365" i="17"/>
  <c r="C365" i="17"/>
  <c r="A365" i="17"/>
  <c r="B365" i="17" s="1"/>
  <c r="D364" i="17"/>
  <c r="C364" i="17"/>
  <c r="A364" i="17"/>
  <c r="B364" i="17" s="1"/>
  <c r="D363" i="17"/>
  <c r="C363" i="17"/>
  <c r="A363" i="17"/>
  <c r="B363" i="17" s="1"/>
  <c r="D362" i="17"/>
  <c r="C362" i="17"/>
  <c r="A362" i="17"/>
  <c r="B362" i="17" s="1"/>
  <c r="D361" i="17"/>
  <c r="C361" i="17"/>
  <c r="A361" i="17"/>
  <c r="B361" i="17" s="1"/>
  <c r="D360" i="17"/>
  <c r="C360" i="17"/>
  <c r="A360" i="17"/>
  <c r="B360" i="17" s="1"/>
  <c r="D359" i="17"/>
  <c r="C359" i="17"/>
  <c r="A359" i="17"/>
  <c r="B359" i="17" s="1"/>
  <c r="D358" i="17"/>
  <c r="C358" i="17"/>
  <c r="A358" i="17"/>
  <c r="B358" i="17" s="1"/>
  <c r="D357" i="17"/>
  <c r="C357" i="17"/>
  <c r="A357" i="17"/>
  <c r="B357" i="17" s="1"/>
  <c r="D356" i="17"/>
  <c r="C356" i="17"/>
  <c r="A356" i="17"/>
  <c r="B356" i="17" s="1"/>
  <c r="D355" i="17"/>
  <c r="C355" i="17"/>
  <c r="A355" i="17"/>
  <c r="B355" i="17" s="1"/>
  <c r="D354" i="17"/>
  <c r="C354" i="17"/>
  <c r="A354" i="17"/>
  <c r="B354" i="17" s="1"/>
  <c r="D353" i="17"/>
  <c r="C353" i="17"/>
  <c r="A353" i="17"/>
  <c r="B353" i="17" s="1"/>
  <c r="D352" i="17"/>
  <c r="C352" i="17"/>
  <c r="A352" i="17"/>
  <c r="B352" i="17" s="1"/>
  <c r="D351" i="17"/>
  <c r="C351" i="17"/>
  <c r="A351" i="17"/>
  <c r="B351" i="17" s="1"/>
  <c r="D350" i="17"/>
  <c r="C350" i="17"/>
  <c r="A350" i="17"/>
  <c r="B350" i="17" s="1"/>
  <c r="D349" i="17"/>
  <c r="C349" i="17"/>
  <c r="A349" i="17"/>
  <c r="B349" i="17" s="1"/>
  <c r="D348" i="17"/>
  <c r="C348" i="17"/>
  <c r="A348" i="17"/>
  <c r="B348" i="17" s="1"/>
  <c r="D347" i="17"/>
  <c r="C347" i="17"/>
  <c r="A347" i="17"/>
  <c r="B347" i="17" s="1"/>
  <c r="D346" i="17"/>
  <c r="C346" i="17"/>
  <c r="A346" i="17"/>
  <c r="B346" i="17" s="1"/>
  <c r="D345" i="17"/>
  <c r="C345" i="17"/>
  <c r="A345" i="17"/>
  <c r="B345" i="17" s="1"/>
  <c r="D344" i="17"/>
  <c r="C344" i="17"/>
  <c r="A344" i="17"/>
  <c r="B344" i="17" s="1"/>
  <c r="D343" i="17"/>
  <c r="C343" i="17"/>
  <c r="A343" i="17"/>
  <c r="B343" i="17" s="1"/>
  <c r="D342" i="17"/>
  <c r="C342" i="17"/>
  <c r="A342" i="17"/>
  <c r="B342" i="17" s="1"/>
  <c r="D341" i="17"/>
  <c r="C341" i="17"/>
  <c r="A341" i="17"/>
  <c r="B341" i="17" s="1"/>
  <c r="D340" i="17"/>
  <c r="C340" i="17"/>
  <c r="A340" i="17"/>
  <c r="B340" i="17" s="1"/>
  <c r="D339" i="17"/>
  <c r="C339" i="17"/>
  <c r="A339" i="17"/>
  <c r="B339" i="17" s="1"/>
  <c r="D338" i="17"/>
  <c r="C338" i="17"/>
  <c r="A338" i="17"/>
  <c r="B338" i="17" s="1"/>
  <c r="D337" i="17"/>
  <c r="C337" i="17"/>
  <c r="A337" i="17"/>
  <c r="B337" i="17" s="1"/>
  <c r="D336" i="17"/>
  <c r="C336" i="17"/>
  <c r="A336" i="17"/>
  <c r="B336" i="17" s="1"/>
  <c r="D335" i="17"/>
  <c r="C335" i="17"/>
  <c r="A335" i="17"/>
  <c r="B335" i="17" s="1"/>
  <c r="D334" i="17"/>
  <c r="C334" i="17"/>
  <c r="A334" i="17"/>
  <c r="B334" i="17" s="1"/>
  <c r="D333" i="17"/>
  <c r="C333" i="17"/>
  <c r="A333" i="17"/>
  <c r="B333" i="17" s="1"/>
  <c r="D332" i="17"/>
  <c r="C332" i="17"/>
  <c r="A332" i="17"/>
  <c r="B332" i="17" s="1"/>
  <c r="D331" i="17"/>
  <c r="C331" i="17"/>
  <c r="A331" i="17"/>
  <c r="B331" i="17" s="1"/>
  <c r="D330" i="17"/>
  <c r="C330" i="17"/>
  <c r="A330" i="17"/>
  <c r="B330" i="17" s="1"/>
  <c r="D329" i="17"/>
  <c r="C329" i="17"/>
  <c r="A329" i="17"/>
  <c r="B329" i="17" s="1"/>
  <c r="D328" i="17"/>
  <c r="C328" i="17"/>
  <c r="A328" i="17"/>
  <c r="B328" i="17" s="1"/>
  <c r="D327" i="17"/>
  <c r="C327" i="17"/>
  <c r="A327" i="17"/>
  <c r="B327" i="17" s="1"/>
  <c r="D326" i="17"/>
  <c r="C326" i="17"/>
  <c r="A326" i="17"/>
  <c r="B326" i="17" s="1"/>
  <c r="D325" i="17"/>
  <c r="C325" i="17"/>
  <c r="A325" i="17"/>
  <c r="B325" i="17" s="1"/>
  <c r="D324" i="17"/>
  <c r="C324" i="17"/>
  <c r="A324" i="17"/>
  <c r="B324" i="17" s="1"/>
  <c r="D323" i="17"/>
  <c r="C323" i="17"/>
  <c r="A323" i="17"/>
  <c r="B323" i="17" s="1"/>
  <c r="D322" i="17"/>
  <c r="C322" i="17"/>
  <c r="A322" i="17"/>
  <c r="B322" i="17" s="1"/>
  <c r="D321" i="17"/>
  <c r="C321" i="17"/>
  <c r="A321" i="17"/>
  <c r="B321" i="17" s="1"/>
  <c r="D320" i="17"/>
  <c r="C320" i="17"/>
  <c r="A320" i="17"/>
  <c r="B320" i="17" s="1"/>
  <c r="D319" i="17"/>
  <c r="C319" i="17"/>
  <c r="A319" i="17"/>
  <c r="B319" i="17" s="1"/>
  <c r="D318" i="17"/>
  <c r="C318" i="17"/>
  <c r="A318" i="17"/>
  <c r="B318" i="17" s="1"/>
  <c r="D317" i="17"/>
  <c r="C317" i="17"/>
  <c r="A317" i="17"/>
  <c r="B317" i="17" s="1"/>
  <c r="D316" i="17"/>
  <c r="C316" i="17"/>
  <c r="A316" i="17"/>
  <c r="B316" i="17" s="1"/>
  <c r="D315" i="17"/>
  <c r="C315" i="17"/>
  <c r="A315" i="17"/>
  <c r="B315" i="17" s="1"/>
  <c r="D314" i="17"/>
  <c r="C314" i="17"/>
  <c r="A314" i="17"/>
  <c r="B314" i="17" s="1"/>
  <c r="D313" i="17"/>
  <c r="C313" i="17"/>
  <c r="A313" i="17"/>
  <c r="B313" i="17" s="1"/>
  <c r="D312" i="17"/>
  <c r="C312" i="17"/>
  <c r="A312" i="17"/>
  <c r="B312" i="17" s="1"/>
  <c r="D311" i="17"/>
  <c r="C311" i="17"/>
  <c r="A311" i="17"/>
  <c r="B311" i="17" s="1"/>
  <c r="D310" i="17"/>
  <c r="C310" i="17"/>
  <c r="A310" i="17"/>
  <c r="B310" i="17" s="1"/>
  <c r="D309" i="17"/>
  <c r="C309" i="17"/>
  <c r="A309" i="17"/>
  <c r="B309" i="17" s="1"/>
  <c r="D308" i="17"/>
  <c r="C308" i="17"/>
  <c r="A308" i="17"/>
  <c r="B308" i="17" s="1"/>
  <c r="D307" i="17"/>
  <c r="C307" i="17"/>
  <c r="A307" i="17"/>
  <c r="B307" i="17" s="1"/>
  <c r="D306" i="17"/>
  <c r="C306" i="17"/>
  <c r="A306" i="17"/>
  <c r="B306" i="17" s="1"/>
  <c r="D305" i="17"/>
  <c r="C305" i="17"/>
  <c r="A305" i="17"/>
  <c r="B305" i="17" s="1"/>
  <c r="D304" i="17"/>
  <c r="C304" i="17"/>
  <c r="A304" i="17"/>
  <c r="B304" i="17" s="1"/>
  <c r="D303" i="17"/>
  <c r="C303" i="17"/>
  <c r="A303" i="17"/>
  <c r="B303" i="17" s="1"/>
  <c r="D302" i="17"/>
  <c r="C302" i="17"/>
  <c r="A302" i="17"/>
  <c r="B302" i="17" s="1"/>
  <c r="D301" i="17"/>
  <c r="C301" i="17"/>
  <c r="A301" i="17"/>
  <c r="B301" i="17" s="1"/>
  <c r="D300" i="17"/>
  <c r="C300" i="17"/>
  <c r="A300" i="17"/>
  <c r="B300" i="17" s="1"/>
  <c r="D299" i="17"/>
  <c r="C299" i="17"/>
  <c r="A299" i="17"/>
  <c r="B299" i="17" s="1"/>
  <c r="D298" i="17"/>
  <c r="C298" i="17"/>
  <c r="A298" i="17"/>
  <c r="B298" i="17" s="1"/>
  <c r="D297" i="17"/>
  <c r="C297" i="17"/>
  <c r="A297" i="17"/>
  <c r="B297" i="17" s="1"/>
  <c r="D296" i="17"/>
  <c r="C296" i="17"/>
  <c r="A296" i="17"/>
  <c r="B296" i="17" s="1"/>
  <c r="D295" i="17"/>
  <c r="C295" i="17"/>
  <c r="A295" i="17"/>
  <c r="B295" i="17" s="1"/>
  <c r="D294" i="17"/>
  <c r="C294" i="17"/>
  <c r="A294" i="17"/>
  <c r="B294" i="17" s="1"/>
  <c r="D293" i="17"/>
  <c r="C293" i="17"/>
  <c r="A293" i="17"/>
  <c r="B293" i="17" s="1"/>
  <c r="D292" i="17"/>
  <c r="C292" i="17"/>
  <c r="A292" i="17"/>
  <c r="B292" i="17" s="1"/>
  <c r="D291" i="17"/>
  <c r="C291" i="17"/>
  <c r="A291" i="17"/>
  <c r="B291" i="17" s="1"/>
  <c r="D290" i="17"/>
  <c r="C290" i="17"/>
  <c r="A290" i="17"/>
  <c r="B290" i="17" s="1"/>
  <c r="D289" i="17"/>
  <c r="C289" i="17"/>
  <c r="A289" i="17"/>
  <c r="B289" i="17" s="1"/>
  <c r="D288" i="17"/>
  <c r="C288" i="17"/>
  <c r="A288" i="17"/>
  <c r="B288" i="17" s="1"/>
  <c r="D287" i="17"/>
  <c r="C287" i="17"/>
  <c r="A287" i="17"/>
  <c r="B287" i="17" s="1"/>
  <c r="D286" i="17"/>
  <c r="C286" i="17"/>
  <c r="A286" i="17"/>
  <c r="B286" i="17" s="1"/>
  <c r="D285" i="17"/>
  <c r="C285" i="17"/>
  <c r="A285" i="17"/>
  <c r="B285" i="17" s="1"/>
  <c r="D284" i="17"/>
  <c r="C284" i="17"/>
  <c r="A284" i="17"/>
  <c r="B284" i="17" s="1"/>
  <c r="D283" i="17"/>
  <c r="C283" i="17"/>
  <c r="A283" i="17"/>
  <c r="B283" i="17" s="1"/>
  <c r="D282" i="17"/>
  <c r="C282" i="17"/>
  <c r="A282" i="17"/>
  <c r="B282" i="17" s="1"/>
  <c r="D281" i="17"/>
  <c r="C281" i="17"/>
  <c r="A281" i="17"/>
  <c r="B281" i="17" s="1"/>
  <c r="D280" i="17"/>
  <c r="C280" i="17"/>
  <c r="A280" i="17"/>
  <c r="B280" i="17" s="1"/>
  <c r="D279" i="17"/>
  <c r="C279" i="17"/>
  <c r="A279" i="17"/>
  <c r="B279" i="17" s="1"/>
  <c r="D278" i="17"/>
  <c r="C278" i="17"/>
  <c r="A278" i="17"/>
  <c r="B278" i="17" s="1"/>
  <c r="D277" i="17"/>
  <c r="C277" i="17"/>
  <c r="A277" i="17"/>
  <c r="B277" i="17" s="1"/>
  <c r="D276" i="17"/>
  <c r="C276" i="17"/>
  <c r="A276" i="17"/>
  <c r="B276" i="17" s="1"/>
  <c r="D275" i="17"/>
  <c r="C275" i="17"/>
  <c r="A275" i="17"/>
  <c r="B275" i="17" s="1"/>
  <c r="D274" i="17"/>
  <c r="C274" i="17"/>
  <c r="A274" i="17"/>
  <c r="D273" i="17"/>
  <c r="C273" i="17"/>
  <c r="A273" i="17"/>
  <c r="D272" i="17"/>
  <c r="C272" i="17"/>
  <c r="A272" i="17"/>
  <c r="B272" i="17" s="1"/>
  <c r="D271" i="17"/>
  <c r="C271" i="17"/>
  <c r="A271" i="17"/>
  <c r="D270" i="17"/>
  <c r="C270" i="17"/>
  <c r="A270" i="17"/>
  <c r="D269" i="17"/>
  <c r="C269" i="17"/>
  <c r="A269" i="17"/>
  <c r="B269" i="17" s="1"/>
  <c r="D268" i="17"/>
  <c r="C268" i="17"/>
  <c r="A268" i="17"/>
  <c r="B268" i="17" s="1"/>
  <c r="D267" i="17"/>
  <c r="C267" i="17"/>
  <c r="A267" i="17"/>
  <c r="B267" i="17" s="1"/>
  <c r="D266" i="17"/>
  <c r="C266" i="17"/>
  <c r="A266" i="17"/>
  <c r="B266" i="17" s="1"/>
  <c r="D265" i="17"/>
  <c r="C265" i="17"/>
  <c r="A265" i="17"/>
  <c r="B265" i="17" s="1"/>
  <c r="D264" i="17"/>
  <c r="C264" i="17"/>
  <c r="A264" i="17"/>
  <c r="B264" i="17" s="1"/>
  <c r="D263" i="17"/>
  <c r="C263" i="17"/>
  <c r="A263" i="17"/>
  <c r="B263" i="17" s="1"/>
  <c r="D262" i="17"/>
  <c r="C262" i="17"/>
  <c r="A262" i="17"/>
  <c r="D261" i="17"/>
  <c r="C261" i="17"/>
  <c r="A261" i="17"/>
  <c r="B261" i="17" s="1"/>
  <c r="D260" i="17"/>
  <c r="C260" i="17"/>
  <c r="A260" i="17"/>
  <c r="B260" i="17" s="1"/>
  <c r="D259" i="17"/>
  <c r="C259" i="17"/>
  <c r="A259" i="17"/>
  <c r="B259" i="17" s="1"/>
  <c r="D258" i="17"/>
  <c r="C258" i="17"/>
  <c r="A258" i="17"/>
  <c r="B258" i="17" s="1"/>
  <c r="D257" i="17"/>
  <c r="C257" i="17"/>
  <c r="A257" i="17"/>
  <c r="B257" i="17" s="1"/>
  <c r="D256" i="17"/>
  <c r="C256" i="17"/>
  <c r="A256" i="17"/>
  <c r="B256" i="17" s="1"/>
  <c r="D255" i="17"/>
  <c r="C255" i="17"/>
  <c r="A255" i="17"/>
  <c r="B255" i="17" s="1"/>
  <c r="D254" i="17"/>
  <c r="C254" i="17"/>
  <c r="A254" i="17"/>
  <c r="B254" i="17" s="1"/>
  <c r="D253" i="17"/>
  <c r="C253" i="17"/>
  <c r="A253" i="17"/>
  <c r="B253" i="17" s="1"/>
  <c r="D252" i="17"/>
  <c r="C252" i="17"/>
  <c r="A252" i="17"/>
  <c r="B252" i="17" s="1"/>
  <c r="D251" i="17"/>
  <c r="C251" i="17"/>
  <c r="A251" i="17"/>
  <c r="B251" i="17" s="1"/>
  <c r="D250" i="17"/>
  <c r="C250" i="17"/>
  <c r="A250" i="17"/>
  <c r="B250" i="17" s="1"/>
  <c r="D249" i="17"/>
  <c r="C249" i="17"/>
  <c r="A249" i="17"/>
  <c r="B249" i="17" s="1"/>
  <c r="D248" i="17"/>
  <c r="C248" i="17"/>
  <c r="A248" i="17"/>
  <c r="B248" i="17" s="1"/>
  <c r="D247" i="17"/>
  <c r="C247" i="17"/>
  <c r="A247" i="17"/>
  <c r="B247" i="17" s="1"/>
  <c r="D246" i="17"/>
  <c r="C246" i="17"/>
  <c r="A246" i="17"/>
  <c r="B246" i="17" s="1"/>
  <c r="D245" i="17"/>
  <c r="C245" i="17"/>
  <c r="A245" i="17"/>
  <c r="B245" i="17" s="1"/>
  <c r="D244" i="17"/>
  <c r="C244" i="17"/>
  <c r="A244" i="17"/>
  <c r="B244" i="17" s="1"/>
  <c r="D243" i="17"/>
  <c r="C243" i="17"/>
  <c r="A243" i="17"/>
  <c r="B243" i="17" s="1"/>
  <c r="D242" i="17"/>
  <c r="C242" i="17"/>
  <c r="A242" i="17"/>
  <c r="B242" i="17" s="1"/>
  <c r="D241" i="17"/>
  <c r="C241" i="17"/>
  <c r="A241" i="17"/>
  <c r="B241" i="17" s="1"/>
  <c r="D240" i="17"/>
  <c r="C240" i="17"/>
  <c r="A240" i="17"/>
  <c r="B240" i="17" s="1"/>
  <c r="D239" i="17"/>
  <c r="C239" i="17"/>
  <c r="A239" i="17"/>
  <c r="B239" i="17" s="1"/>
  <c r="D238" i="17"/>
  <c r="C238" i="17"/>
  <c r="A238" i="17"/>
  <c r="B238" i="17" s="1"/>
  <c r="D237" i="17"/>
  <c r="C237" i="17"/>
  <c r="A237" i="17"/>
  <c r="B237" i="17" s="1"/>
  <c r="D236" i="17"/>
  <c r="C236" i="17"/>
  <c r="A236" i="17"/>
  <c r="B236" i="17" s="1"/>
  <c r="D235" i="17"/>
  <c r="C235" i="17"/>
  <c r="A235" i="17"/>
  <c r="B235" i="17" s="1"/>
  <c r="D234" i="17"/>
  <c r="C234" i="17"/>
  <c r="A234" i="17"/>
  <c r="B234" i="17" s="1"/>
  <c r="D233" i="17"/>
  <c r="C233" i="17"/>
  <c r="A233" i="17"/>
  <c r="B233" i="17" s="1"/>
  <c r="D232" i="17"/>
  <c r="C232" i="17"/>
  <c r="A232" i="17"/>
  <c r="B232" i="17" s="1"/>
  <c r="D231" i="17"/>
  <c r="C231" i="17"/>
  <c r="A231" i="17"/>
  <c r="B231" i="17" s="1"/>
  <c r="D230" i="17"/>
  <c r="C230" i="17"/>
  <c r="A230" i="17"/>
  <c r="B230" i="17" s="1"/>
  <c r="D229" i="17"/>
  <c r="C229" i="17"/>
  <c r="A229" i="17"/>
  <c r="B229" i="17" s="1"/>
  <c r="D228" i="17"/>
  <c r="C228" i="17"/>
  <c r="A228" i="17"/>
  <c r="B228" i="17" s="1"/>
  <c r="D227" i="17"/>
  <c r="C227" i="17"/>
  <c r="A227" i="17"/>
  <c r="B227" i="17" s="1"/>
  <c r="D226" i="17"/>
  <c r="C226" i="17"/>
  <c r="A226" i="17"/>
  <c r="B226" i="17" s="1"/>
  <c r="D225" i="17"/>
  <c r="C225" i="17"/>
  <c r="A225" i="17"/>
  <c r="B225" i="17" s="1"/>
  <c r="D224" i="17"/>
  <c r="C224" i="17"/>
  <c r="A224" i="17"/>
  <c r="B224" i="17" s="1"/>
  <c r="D223" i="17"/>
  <c r="C223" i="17"/>
  <c r="A223" i="17"/>
  <c r="B223" i="17" s="1"/>
  <c r="D222" i="17"/>
  <c r="C222" i="17"/>
  <c r="A222" i="17"/>
  <c r="B222" i="17" s="1"/>
  <c r="D221" i="17"/>
  <c r="C221" i="17"/>
  <c r="A221" i="17"/>
  <c r="B221" i="17" s="1"/>
  <c r="D220" i="17"/>
  <c r="C220" i="17"/>
  <c r="A220" i="17"/>
  <c r="B220" i="17" s="1"/>
  <c r="D219" i="17"/>
  <c r="C219" i="17"/>
  <c r="A219" i="17"/>
  <c r="B219" i="17" s="1"/>
  <c r="D218" i="17"/>
  <c r="C218" i="17"/>
  <c r="A218" i="17"/>
  <c r="B218" i="17" s="1"/>
  <c r="D217" i="17"/>
  <c r="C217" i="17"/>
  <c r="A217" i="17"/>
  <c r="B217" i="17" s="1"/>
  <c r="D216" i="17"/>
  <c r="C216" i="17"/>
  <c r="A216" i="17"/>
  <c r="B216" i="17" s="1"/>
  <c r="D215" i="17"/>
  <c r="C215" i="17"/>
  <c r="A215" i="17"/>
  <c r="B215" i="17" s="1"/>
  <c r="D214" i="17"/>
  <c r="C214" i="17"/>
  <c r="A214" i="17"/>
  <c r="B214" i="17" s="1"/>
  <c r="D213" i="17"/>
  <c r="C213" i="17"/>
  <c r="A213" i="17"/>
  <c r="B213" i="17" s="1"/>
  <c r="D212" i="17"/>
  <c r="C212" i="17"/>
  <c r="A212" i="17"/>
  <c r="B212" i="17" s="1"/>
  <c r="D211" i="17"/>
  <c r="C211" i="17"/>
  <c r="A211" i="17"/>
  <c r="B211" i="17" s="1"/>
  <c r="D210" i="17"/>
  <c r="C210" i="17"/>
  <c r="A210" i="17"/>
  <c r="B210" i="17" s="1"/>
  <c r="D209" i="17"/>
  <c r="C209" i="17"/>
  <c r="A209" i="17"/>
  <c r="B209" i="17" s="1"/>
  <c r="D208" i="17"/>
  <c r="C208" i="17"/>
  <c r="A208" i="17"/>
  <c r="B208" i="17" s="1"/>
  <c r="D207" i="17"/>
  <c r="C207" i="17"/>
  <c r="A207" i="17"/>
  <c r="B207" i="17" s="1"/>
  <c r="D206" i="17"/>
  <c r="C206" i="17"/>
  <c r="A206" i="17"/>
  <c r="B206" i="17" s="1"/>
  <c r="D205" i="17"/>
  <c r="C205" i="17"/>
  <c r="A205" i="17"/>
  <c r="B205" i="17" s="1"/>
  <c r="D204" i="17"/>
  <c r="C204" i="17"/>
  <c r="A204" i="17"/>
  <c r="B204" i="17" s="1"/>
  <c r="D203" i="17"/>
  <c r="C203" i="17"/>
  <c r="A203" i="17"/>
  <c r="B203" i="17" s="1"/>
  <c r="D202" i="17"/>
  <c r="C202" i="17"/>
  <c r="A202" i="17"/>
  <c r="B202" i="17" s="1"/>
  <c r="D201" i="17"/>
  <c r="C201" i="17"/>
  <c r="A201" i="17"/>
  <c r="B201" i="17" s="1"/>
  <c r="D200" i="17"/>
  <c r="C200" i="17"/>
  <c r="A200" i="17"/>
  <c r="B200" i="17" s="1"/>
  <c r="D199" i="17"/>
  <c r="C199" i="17"/>
  <c r="A199" i="17"/>
  <c r="B199" i="17" s="1"/>
  <c r="D198" i="17"/>
  <c r="C198" i="17"/>
  <c r="A198" i="17"/>
  <c r="B198" i="17" s="1"/>
  <c r="D197" i="17"/>
  <c r="C197" i="17"/>
  <c r="A197" i="17"/>
  <c r="B197" i="17" s="1"/>
  <c r="D196" i="17"/>
  <c r="C196" i="17"/>
  <c r="A196" i="17"/>
  <c r="B196" i="17" s="1"/>
  <c r="D195" i="17"/>
  <c r="C195" i="17"/>
  <c r="A195" i="17"/>
  <c r="B195" i="17" s="1"/>
  <c r="D194" i="17"/>
  <c r="C194" i="17"/>
  <c r="A194" i="17"/>
  <c r="B194" i="17" s="1"/>
  <c r="D193" i="17"/>
  <c r="C193" i="17"/>
  <c r="A193" i="17"/>
  <c r="B193" i="17" s="1"/>
  <c r="D192" i="17"/>
  <c r="C192" i="17"/>
  <c r="A192" i="17"/>
  <c r="B192" i="17" s="1"/>
  <c r="D191" i="17"/>
  <c r="C191" i="17"/>
  <c r="A191" i="17"/>
  <c r="B191" i="17" s="1"/>
  <c r="D190" i="17"/>
  <c r="C190" i="17"/>
  <c r="A190" i="17"/>
  <c r="B190" i="17" s="1"/>
  <c r="D189" i="17"/>
  <c r="C189" i="17"/>
  <c r="A189" i="17"/>
  <c r="B189" i="17" s="1"/>
  <c r="D188" i="17"/>
  <c r="C188" i="17"/>
  <c r="A188" i="17"/>
  <c r="B188" i="17" s="1"/>
  <c r="D187" i="17"/>
  <c r="C187" i="17"/>
  <c r="A187" i="17"/>
  <c r="B187" i="17" s="1"/>
  <c r="D186" i="17"/>
  <c r="C186" i="17"/>
  <c r="A186" i="17"/>
  <c r="B186" i="17" s="1"/>
  <c r="D185" i="17"/>
  <c r="C185" i="17"/>
  <c r="A185" i="17"/>
  <c r="B185" i="17" s="1"/>
  <c r="D184" i="17"/>
  <c r="C184" i="17"/>
  <c r="A184" i="17"/>
  <c r="B184" i="17" s="1"/>
  <c r="D183" i="17"/>
  <c r="C183" i="17"/>
  <c r="A183" i="17"/>
  <c r="B183" i="17" s="1"/>
  <c r="D182" i="17"/>
  <c r="C182" i="17"/>
  <c r="A182" i="17"/>
  <c r="B182" i="17" s="1"/>
  <c r="D181" i="17"/>
  <c r="C181" i="17"/>
  <c r="A181" i="17"/>
  <c r="B181" i="17" s="1"/>
  <c r="D180" i="17"/>
  <c r="C180" i="17"/>
  <c r="A180" i="17"/>
  <c r="B180" i="17" s="1"/>
  <c r="D179" i="17"/>
  <c r="C179" i="17"/>
  <c r="A179" i="17"/>
  <c r="B179" i="17" s="1"/>
  <c r="D178" i="17"/>
  <c r="C178" i="17"/>
  <c r="A178" i="17"/>
  <c r="B178" i="17" s="1"/>
  <c r="D177" i="17"/>
  <c r="C177" i="17"/>
  <c r="A177" i="17"/>
  <c r="B177" i="17" s="1"/>
  <c r="D176" i="17"/>
  <c r="C176" i="17"/>
  <c r="A176" i="17"/>
  <c r="B176" i="17" s="1"/>
  <c r="D175" i="17"/>
  <c r="C175" i="17"/>
  <c r="A175" i="17"/>
  <c r="B175" i="17" s="1"/>
  <c r="D174" i="17"/>
  <c r="C174" i="17"/>
  <c r="A174" i="17"/>
  <c r="B174" i="17" s="1"/>
  <c r="D173" i="17"/>
  <c r="C173" i="17"/>
  <c r="A173" i="17"/>
  <c r="B173" i="17" s="1"/>
  <c r="D172" i="17"/>
  <c r="C172" i="17"/>
  <c r="A172" i="17"/>
  <c r="B172" i="17" s="1"/>
  <c r="D171" i="17"/>
  <c r="C171" i="17"/>
  <c r="A171" i="17"/>
  <c r="B171" i="17" s="1"/>
  <c r="D170" i="17"/>
  <c r="C170" i="17"/>
  <c r="A170" i="17"/>
  <c r="B170" i="17" s="1"/>
  <c r="D169" i="17"/>
  <c r="C169" i="17"/>
  <c r="A169" i="17"/>
  <c r="B169" i="17" s="1"/>
  <c r="D168" i="17"/>
  <c r="C168" i="17"/>
  <c r="A168" i="17"/>
  <c r="B168" i="17" s="1"/>
  <c r="D167" i="17"/>
  <c r="C167" i="17"/>
  <c r="A167" i="17"/>
  <c r="B167" i="17" s="1"/>
  <c r="D166" i="17"/>
  <c r="C166" i="17"/>
  <c r="A166" i="17"/>
  <c r="B166" i="17" s="1"/>
  <c r="D165" i="17"/>
  <c r="C165" i="17"/>
  <c r="A165" i="17"/>
  <c r="B165" i="17" s="1"/>
  <c r="D164" i="17"/>
  <c r="C164" i="17"/>
  <c r="A164" i="17"/>
  <c r="B164" i="17" s="1"/>
  <c r="D163" i="17"/>
  <c r="C163" i="17"/>
  <c r="A163" i="17"/>
  <c r="B163" i="17" s="1"/>
  <c r="D162" i="17"/>
  <c r="C162" i="17"/>
  <c r="A162" i="17"/>
  <c r="B162" i="17" s="1"/>
  <c r="D161" i="17"/>
  <c r="C161" i="17"/>
  <c r="A161" i="17"/>
  <c r="B161" i="17" s="1"/>
  <c r="D160" i="17"/>
  <c r="C160" i="17"/>
  <c r="A160" i="17"/>
  <c r="B160" i="17" s="1"/>
  <c r="D159" i="17"/>
  <c r="C159" i="17"/>
  <c r="A159" i="17"/>
  <c r="B159" i="17" s="1"/>
  <c r="D158" i="17"/>
  <c r="C158" i="17"/>
  <c r="B158" i="17" s="1"/>
  <c r="A158" i="17"/>
  <c r="D157" i="17"/>
  <c r="C157" i="17"/>
  <c r="B157" i="17" s="1"/>
  <c r="A157" i="17"/>
  <c r="D156" i="17"/>
  <c r="C156" i="17"/>
  <c r="B156" i="17" s="1"/>
  <c r="A156" i="17"/>
  <c r="D155" i="17"/>
  <c r="C155" i="17"/>
  <c r="A155" i="17"/>
  <c r="B155" i="17" s="1"/>
  <c r="D154" i="17"/>
  <c r="C154" i="17"/>
  <c r="A154" i="17"/>
  <c r="B154" i="17" s="1"/>
  <c r="D153" i="17"/>
  <c r="C153" i="17"/>
  <c r="A153" i="17"/>
  <c r="B153" i="17" s="1"/>
  <c r="D152" i="17"/>
  <c r="C152" i="17"/>
  <c r="A152" i="17"/>
  <c r="B152" i="17" s="1"/>
  <c r="D151" i="17"/>
  <c r="C151" i="17"/>
  <c r="A151" i="17"/>
  <c r="B151" i="17" s="1"/>
  <c r="D150" i="17"/>
  <c r="C150" i="17"/>
  <c r="A150" i="17"/>
  <c r="B150" i="17" s="1"/>
  <c r="D149" i="17"/>
  <c r="C149" i="17"/>
  <c r="A149" i="17"/>
  <c r="B149" i="17" s="1"/>
  <c r="D148" i="17"/>
  <c r="C148" i="17"/>
  <c r="A148" i="17"/>
  <c r="B148" i="17" s="1"/>
  <c r="D147" i="17"/>
  <c r="C147" i="17"/>
  <c r="A147" i="17"/>
  <c r="B147" i="17" s="1"/>
  <c r="D146" i="17"/>
  <c r="C146" i="17"/>
  <c r="A146" i="17"/>
  <c r="B146" i="17" s="1"/>
  <c r="D145" i="17"/>
  <c r="C145" i="17"/>
  <c r="A145" i="17"/>
  <c r="B145" i="17" s="1"/>
  <c r="D144" i="17"/>
  <c r="C144" i="17"/>
  <c r="A144" i="17"/>
  <c r="B144" i="17" s="1"/>
  <c r="D143" i="17"/>
  <c r="C143" i="17"/>
  <c r="A143" i="17"/>
  <c r="B143" i="17" s="1"/>
  <c r="D142" i="17"/>
  <c r="C142" i="17"/>
  <c r="A142" i="17"/>
  <c r="B142" i="17" s="1"/>
  <c r="D141" i="17"/>
  <c r="C141" i="17"/>
  <c r="A141" i="17"/>
  <c r="B141" i="17" s="1"/>
  <c r="D140" i="17"/>
  <c r="C140" i="17"/>
  <c r="A140" i="17"/>
  <c r="B140" i="17" s="1"/>
  <c r="D139" i="17"/>
  <c r="C139" i="17"/>
  <c r="A139" i="17"/>
  <c r="B139" i="17" s="1"/>
  <c r="D138" i="17"/>
  <c r="C138" i="17"/>
  <c r="A138" i="17"/>
  <c r="B138" i="17" s="1"/>
  <c r="D137" i="17"/>
  <c r="C137" i="17"/>
  <c r="A137" i="17"/>
  <c r="B137" i="17" s="1"/>
  <c r="D136" i="17"/>
  <c r="C136" i="17"/>
  <c r="A136" i="17"/>
  <c r="B136" i="17" s="1"/>
  <c r="D135" i="17"/>
  <c r="C135" i="17"/>
  <c r="A135" i="17"/>
  <c r="B135" i="17" s="1"/>
  <c r="D134" i="17"/>
  <c r="C134" i="17"/>
  <c r="A134" i="17"/>
  <c r="D133" i="17"/>
  <c r="C133" i="17"/>
  <c r="A133" i="17"/>
  <c r="B133" i="17" s="1"/>
  <c r="D132" i="17"/>
  <c r="C132" i="17"/>
  <c r="A132" i="17"/>
  <c r="B132" i="17" s="1"/>
  <c r="D131" i="17"/>
  <c r="C131" i="17"/>
  <c r="A131" i="17"/>
  <c r="B131" i="17" s="1"/>
  <c r="D130" i="17"/>
  <c r="C130" i="17"/>
  <c r="A130" i="17"/>
  <c r="D129" i="17"/>
  <c r="C129" i="17"/>
  <c r="A129" i="17"/>
  <c r="B129" i="17" s="1"/>
  <c r="D128" i="17"/>
  <c r="C128" i="17"/>
  <c r="A128" i="17"/>
  <c r="B128" i="17" s="1"/>
  <c r="D127" i="17"/>
  <c r="C127" i="17"/>
  <c r="A127" i="17"/>
  <c r="B127" i="17" s="1"/>
  <c r="D126" i="17"/>
  <c r="C126" i="17"/>
  <c r="A126" i="17"/>
  <c r="D125" i="17"/>
  <c r="C125" i="17"/>
  <c r="A125" i="17"/>
  <c r="B125" i="17" s="1"/>
  <c r="D124" i="17"/>
  <c r="C124" i="17"/>
  <c r="A124" i="17"/>
  <c r="D123" i="17"/>
  <c r="C123" i="17"/>
  <c r="A123" i="17"/>
  <c r="D122" i="17"/>
  <c r="C122" i="17"/>
  <c r="A122" i="17"/>
  <c r="D121" i="17"/>
  <c r="C121" i="17"/>
  <c r="A121" i="17"/>
  <c r="B121" i="17" s="1"/>
  <c r="D120" i="17"/>
  <c r="C120" i="17"/>
  <c r="A120" i="17"/>
  <c r="D119" i="17"/>
  <c r="C119" i="17"/>
  <c r="A119" i="17"/>
  <c r="D118" i="17"/>
  <c r="C118" i="17"/>
  <c r="A118" i="17"/>
  <c r="D117" i="17"/>
  <c r="C117" i="17"/>
  <c r="A117" i="17"/>
  <c r="D116" i="17"/>
  <c r="C116" i="17"/>
  <c r="A116" i="17"/>
  <c r="D115" i="17"/>
  <c r="C115" i="17"/>
  <c r="A115" i="17"/>
  <c r="B115" i="17" s="1"/>
  <c r="D114" i="17"/>
  <c r="C114" i="17"/>
  <c r="A114" i="17"/>
  <c r="B114" i="17" s="1"/>
  <c r="D113" i="17"/>
  <c r="C113" i="17"/>
  <c r="A113" i="17"/>
  <c r="B113" i="17" s="1"/>
  <c r="D112" i="17"/>
  <c r="C112" i="17"/>
  <c r="A112" i="17"/>
  <c r="B112" i="17" s="1"/>
  <c r="D111" i="17"/>
  <c r="C111" i="17"/>
  <c r="A111" i="17"/>
  <c r="B111" i="17" s="1"/>
  <c r="D110" i="17"/>
  <c r="C110" i="17"/>
  <c r="A110" i="17"/>
  <c r="B110" i="17" s="1"/>
  <c r="D109" i="17"/>
  <c r="C109" i="17"/>
  <c r="A109" i="17"/>
  <c r="B109" i="17" s="1"/>
  <c r="D108" i="17"/>
  <c r="C108" i="17"/>
  <c r="A108" i="17"/>
  <c r="B108" i="17" s="1"/>
  <c r="D107" i="17"/>
  <c r="C107" i="17"/>
  <c r="A107" i="17"/>
  <c r="B107" i="17" s="1"/>
  <c r="D106" i="17"/>
  <c r="C106" i="17"/>
  <c r="A106" i="17"/>
  <c r="B106" i="17" s="1"/>
  <c r="D105" i="17"/>
  <c r="C105" i="17"/>
  <c r="A105" i="17"/>
  <c r="B105" i="17" s="1"/>
  <c r="D104" i="17"/>
  <c r="C104" i="17"/>
  <c r="A104" i="17"/>
  <c r="B104" i="17" s="1"/>
  <c r="D103" i="17"/>
  <c r="C103" i="17"/>
  <c r="A103" i="17"/>
  <c r="B103" i="17" s="1"/>
  <c r="D102" i="17"/>
  <c r="C102" i="17"/>
  <c r="A102" i="17"/>
  <c r="B102" i="17" s="1"/>
  <c r="D101" i="17"/>
  <c r="C101" i="17"/>
  <c r="A101" i="17"/>
  <c r="B101" i="17" s="1"/>
  <c r="D100" i="17"/>
  <c r="C100" i="17"/>
  <c r="A100" i="17"/>
  <c r="B100" i="17" s="1"/>
  <c r="D99" i="17"/>
  <c r="C99" i="17"/>
  <c r="A99" i="17"/>
  <c r="B99" i="17" s="1"/>
  <c r="D98" i="17"/>
  <c r="C98" i="17"/>
  <c r="A98" i="17"/>
  <c r="B98" i="17" s="1"/>
  <c r="D97" i="17"/>
  <c r="C97" i="17"/>
  <c r="A97" i="17"/>
  <c r="B97" i="17" s="1"/>
  <c r="D96" i="17"/>
  <c r="C96" i="17"/>
  <c r="A96" i="17"/>
  <c r="B96" i="17" s="1"/>
  <c r="D95" i="17"/>
  <c r="C95" i="17"/>
  <c r="A95" i="17"/>
  <c r="B95" i="17" s="1"/>
  <c r="D94" i="17"/>
  <c r="C94" i="17"/>
  <c r="B94" i="17"/>
  <c r="A94" i="17"/>
  <c r="D93" i="17"/>
  <c r="C93" i="17"/>
  <c r="B93" i="17"/>
  <c r="A93" i="17"/>
  <c r="D92" i="17"/>
  <c r="C92" i="17"/>
  <c r="B92" i="17"/>
  <c r="A92" i="17"/>
  <c r="D91" i="17"/>
  <c r="C91" i="17"/>
  <c r="B91" i="17"/>
  <c r="A91" i="17"/>
  <c r="D90" i="17"/>
  <c r="C90" i="17"/>
  <c r="A90" i="17"/>
  <c r="B90" i="17" s="1"/>
  <c r="D89" i="17"/>
  <c r="C89" i="17"/>
  <c r="A89" i="17"/>
  <c r="B89" i="17" s="1"/>
  <c r="D88" i="17"/>
  <c r="C88" i="17"/>
  <c r="A88" i="17"/>
  <c r="B88" i="17" s="1"/>
  <c r="D87" i="17"/>
  <c r="C87" i="17"/>
  <c r="A87" i="17"/>
  <c r="B87" i="17" s="1"/>
  <c r="D86" i="17"/>
  <c r="C86" i="17"/>
  <c r="A86" i="17"/>
  <c r="B86" i="17" s="1"/>
  <c r="D85" i="17"/>
  <c r="C85" i="17"/>
  <c r="A85" i="17"/>
  <c r="B85" i="17" s="1"/>
  <c r="D84" i="17"/>
  <c r="C84" i="17"/>
  <c r="A84" i="17"/>
  <c r="B84" i="17" s="1"/>
  <c r="D83" i="17"/>
  <c r="C83" i="17"/>
  <c r="A83" i="17"/>
  <c r="B83" i="17" s="1"/>
  <c r="D82" i="17"/>
  <c r="C82" i="17"/>
  <c r="A82" i="17"/>
  <c r="B82" i="17" s="1"/>
  <c r="D81" i="17"/>
  <c r="C81" i="17"/>
  <c r="A81" i="17"/>
  <c r="B81" i="17" s="1"/>
  <c r="D80" i="17"/>
  <c r="C80" i="17"/>
  <c r="A80" i="17"/>
  <c r="B80" i="17" s="1"/>
  <c r="D79" i="17"/>
  <c r="C79" i="17"/>
  <c r="A79" i="17"/>
  <c r="B79" i="17" s="1"/>
  <c r="D78" i="17"/>
  <c r="C78" i="17"/>
  <c r="A78" i="17"/>
  <c r="B78" i="17" s="1"/>
  <c r="D77" i="17"/>
  <c r="C77" i="17"/>
  <c r="A77" i="17"/>
  <c r="B77" i="17" s="1"/>
  <c r="D76" i="17"/>
  <c r="C76" i="17"/>
  <c r="A76" i="17"/>
  <c r="B76" i="17" s="1"/>
  <c r="D75" i="17"/>
  <c r="C75" i="17"/>
  <c r="A75" i="17"/>
  <c r="B75" i="17" s="1"/>
  <c r="D74" i="17"/>
  <c r="C74" i="17"/>
  <c r="A74" i="17"/>
  <c r="B74" i="17" s="1"/>
  <c r="D73" i="17"/>
  <c r="C73" i="17"/>
  <c r="A73" i="17"/>
  <c r="B73" i="17" s="1"/>
  <c r="D72" i="17"/>
  <c r="C72" i="17"/>
  <c r="A72" i="17"/>
  <c r="B72" i="17" s="1"/>
  <c r="D71" i="17"/>
  <c r="C71" i="17"/>
  <c r="A71" i="17"/>
  <c r="B71" i="17" s="1"/>
  <c r="D70" i="17"/>
  <c r="C70" i="17"/>
  <c r="A70" i="17"/>
  <c r="B70" i="17" s="1"/>
  <c r="D69" i="17"/>
  <c r="C69" i="17"/>
  <c r="A69" i="17"/>
  <c r="B69" i="17" s="1"/>
  <c r="D68" i="17"/>
  <c r="C68" i="17"/>
  <c r="A68" i="17"/>
  <c r="B68" i="17" s="1"/>
  <c r="D67" i="17"/>
  <c r="C67" i="17"/>
  <c r="A67" i="17"/>
  <c r="B67" i="17" s="1"/>
  <c r="D66" i="17"/>
  <c r="C66" i="17"/>
  <c r="A66" i="17"/>
  <c r="B66" i="17" s="1"/>
  <c r="D65" i="17"/>
  <c r="C65" i="17"/>
  <c r="A65" i="17"/>
  <c r="B65" i="17" s="1"/>
  <c r="D64" i="17"/>
  <c r="C64" i="17"/>
  <c r="A64" i="17"/>
  <c r="B64" i="17" s="1"/>
  <c r="D63" i="17"/>
  <c r="C63" i="17"/>
  <c r="A63" i="17"/>
  <c r="B63" i="17" s="1"/>
  <c r="D62" i="17"/>
  <c r="C62" i="17"/>
  <c r="B62" i="17"/>
  <c r="A62" i="17"/>
  <c r="D61" i="17"/>
  <c r="C61" i="17"/>
  <c r="A61" i="17"/>
  <c r="B61" i="17" s="1"/>
  <c r="D60" i="17"/>
  <c r="C60" i="17"/>
  <c r="A60" i="17"/>
  <c r="B60" i="17" s="1"/>
  <c r="D59" i="17"/>
  <c r="C59" i="17"/>
  <c r="A59" i="17"/>
  <c r="B59" i="17" s="1"/>
  <c r="D58" i="17"/>
  <c r="C58" i="17"/>
  <c r="A58" i="17"/>
  <c r="B58" i="17" s="1"/>
  <c r="D57" i="17"/>
  <c r="C57" i="17"/>
  <c r="A57" i="17"/>
  <c r="B57" i="17" s="1"/>
  <c r="D56" i="17"/>
  <c r="C56" i="17"/>
  <c r="A56" i="17"/>
  <c r="B56" i="17" s="1"/>
  <c r="D55" i="17"/>
  <c r="C55" i="17"/>
  <c r="A55" i="17"/>
  <c r="B55" i="17" s="1"/>
  <c r="D54" i="17"/>
  <c r="C54" i="17"/>
  <c r="B54" i="17"/>
  <c r="A54" i="17"/>
  <c r="D53" i="17"/>
  <c r="C53" i="17"/>
  <c r="B53" i="17"/>
  <c r="A53" i="17"/>
  <c r="D52" i="17"/>
  <c r="C52" i="17"/>
  <c r="A52" i="17"/>
  <c r="B52" i="17" s="1"/>
  <c r="D51" i="17"/>
  <c r="C51" i="17"/>
  <c r="B51" i="17"/>
  <c r="A51" i="17"/>
  <c r="D50" i="17"/>
  <c r="C50" i="17"/>
  <c r="A50" i="17"/>
  <c r="B50" i="17" s="1"/>
  <c r="D49" i="17"/>
  <c r="C49" i="17"/>
  <c r="A49" i="17"/>
  <c r="B49" i="17" s="1"/>
  <c r="D48" i="17"/>
  <c r="C48" i="17"/>
  <c r="A48" i="17"/>
  <c r="B48" i="17" s="1"/>
  <c r="D47" i="17"/>
  <c r="C47" i="17"/>
  <c r="A47" i="17"/>
  <c r="B47" i="17" s="1"/>
  <c r="D46" i="17"/>
  <c r="C46" i="17"/>
  <c r="A46" i="17"/>
  <c r="B46" i="17" s="1"/>
  <c r="D45" i="17"/>
  <c r="C45" i="17"/>
  <c r="A45" i="17"/>
  <c r="B45" i="17" s="1"/>
  <c r="D44" i="17"/>
  <c r="C44" i="17"/>
  <c r="A44" i="17"/>
  <c r="B44" i="17" s="1"/>
  <c r="D43" i="17"/>
  <c r="C43" i="17"/>
  <c r="B43" i="17"/>
  <c r="A43" i="17"/>
  <c r="D42" i="17"/>
  <c r="C42" i="17"/>
  <c r="B42" i="17"/>
  <c r="A42" i="17"/>
  <c r="D41" i="17"/>
  <c r="C41" i="17"/>
  <c r="A41" i="17"/>
  <c r="D40" i="17"/>
  <c r="C40" i="17"/>
  <c r="A40" i="17"/>
  <c r="D39" i="17"/>
  <c r="C39" i="17"/>
  <c r="B39" i="17"/>
  <c r="A39" i="17"/>
  <c r="D38" i="17"/>
  <c r="C38" i="17"/>
  <c r="B38" i="17"/>
  <c r="A38" i="17"/>
  <c r="D37" i="17"/>
  <c r="C37" i="17"/>
  <c r="B37" i="17"/>
  <c r="A37" i="17"/>
  <c r="D36" i="17"/>
  <c r="C36" i="17"/>
  <c r="B36" i="17"/>
  <c r="A36" i="17"/>
  <c r="D35" i="17"/>
  <c r="C35" i="17"/>
  <c r="A35" i="17"/>
  <c r="D34" i="17"/>
  <c r="C34" i="17"/>
  <c r="B34" i="17"/>
  <c r="A34" i="17"/>
  <c r="D33" i="17"/>
  <c r="C33" i="17"/>
  <c r="B33" i="17"/>
  <c r="A33" i="17"/>
  <c r="D32" i="17"/>
  <c r="C32" i="17"/>
  <c r="B32" i="17"/>
  <c r="A32" i="17"/>
  <c r="D31" i="17"/>
  <c r="C31" i="17"/>
  <c r="B31" i="17"/>
  <c r="A31" i="17"/>
  <c r="D30" i="17"/>
  <c r="C30" i="17"/>
  <c r="B30" i="17"/>
  <c r="A30" i="17"/>
  <c r="D29" i="17"/>
  <c r="C29" i="17"/>
  <c r="B29" i="17"/>
  <c r="A29" i="17"/>
  <c r="D28" i="17"/>
  <c r="C28" i="17"/>
  <c r="B28" i="17"/>
  <c r="A28" i="17"/>
  <c r="D27" i="17"/>
  <c r="C27" i="17"/>
  <c r="B27" i="17"/>
  <c r="A27" i="17"/>
  <c r="D26" i="17"/>
  <c r="C26" i="17"/>
  <c r="B26" i="17"/>
  <c r="A26" i="17"/>
  <c r="D25" i="17"/>
  <c r="C25" i="17"/>
  <c r="B25" i="17"/>
  <c r="A25" i="17"/>
  <c r="D24" i="17"/>
  <c r="C24" i="17"/>
  <c r="B24" i="17"/>
  <c r="A24" i="17"/>
  <c r="D23" i="17"/>
  <c r="C23" i="17"/>
  <c r="B23" i="17"/>
  <c r="A23" i="17"/>
  <c r="D22" i="17"/>
  <c r="C22" i="17"/>
  <c r="B22" i="17"/>
  <c r="A22" i="17"/>
  <c r="D21" i="17"/>
  <c r="C21" i="17"/>
  <c r="B21" i="17"/>
  <c r="A21" i="17"/>
  <c r="D20" i="17"/>
  <c r="C20" i="17"/>
  <c r="B20" i="17"/>
  <c r="A20" i="17"/>
  <c r="D19" i="17"/>
  <c r="C19" i="17"/>
  <c r="B19" i="17"/>
  <c r="A19" i="17"/>
  <c r="D18" i="17"/>
  <c r="C18" i="17"/>
  <c r="B18" i="17"/>
  <c r="A18" i="17"/>
  <c r="D17" i="17"/>
  <c r="C17" i="17"/>
  <c r="B17" i="17"/>
  <c r="A17" i="17"/>
  <c r="D16" i="17"/>
  <c r="C16" i="17"/>
  <c r="B16" i="17"/>
  <c r="A16" i="17"/>
  <c r="D15" i="17"/>
  <c r="C15" i="17"/>
  <c r="A15" i="17"/>
  <c r="B15" i="17" s="1"/>
  <c r="D14" i="17"/>
  <c r="C14" i="17"/>
  <c r="A14" i="17"/>
  <c r="B14" i="17" s="1"/>
  <c r="D13" i="17"/>
  <c r="C13" i="17"/>
  <c r="A13" i="17"/>
  <c r="B13" i="17" s="1"/>
  <c r="D12" i="17"/>
  <c r="C12" i="17"/>
  <c r="A12" i="17"/>
  <c r="B12" i="17" s="1"/>
  <c r="D11" i="17"/>
  <c r="C11" i="17"/>
  <c r="A11" i="17"/>
  <c r="D10" i="17"/>
  <c r="C10" i="17"/>
  <c r="B10" i="17"/>
  <c r="A10" i="17"/>
  <c r="D9" i="17"/>
  <c r="C9" i="17"/>
  <c r="B9" i="17"/>
  <c r="A9" i="17"/>
  <c r="D8" i="17"/>
  <c r="C8" i="17"/>
  <c r="B8" i="17"/>
  <c r="A8" i="17"/>
  <c r="D7" i="17"/>
  <c r="C7" i="17"/>
  <c r="B7" i="17"/>
  <c r="A7" i="17"/>
  <c r="D6" i="17"/>
  <c r="C6" i="17"/>
  <c r="B6" i="17"/>
  <c r="A6" i="17"/>
  <c r="D5" i="17"/>
  <c r="C5" i="17"/>
  <c r="B5" i="17"/>
  <c r="A5" i="17"/>
  <c r="D4" i="17"/>
  <c r="C4" i="17"/>
  <c r="B4" i="17"/>
  <c r="A4" i="17"/>
  <c r="D3" i="17"/>
  <c r="C3" i="17"/>
  <c r="B3" i="17"/>
  <c r="A3" i="17"/>
  <c r="D2" i="17"/>
  <c r="C2" i="17"/>
  <c r="B2" i="17"/>
  <c r="A2" i="17"/>
  <c r="G963" i="16"/>
  <c r="E963" i="16"/>
  <c r="A963" i="16"/>
  <c r="G962" i="16"/>
  <c r="E962" i="16"/>
  <c r="A962" i="16"/>
  <c r="G961" i="16"/>
  <c r="E961" i="16"/>
  <c r="A961" i="16"/>
  <c r="G960" i="16"/>
  <c r="E960" i="16"/>
  <c r="A960" i="16"/>
  <c r="G959" i="16"/>
  <c r="E959" i="16"/>
  <c r="A959" i="16"/>
  <c r="G958" i="16"/>
  <c r="E958" i="16"/>
  <c r="A958" i="16"/>
  <c r="G957" i="16"/>
  <c r="E957" i="16"/>
  <c r="A957" i="16"/>
  <c r="G956" i="16"/>
  <c r="E956" i="16"/>
  <c r="A956" i="16"/>
  <c r="G955" i="16"/>
  <c r="E955" i="16"/>
  <c r="A955" i="16"/>
  <c r="G954" i="16"/>
  <c r="E954" i="16"/>
  <c r="A954" i="16"/>
  <c r="G953" i="16"/>
  <c r="E953" i="16"/>
  <c r="A953" i="16"/>
  <c r="G952" i="16"/>
  <c r="E952" i="16"/>
  <c r="A952" i="16"/>
  <c r="G951" i="16"/>
  <c r="E951" i="16"/>
  <c r="A951" i="16"/>
  <c r="G950" i="16"/>
  <c r="E950" i="16"/>
  <c r="A950" i="16"/>
  <c r="G949" i="16"/>
  <c r="E949" i="16"/>
  <c r="A949" i="16"/>
  <c r="G948" i="16"/>
  <c r="E948" i="16"/>
  <c r="A948" i="16"/>
  <c r="G947" i="16"/>
  <c r="E947" i="16"/>
  <c r="A947" i="16"/>
  <c r="G946" i="16"/>
  <c r="E946" i="16"/>
  <c r="A946" i="16"/>
  <c r="G945" i="16"/>
  <c r="E945" i="16"/>
  <c r="A945" i="16"/>
  <c r="G944" i="16"/>
  <c r="E944" i="16"/>
  <c r="A944" i="16"/>
  <c r="G943" i="16"/>
  <c r="E943" i="16"/>
  <c r="A943" i="16"/>
  <c r="G942" i="16"/>
  <c r="E942" i="16"/>
  <c r="A942" i="16"/>
  <c r="G941" i="16"/>
  <c r="E941" i="16"/>
  <c r="A941" i="16"/>
  <c r="G940" i="16"/>
  <c r="E940" i="16"/>
  <c r="A940" i="16"/>
  <c r="G939" i="16"/>
  <c r="E939" i="16"/>
  <c r="A939" i="16"/>
  <c r="G938" i="16"/>
  <c r="E938" i="16"/>
  <c r="A938" i="16"/>
  <c r="G937" i="16"/>
  <c r="E937" i="16"/>
  <c r="A937" i="16"/>
  <c r="G936" i="16"/>
  <c r="E936" i="16"/>
  <c r="A936" i="16"/>
  <c r="G935" i="16"/>
  <c r="E935" i="16"/>
  <c r="A935" i="16"/>
  <c r="G934" i="16"/>
  <c r="E934" i="16"/>
  <c r="A934" i="16"/>
  <c r="G933" i="16"/>
  <c r="E933" i="16"/>
  <c r="A933" i="16"/>
  <c r="G932" i="16"/>
  <c r="E932" i="16"/>
  <c r="A932" i="16"/>
  <c r="G931" i="16"/>
  <c r="E931" i="16"/>
  <c r="A931" i="16"/>
  <c r="G930" i="16"/>
  <c r="E930" i="16"/>
  <c r="A930" i="16"/>
  <c r="G929" i="16"/>
  <c r="E929" i="16"/>
  <c r="A929" i="16"/>
  <c r="G928" i="16"/>
  <c r="E928" i="16"/>
  <c r="A928" i="16"/>
  <c r="G927" i="16"/>
  <c r="E927" i="16"/>
  <c r="A927" i="16"/>
  <c r="G926" i="16"/>
  <c r="E926" i="16"/>
  <c r="A926" i="16"/>
  <c r="G925" i="16"/>
  <c r="E925" i="16"/>
  <c r="A925" i="16"/>
  <c r="G924" i="16"/>
  <c r="E924" i="16"/>
  <c r="A924" i="16"/>
  <c r="G923" i="16"/>
  <c r="E923" i="16"/>
  <c r="A923" i="16"/>
  <c r="G922" i="16"/>
  <c r="E922" i="16"/>
  <c r="A922" i="16"/>
  <c r="G921" i="16"/>
  <c r="E921" i="16"/>
  <c r="A921" i="16"/>
  <c r="G920" i="16"/>
  <c r="E920" i="16"/>
  <c r="A920" i="16"/>
  <c r="G919" i="16"/>
  <c r="E919" i="16"/>
  <c r="A919" i="16"/>
  <c r="G918" i="16"/>
  <c r="E918" i="16"/>
  <c r="A918" i="16"/>
  <c r="G917" i="16"/>
  <c r="E917" i="16"/>
  <c r="A917" i="16"/>
  <c r="G916" i="16"/>
  <c r="E916" i="16"/>
  <c r="A916" i="16"/>
  <c r="G915" i="16"/>
  <c r="E915" i="16"/>
  <c r="A915" i="16"/>
  <c r="G914" i="16"/>
  <c r="E914" i="16"/>
  <c r="A914" i="16"/>
  <c r="G913" i="16"/>
  <c r="E913" i="16"/>
  <c r="A913" i="16"/>
  <c r="G912" i="16"/>
  <c r="E912" i="16"/>
  <c r="A912" i="16"/>
  <c r="G911" i="16"/>
  <c r="E911" i="16"/>
  <c r="A911" i="16"/>
  <c r="G910" i="16"/>
  <c r="E910" i="16"/>
  <c r="A910" i="16"/>
  <c r="G909" i="16"/>
  <c r="E909" i="16"/>
  <c r="A909" i="16"/>
  <c r="G908" i="16"/>
  <c r="E908" i="16"/>
  <c r="A908" i="16"/>
  <c r="G907" i="16"/>
  <c r="E907" i="16"/>
  <c r="A907" i="16"/>
  <c r="G906" i="16"/>
  <c r="E906" i="16"/>
  <c r="A906" i="16"/>
  <c r="G905" i="16"/>
  <c r="E905" i="16"/>
  <c r="A905" i="16"/>
  <c r="G904" i="16"/>
  <c r="E904" i="16"/>
  <c r="A904" i="16"/>
  <c r="G903" i="16"/>
  <c r="E903" i="16"/>
  <c r="A903" i="16"/>
  <c r="G902" i="16"/>
  <c r="E902" i="16"/>
  <c r="A902" i="16"/>
  <c r="G901" i="16"/>
  <c r="E901" i="16"/>
  <c r="A901" i="16"/>
  <c r="G900" i="16"/>
  <c r="E900" i="16"/>
  <c r="A900" i="16"/>
  <c r="G899" i="16"/>
  <c r="E899" i="16"/>
  <c r="A899" i="16"/>
  <c r="G898" i="16"/>
  <c r="E898" i="16"/>
  <c r="A898" i="16"/>
  <c r="G897" i="16"/>
  <c r="E897" i="16"/>
  <c r="A897" i="16"/>
  <c r="G896" i="16"/>
  <c r="E896" i="16"/>
  <c r="A896" i="16"/>
  <c r="G895" i="16"/>
  <c r="E895" i="16"/>
  <c r="A895" i="16"/>
  <c r="G894" i="16"/>
  <c r="E894" i="16"/>
  <c r="A894" i="16"/>
  <c r="G893" i="16"/>
  <c r="E893" i="16"/>
  <c r="A893" i="16"/>
  <c r="G892" i="16"/>
  <c r="E892" i="16"/>
  <c r="A892" i="16"/>
  <c r="G891" i="16"/>
  <c r="E891" i="16"/>
  <c r="A891" i="16"/>
  <c r="G890" i="16"/>
  <c r="E890" i="16"/>
  <c r="A890" i="16"/>
  <c r="G889" i="16"/>
  <c r="E889" i="16"/>
  <c r="A889" i="16"/>
  <c r="G888" i="16"/>
  <c r="E888" i="16"/>
  <c r="A888" i="16"/>
  <c r="G887" i="16"/>
  <c r="E887" i="16"/>
  <c r="A887" i="16"/>
  <c r="G886" i="16"/>
  <c r="E886" i="16"/>
  <c r="A886" i="16"/>
  <c r="G885" i="16"/>
  <c r="E885" i="16"/>
  <c r="A885" i="16"/>
  <c r="G884" i="16"/>
  <c r="E884" i="16"/>
  <c r="A884" i="16"/>
  <c r="G883" i="16"/>
  <c r="E883" i="16"/>
  <c r="A883" i="16"/>
  <c r="G882" i="16"/>
  <c r="E882" i="16"/>
  <c r="A882" i="16"/>
  <c r="G881" i="16"/>
  <c r="E881" i="16"/>
  <c r="A881" i="16"/>
  <c r="G880" i="16"/>
  <c r="E880" i="16"/>
  <c r="A880" i="16"/>
  <c r="G879" i="16"/>
  <c r="E879" i="16"/>
  <c r="A879" i="16"/>
  <c r="G878" i="16"/>
  <c r="E878" i="16"/>
  <c r="A878" i="16"/>
  <c r="G877" i="16"/>
  <c r="E877" i="16"/>
  <c r="A877" i="16"/>
  <c r="G876" i="16"/>
  <c r="E876" i="16"/>
  <c r="A876" i="16"/>
  <c r="G875" i="16"/>
  <c r="E875" i="16"/>
  <c r="A875" i="16"/>
  <c r="G874" i="16"/>
  <c r="E874" i="16"/>
  <c r="A874" i="16"/>
  <c r="G873" i="16"/>
  <c r="E873" i="16"/>
  <c r="A873" i="16"/>
  <c r="G872" i="16"/>
  <c r="E872" i="16"/>
  <c r="A872" i="16"/>
  <c r="G871" i="16"/>
  <c r="E871" i="16"/>
  <c r="A871" i="16"/>
  <c r="G870" i="16"/>
  <c r="E870" i="16"/>
  <c r="A870" i="16"/>
  <c r="G869" i="16"/>
  <c r="E869" i="16"/>
  <c r="A869" i="16"/>
  <c r="G868" i="16"/>
  <c r="E868" i="16"/>
  <c r="A868" i="16"/>
  <c r="G867" i="16"/>
  <c r="E867" i="16"/>
  <c r="A867" i="16"/>
  <c r="G866" i="16"/>
  <c r="E866" i="16"/>
  <c r="A866" i="16"/>
  <c r="G865" i="16"/>
  <c r="E865" i="16"/>
  <c r="A865" i="16"/>
  <c r="G864" i="16"/>
  <c r="E864" i="16"/>
  <c r="A864" i="16"/>
  <c r="G863" i="16"/>
  <c r="E863" i="16"/>
  <c r="A863" i="16"/>
  <c r="G862" i="16"/>
  <c r="E862" i="16"/>
  <c r="A862" i="16"/>
  <c r="G861" i="16"/>
  <c r="E861" i="16"/>
  <c r="A861" i="16"/>
  <c r="G860" i="16"/>
  <c r="E860" i="16"/>
  <c r="A860" i="16"/>
  <c r="G859" i="16"/>
  <c r="E859" i="16"/>
  <c r="A859" i="16"/>
  <c r="G858" i="16"/>
  <c r="E858" i="16"/>
  <c r="A858" i="16"/>
  <c r="G857" i="16"/>
  <c r="E857" i="16"/>
  <c r="A857" i="16"/>
  <c r="G856" i="16"/>
  <c r="E856" i="16"/>
  <c r="A856" i="16"/>
  <c r="G855" i="16"/>
  <c r="E855" i="16"/>
  <c r="A855" i="16"/>
  <c r="G854" i="16"/>
  <c r="E854" i="16"/>
  <c r="A854" i="16"/>
  <c r="G853" i="16"/>
  <c r="E853" i="16"/>
  <c r="A853" i="16"/>
  <c r="G852" i="16"/>
  <c r="E852" i="16"/>
  <c r="A852" i="16"/>
  <c r="G851" i="16"/>
  <c r="E851" i="16"/>
  <c r="A851" i="16"/>
  <c r="G850" i="16"/>
  <c r="E850" i="16"/>
  <c r="A850" i="16"/>
  <c r="G849" i="16"/>
  <c r="E849" i="16"/>
  <c r="A849" i="16"/>
  <c r="G848" i="16"/>
  <c r="E848" i="16"/>
  <c r="A848" i="16"/>
  <c r="G847" i="16"/>
  <c r="E847" i="16"/>
  <c r="A847" i="16"/>
  <c r="G846" i="16"/>
  <c r="E846" i="16"/>
  <c r="A846" i="16"/>
  <c r="G845" i="16"/>
  <c r="E845" i="16"/>
  <c r="A845" i="16"/>
  <c r="G844" i="16"/>
  <c r="E844" i="16"/>
  <c r="A844" i="16"/>
  <c r="G843" i="16"/>
  <c r="E843" i="16"/>
  <c r="A843" i="16"/>
  <c r="G842" i="16"/>
  <c r="E842" i="16"/>
  <c r="A842" i="16"/>
  <c r="G841" i="16"/>
  <c r="E841" i="16"/>
  <c r="A841" i="16"/>
  <c r="G840" i="16"/>
  <c r="E840" i="16"/>
  <c r="A840" i="16"/>
  <c r="G839" i="16"/>
  <c r="E839" i="16"/>
  <c r="A839" i="16"/>
  <c r="G838" i="16"/>
  <c r="E838" i="16"/>
  <c r="A838" i="16"/>
  <c r="G837" i="16"/>
  <c r="E837" i="16"/>
  <c r="A837" i="16"/>
  <c r="G836" i="16"/>
  <c r="E836" i="16"/>
  <c r="A836" i="16"/>
  <c r="G835" i="16"/>
  <c r="E835" i="16"/>
  <c r="A835" i="16"/>
  <c r="G834" i="16"/>
  <c r="E834" i="16"/>
  <c r="A834" i="16"/>
  <c r="G833" i="16"/>
  <c r="E833" i="16"/>
  <c r="A833" i="16"/>
  <c r="G832" i="16"/>
  <c r="E832" i="16"/>
  <c r="A832" i="16"/>
  <c r="G831" i="16"/>
  <c r="E831" i="16"/>
  <c r="A831" i="16"/>
  <c r="G830" i="16"/>
  <c r="E830" i="16"/>
  <c r="A830" i="16"/>
  <c r="G829" i="16"/>
  <c r="E829" i="16"/>
  <c r="A829" i="16"/>
  <c r="G828" i="16"/>
  <c r="E828" i="16"/>
  <c r="A828" i="16"/>
  <c r="G827" i="16"/>
  <c r="E827" i="16"/>
  <c r="A827" i="16"/>
  <c r="G826" i="16"/>
  <c r="E826" i="16"/>
  <c r="A826" i="16"/>
  <c r="G825" i="16"/>
  <c r="E825" i="16"/>
  <c r="A825" i="16"/>
  <c r="G824" i="16"/>
  <c r="E824" i="16"/>
  <c r="A824" i="16"/>
  <c r="G823" i="16"/>
  <c r="E823" i="16"/>
  <c r="A823" i="16"/>
  <c r="G822" i="16"/>
  <c r="E822" i="16"/>
  <c r="A822" i="16"/>
  <c r="G821" i="16"/>
  <c r="E821" i="16"/>
  <c r="A821" i="16"/>
  <c r="G820" i="16"/>
  <c r="E820" i="16"/>
  <c r="A820" i="16"/>
  <c r="G819" i="16"/>
  <c r="E819" i="16"/>
  <c r="A819" i="16"/>
  <c r="G818" i="16"/>
  <c r="E818" i="16"/>
  <c r="A818" i="16"/>
  <c r="G817" i="16"/>
  <c r="E817" i="16"/>
  <c r="A817" i="16"/>
  <c r="G816" i="16"/>
  <c r="E816" i="16"/>
  <c r="A816" i="16"/>
  <c r="G815" i="16"/>
  <c r="E815" i="16"/>
  <c r="A815" i="16"/>
  <c r="G814" i="16"/>
  <c r="E814" i="16"/>
  <c r="A814" i="16"/>
  <c r="G813" i="16"/>
  <c r="E813" i="16"/>
  <c r="A813" i="16"/>
  <c r="G812" i="16"/>
  <c r="E812" i="16"/>
  <c r="A812" i="16"/>
  <c r="G811" i="16"/>
  <c r="E811" i="16"/>
  <c r="A811" i="16"/>
  <c r="G810" i="16"/>
  <c r="E810" i="16"/>
  <c r="A810" i="16"/>
  <c r="G809" i="16"/>
  <c r="E809" i="16"/>
  <c r="A809" i="16"/>
  <c r="G808" i="16"/>
  <c r="E808" i="16"/>
  <c r="A808" i="16"/>
  <c r="G807" i="16"/>
  <c r="E807" i="16"/>
  <c r="A807" i="16"/>
  <c r="G806" i="16"/>
  <c r="E806" i="16"/>
  <c r="A806" i="16"/>
  <c r="G805" i="16"/>
  <c r="E805" i="16"/>
  <c r="A805" i="16"/>
  <c r="G804" i="16"/>
  <c r="E804" i="16"/>
  <c r="A804" i="16"/>
  <c r="G803" i="16"/>
  <c r="E803" i="16"/>
  <c r="A803" i="16"/>
  <c r="G802" i="16"/>
  <c r="E802" i="16"/>
  <c r="A802" i="16"/>
  <c r="G801" i="16"/>
  <c r="E801" i="16"/>
  <c r="A801" i="16"/>
  <c r="G800" i="16"/>
  <c r="E800" i="16"/>
  <c r="A800" i="16"/>
  <c r="G799" i="16"/>
  <c r="E799" i="16"/>
  <c r="A799" i="16"/>
  <c r="G798" i="16"/>
  <c r="E798" i="16"/>
  <c r="A798" i="16"/>
  <c r="G797" i="16"/>
  <c r="E797" i="16"/>
  <c r="A797" i="16"/>
  <c r="G796" i="16"/>
  <c r="E796" i="16"/>
  <c r="A796" i="16"/>
  <c r="G795" i="16"/>
  <c r="E795" i="16"/>
  <c r="A795" i="16"/>
  <c r="G794" i="16"/>
  <c r="E794" i="16"/>
  <c r="A794" i="16"/>
  <c r="G793" i="16"/>
  <c r="E793" i="16"/>
  <c r="A793" i="16"/>
  <c r="G792" i="16"/>
  <c r="E792" i="16"/>
  <c r="A792" i="16"/>
  <c r="G791" i="16"/>
  <c r="E791" i="16"/>
  <c r="A791" i="16"/>
  <c r="G790" i="16"/>
  <c r="E790" i="16"/>
  <c r="A790" i="16"/>
  <c r="G789" i="16"/>
  <c r="E789" i="16"/>
  <c r="A789" i="16"/>
  <c r="G788" i="16"/>
  <c r="E788" i="16"/>
  <c r="A788" i="16"/>
  <c r="G787" i="16"/>
  <c r="E787" i="16"/>
  <c r="A787" i="16"/>
  <c r="G786" i="16"/>
  <c r="E786" i="16"/>
  <c r="A786" i="16"/>
  <c r="G785" i="16"/>
  <c r="E785" i="16"/>
  <c r="A785" i="16"/>
  <c r="G784" i="16"/>
  <c r="E784" i="16"/>
  <c r="A784" i="16"/>
  <c r="G783" i="16"/>
  <c r="E783" i="16"/>
  <c r="A783" i="16"/>
  <c r="G782" i="16"/>
  <c r="E782" i="16"/>
  <c r="A782" i="16"/>
  <c r="G781" i="16"/>
  <c r="E781" i="16"/>
  <c r="A781" i="16"/>
  <c r="G780" i="16"/>
  <c r="E780" i="16"/>
  <c r="A780" i="16"/>
  <c r="G779" i="16"/>
  <c r="E779" i="16"/>
  <c r="A779" i="16"/>
  <c r="G778" i="16"/>
  <c r="E778" i="16"/>
  <c r="A778" i="16"/>
  <c r="G777" i="16"/>
  <c r="E777" i="16"/>
  <c r="A777" i="16"/>
  <c r="G776" i="16"/>
  <c r="E776" i="16"/>
  <c r="A776" i="16"/>
  <c r="G775" i="16"/>
  <c r="E775" i="16"/>
  <c r="A775" i="16"/>
  <c r="G774" i="16"/>
  <c r="E774" i="16"/>
  <c r="A774" i="16"/>
  <c r="G773" i="16"/>
  <c r="E773" i="16"/>
  <c r="A773" i="16"/>
  <c r="G772" i="16"/>
  <c r="E772" i="16"/>
  <c r="A772" i="16"/>
  <c r="G771" i="16"/>
  <c r="E771" i="16"/>
  <c r="A771" i="16"/>
  <c r="G770" i="16"/>
  <c r="E770" i="16"/>
  <c r="A770" i="16"/>
  <c r="G769" i="16"/>
  <c r="E769" i="16"/>
  <c r="A769" i="16"/>
  <c r="G768" i="16"/>
  <c r="E768" i="16"/>
  <c r="A768" i="16"/>
  <c r="G767" i="16"/>
  <c r="E767" i="16"/>
  <c r="A767" i="16"/>
  <c r="G766" i="16"/>
  <c r="E766" i="16"/>
  <c r="A766" i="16"/>
  <c r="G765" i="16"/>
  <c r="E765" i="16"/>
  <c r="A765" i="16"/>
  <c r="G764" i="16"/>
  <c r="E764" i="16"/>
  <c r="A764" i="16"/>
  <c r="G763" i="16"/>
  <c r="E763" i="16"/>
  <c r="A763" i="16"/>
  <c r="G762" i="16"/>
  <c r="E762" i="16"/>
  <c r="A762" i="16"/>
  <c r="G761" i="16"/>
  <c r="E761" i="16"/>
  <c r="A761" i="16"/>
  <c r="G760" i="16"/>
  <c r="E760" i="16"/>
  <c r="A760" i="16"/>
  <c r="G759" i="16"/>
  <c r="E759" i="16"/>
  <c r="A759" i="16"/>
  <c r="G758" i="16"/>
  <c r="E758" i="16"/>
  <c r="A758" i="16"/>
  <c r="G757" i="16"/>
  <c r="E757" i="16"/>
  <c r="A757" i="16"/>
  <c r="G756" i="16"/>
  <c r="E756" i="16"/>
  <c r="A756" i="16"/>
  <c r="G755" i="16"/>
  <c r="E755" i="16"/>
  <c r="A755" i="16"/>
  <c r="G754" i="16"/>
  <c r="E754" i="16"/>
  <c r="A754" i="16"/>
  <c r="G753" i="16"/>
  <c r="E753" i="16"/>
  <c r="A753" i="16"/>
  <c r="G752" i="16"/>
  <c r="E752" i="16"/>
  <c r="A752" i="16"/>
  <c r="G751" i="16"/>
  <c r="E751" i="16"/>
  <c r="A751" i="16"/>
  <c r="G750" i="16"/>
  <c r="E750" i="16"/>
  <c r="A750" i="16"/>
  <c r="G749" i="16"/>
  <c r="E749" i="16"/>
  <c r="A749" i="16"/>
  <c r="G748" i="16"/>
  <c r="E748" i="16"/>
  <c r="A748" i="16"/>
  <c r="G747" i="16"/>
  <c r="E747" i="16"/>
  <c r="A747" i="16"/>
  <c r="G746" i="16"/>
  <c r="E746" i="16"/>
  <c r="A746" i="16"/>
  <c r="G745" i="16"/>
  <c r="E745" i="16"/>
  <c r="A745" i="16"/>
  <c r="G744" i="16"/>
  <c r="E744" i="16"/>
  <c r="A744" i="16"/>
  <c r="G743" i="16"/>
  <c r="E743" i="16"/>
  <c r="A743" i="16"/>
  <c r="G742" i="16"/>
  <c r="E742" i="16"/>
  <c r="A742" i="16"/>
  <c r="G741" i="16"/>
  <c r="E741" i="16"/>
  <c r="A741" i="16"/>
  <c r="G740" i="16"/>
  <c r="E740" i="16"/>
  <c r="A740" i="16"/>
  <c r="G739" i="16"/>
  <c r="E739" i="16"/>
  <c r="A739" i="16"/>
  <c r="G738" i="16"/>
  <c r="E738" i="16"/>
  <c r="A738" i="16"/>
  <c r="G737" i="16"/>
  <c r="E737" i="16"/>
  <c r="A737" i="16"/>
  <c r="G736" i="16"/>
  <c r="E736" i="16"/>
  <c r="A736" i="16"/>
  <c r="G735" i="16"/>
  <c r="E735" i="16"/>
  <c r="A735" i="16"/>
  <c r="G734" i="16"/>
  <c r="E734" i="16"/>
  <c r="A734" i="16"/>
  <c r="G733" i="16"/>
  <c r="E733" i="16"/>
  <c r="A733" i="16"/>
  <c r="G732" i="16"/>
  <c r="E732" i="16"/>
  <c r="A732" i="16"/>
  <c r="G731" i="16"/>
  <c r="E731" i="16"/>
  <c r="A731" i="16"/>
  <c r="G730" i="16"/>
  <c r="E730" i="16"/>
  <c r="A730" i="16"/>
  <c r="G729" i="16"/>
  <c r="E729" i="16"/>
  <c r="A729" i="16"/>
  <c r="G728" i="16"/>
  <c r="E728" i="16"/>
  <c r="A728" i="16"/>
  <c r="G727" i="16"/>
  <c r="E727" i="16"/>
  <c r="A727" i="16"/>
  <c r="G726" i="16"/>
  <c r="E726" i="16"/>
  <c r="A726" i="16"/>
  <c r="G725" i="16"/>
  <c r="E725" i="16"/>
  <c r="A725" i="16"/>
  <c r="G724" i="16"/>
  <c r="E724" i="16"/>
  <c r="A724" i="16"/>
  <c r="G723" i="16"/>
  <c r="E723" i="16"/>
  <c r="A723" i="16"/>
  <c r="G722" i="16"/>
  <c r="E722" i="16"/>
  <c r="A722" i="16"/>
  <c r="G721" i="16"/>
  <c r="E721" i="16"/>
  <c r="A721" i="16"/>
  <c r="G720" i="16"/>
  <c r="E720" i="16"/>
  <c r="A720" i="16"/>
  <c r="G719" i="16"/>
  <c r="E719" i="16"/>
  <c r="A719" i="16"/>
  <c r="G718" i="16"/>
  <c r="E718" i="16"/>
  <c r="A718" i="16"/>
  <c r="G717" i="16"/>
  <c r="E717" i="16"/>
  <c r="A717" i="16"/>
  <c r="G716" i="16"/>
  <c r="E716" i="16"/>
  <c r="A716" i="16"/>
  <c r="G715" i="16"/>
  <c r="E715" i="16"/>
  <c r="A715" i="16"/>
  <c r="G714" i="16"/>
  <c r="E714" i="16"/>
  <c r="A714" i="16"/>
  <c r="G713" i="16"/>
  <c r="E713" i="16"/>
  <c r="A713" i="16"/>
  <c r="G712" i="16"/>
  <c r="E712" i="16"/>
  <c r="A712" i="16"/>
  <c r="G711" i="16"/>
  <c r="E711" i="16"/>
  <c r="A711" i="16"/>
  <c r="G710" i="16"/>
  <c r="E710" i="16"/>
  <c r="A710" i="16"/>
  <c r="G709" i="16"/>
  <c r="E709" i="16"/>
  <c r="A709" i="16"/>
  <c r="G708" i="16"/>
  <c r="E708" i="16"/>
  <c r="A708" i="16"/>
  <c r="G707" i="16"/>
  <c r="E707" i="16"/>
  <c r="A707" i="16"/>
  <c r="G706" i="16"/>
  <c r="E706" i="16"/>
  <c r="A706" i="16"/>
  <c r="G705" i="16"/>
  <c r="E705" i="16"/>
  <c r="A705" i="16"/>
  <c r="G704" i="16"/>
  <c r="E704" i="16"/>
  <c r="A704" i="16"/>
  <c r="G703" i="16"/>
  <c r="E703" i="16"/>
  <c r="A703" i="16"/>
  <c r="G702" i="16"/>
  <c r="E702" i="16"/>
  <c r="A702" i="16"/>
  <c r="G701" i="16"/>
  <c r="E701" i="16"/>
  <c r="A701" i="16"/>
  <c r="G700" i="16"/>
  <c r="E700" i="16"/>
  <c r="A700" i="16"/>
  <c r="G699" i="16"/>
  <c r="E699" i="16"/>
  <c r="A699" i="16"/>
  <c r="G698" i="16"/>
  <c r="E698" i="16"/>
  <c r="A698" i="16"/>
  <c r="G697" i="16"/>
  <c r="E697" i="16"/>
  <c r="A697" i="16"/>
  <c r="G696" i="16"/>
  <c r="E696" i="16"/>
  <c r="A696" i="16"/>
  <c r="G695" i="16"/>
  <c r="E695" i="16"/>
  <c r="A695" i="16"/>
  <c r="G694" i="16"/>
  <c r="E694" i="16"/>
  <c r="A694" i="16"/>
  <c r="G693" i="16"/>
  <c r="E693" i="16"/>
  <c r="A693" i="16"/>
  <c r="G692" i="16"/>
  <c r="E692" i="16"/>
  <c r="A692" i="16"/>
  <c r="G691" i="16"/>
  <c r="E691" i="16"/>
  <c r="A691" i="16"/>
  <c r="G690" i="16"/>
  <c r="E690" i="16"/>
  <c r="A690" i="16"/>
  <c r="G689" i="16"/>
  <c r="E689" i="16"/>
  <c r="A689" i="16"/>
  <c r="G688" i="16"/>
  <c r="E688" i="16"/>
  <c r="A688" i="16"/>
  <c r="G687" i="16"/>
  <c r="E687" i="16"/>
  <c r="A687" i="16"/>
  <c r="G686" i="16"/>
  <c r="E686" i="16"/>
  <c r="A686" i="16"/>
  <c r="G685" i="16"/>
  <c r="E685" i="16"/>
  <c r="A685" i="16"/>
  <c r="G684" i="16"/>
  <c r="E684" i="16"/>
  <c r="A684" i="16"/>
  <c r="G683" i="16"/>
  <c r="E683" i="16"/>
  <c r="A683" i="16"/>
  <c r="G682" i="16"/>
  <c r="E682" i="16"/>
  <c r="A682" i="16"/>
  <c r="G681" i="16"/>
  <c r="E681" i="16"/>
  <c r="A681" i="16"/>
  <c r="G680" i="16"/>
  <c r="E680" i="16"/>
  <c r="A680" i="16"/>
  <c r="G679" i="16"/>
  <c r="E679" i="16"/>
  <c r="A679" i="16"/>
  <c r="G678" i="16"/>
  <c r="E678" i="16"/>
  <c r="A678" i="16"/>
  <c r="G677" i="16"/>
  <c r="E677" i="16"/>
  <c r="A677" i="16"/>
  <c r="G676" i="16"/>
  <c r="E676" i="16"/>
  <c r="A676" i="16"/>
  <c r="G675" i="16"/>
  <c r="E675" i="16"/>
  <c r="A675" i="16"/>
  <c r="G674" i="16"/>
  <c r="E674" i="16"/>
  <c r="A674" i="16"/>
  <c r="G673" i="16"/>
  <c r="E673" i="16"/>
  <c r="A673" i="16"/>
  <c r="G672" i="16"/>
  <c r="E672" i="16"/>
  <c r="A672" i="16"/>
  <c r="G671" i="16"/>
  <c r="E671" i="16"/>
  <c r="A671" i="16"/>
  <c r="G670" i="16"/>
  <c r="E670" i="16"/>
  <c r="A670" i="16"/>
  <c r="G669" i="16"/>
  <c r="E669" i="16"/>
  <c r="A669" i="16"/>
  <c r="G668" i="16"/>
  <c r="E668" i="16"/>
  <c r="A668" i="16"/>
  <c r="G667" i="16"/>
  <c r="E667" i="16"/>
  <c r="A667" i="16"/>
  <c r="G666" i="16"/>
  <c r="E666" i="16"/>
  <c r="A666" i="16"/>
  <c r="G665" i="16"/>
  <c r="E665" i="16"/>
  <c r="A665" i="16"/>
  <c r="G664" i="16"/>
  <c r="E664" i="16"/>
  <c r="A664" i="16"/>
  <c r="G663" i="16"/>
  <c r="E663" i="16"/>
  <c r="A663" i="16"/>
  <c r="G662" i="16"/>
  <c r="E662" i="16"/>
  <c r="A662" i="16"/>
  <c r="G661" i="16"/>
  <c r="E661" i="16"/>
  <c r="A661" i="16"/>
  <c r="G660" i="16"/>
  <c r="E660" i="16"/>
  <c r="A660" i="16"/>
  <c r="G659" i="16"/>
  <c r="E659" i="16"/>
  <c r="A659" i="16"/>
  <c r="G658" i="16"/>
  <c r="E658" i="16"/>
  <c r="A658" i="16"/>
  <c r="G657" i="16"/>
  <c r="E657" i="16"/>
  <c r="A657" i="16"/>
  <c r="G656" i="16"/>
  <c r="E656" i="16"/>
  <c r="A656" i="16"/>
  <c r="G655" i="16"/>
  <c r="E655" i="16"/>
  <c r="A655" i="16"/>
  <c r="G654" i="16"/>
  <c r="E654" i="16"/>
  <c r="A654" i="16"/>
  <c r="G653" i="16"/>
  <c r="E653" i="16"/>
  <c r="A653" i="16"/>
  <c r="G652" i="16"/>
  <c r="E652" i="16"/>
  <c r="A652" i="16"/>
  <c r="G651" i="16"/>
  <c r="E651" i="16"/>
  <c r="A651" i="16"/>
  <c r="G650" i="16"/>
  <c r="E650" i="16"/>
  <c r="A650" i="16"/>
  <c r="G649" i="16"/>
  <c r="E649" i="16"/>
  <c r="A649" i="16"/>
  <c r="G648" i="16"/>
  <c r="E648" i="16"/>
  <c r="A648" i="16"/>
  <c r="G647" i="16"/>
  <c r="E647" i="16"/>
  <c r="A647" i="16"/>
  <c r="G646" i="16"/>
  <c r="E646" i="16"/>
  <c r="A646" i="16"/>
  <c r="G645" i="16"/>
  <c r="E645" i="16"/>
  <c r="A645" i="16"/>
  <c r="G644" i="16"/>
  <c r="E644" i="16"/>
  <c r="A644" i="16"/>
  <c r="G643" i="16"/>
  <c r="E643" i="16"/>
  <c r="A643" i="16"/>
  <c r="G642" i="16"/>
  <c r="E642" i="16"/>
  <c r="A642" i="16"/>
  <c r="G641" i="16"/>
  <c r="E641" i="16"/>
  <c r="A641" i="16"/>
  <c r="G640" i="16"/>
  <c r="E640" i="16"/>
  <c r="A640" i="16"/>
  <c r="G639" i="16"/>
  <c r="E639" i="16"/>
  <c r="A639" i="16"/>
  <c r="G638" i="16"/>
  <c r="E638" i="16"/>
  <c r="A638" i="16"/>
  <c r="G637" i="16"/>
  <c r="E637" i="16"/>
  <c r="A637" i="16"/>
  <c r="G636" i="16"/>
  <c r="E636" i="16"/>
  <c r="A636" i="16"/>
  <c r="G635" i="16"/>
  <c r="E635" i="16"/>
  <c r="A635" i="16"/>
  <c r="G634" i="16"/>
  <c r="E634" i="16"/>
  <c r="A634" i="16"/>
  <c r="G633" i="16"/>
  <c r="E633" i="16"/>
  <c r="A633" i="16"/>
  <c r="G632" i="16"/>
  <c r="E632" i="16"/>
  <c r="A632" i="16"/>
  <c r="G631" i="16"/>
  <c r="E631" i="16"/>
  <c r="A631" i="16"/>
  <c r="G630" i="16"/>
  <c r="E630" i="16"/>
  <c r="A630" i="16"/>
  <c r="G629" i="16"/>
  <c r="E629" i="16"/>
  <c r="A629" i="16"/>
  <c r="G628" i="16"/>
  <c r="E628" i="16"/>
  <c r="A628" i="16"/>
  <c r="G627" i="16"/>
  <c r="E627" i="16"/>
  <c r="A627" i="16"/>
  <c r="G626" i="16"/>
  <c r="E626" i="16"/>
  <c r="A626" i="16"/>
  <c r="G625" i="16"/>
  <c r="E625" i="16"/>
  <c r="A625" i="16"/>
  <c r="G624" i="16"/>
  <c r="E624" i="16"/>
  <c r="A624" i="16"/>
  <c r="G623" i="16"/>
  <c r="E623" i="16"/>
  <c r="A623" i="16"/>
  <c r="G622" i="16"/>
  <c r="E622" i="16"/>
  <c r="A622" i="16"/>
  <c r="G621" i="16"/>
  <c r="E621" i="16"/>
  <c r="A621" i="16"/>
  <c r="G620" i="16"/>
  <c r="E620" i="16"/>
  <c r="A620" i="16"/>
  <c r="G619" i="16"/>
  <c r="E619" i="16"/>
  <c r="A619" i="16"/>
  <c r="G618" i="16"/>
  <c r="E618" i="16"/>
  <c r="A618" i="16"/>
  <c r="G617" i="16"/>
  <c r="E617" i="16"/>
  <c r="A617" i="16"/>
  <c r="G616" i="16"/>
  <c r="E616" i="16"/>
  <c r="A616" i="16"/>
  <c r="G615" i="16"/>
  <c r="E615" i="16"/>
  <c r="A615" i="16"/>
  <c r="G614" i="16"/>
  <c r="E614" i="16"/>
  <c r="A614" i="16"/>
  <c r="G613" i="16"/>
  <c r="E613" i="16"/>
  <c r="A613" i="16"/>
  <c r="G612" i="16"/>
  <c r="E612" i="16"/>
  <c r="A612" i="16"/>
  <c r="G611" i="16"/>
  <c r="E611" i="16"/>
  <c r="A611" i="16"/>
  <c r="G610" i="16"/>
  <c r="E610" i="16"/>
  <c r="A610" i="16"/>
  <c r="G609" i="16"/>
  <c r="E609" i="16"/>
  <c r="A609" i="16"/>
  <c r="G608" i="16"/>
  <c r="E608" i="16"/>
  <c r="A608" i="16"/>
  <c r="G607" i="16"/>
  <c r="E607" i="16"/>
  <c r="A607" i="16"/>
  <c r="G606" i="16"/>
  <c r="E606" i="16"/>
  <c r="A606" i="16"/>
  <c r="G605" i="16"/>
  <c r="E605" i="16"/>
  <c r="A605" i="16"/>
  <c r="G604" i="16"/>
  <c r="E604" i="16"/>
  <c r="A604" i="16"/>
  <c r="G603" i="16"/>
  <c r="E603" i="16"/>
  <c r="A603" i="16"/>
  <c r="G602" i="16"/>
  <c r="E602" i="16"/>
  <c r="A602" i="16"/>
  <c r="G601" i="16"/>
  <c r="E601" i="16"/>
  <c r="A601" i="16"/>
  <c r="G600" i="16"/>
  <c r="E600" i="16"/>
  <c r="A600" i="16"/>
  <c r="G599" i="16"/>
  <c r="E599" i="16"/>
  <c r="A599" i="16"/>
  <c r="G598" i="16"/>
  <c r="E598" i="16"/>
  <c r="A598" i="16"/>
  <c r="G597" i="16"/>
  <c r="E597" i="16"/>
  <c r="A597" i="16"/>
  <c r="G596" i="16"/>
  <c r="E596" i="16"/>
  <c r="A596" i="16"/>
  <c r="G595" i="16"/>
  <c r="E595" i="16"/>
  <c r="A595" i="16"/>
  <c r="G594" i="16"/>
  <c r="E594" i="16"/>
  <c r="A594" i="16"/>
  <c r="G593" i="16"/>
  <c r="E593" i="16"/>
  <c r="A593" i="16"/>
  <c r="G592" i="16"/>
  <c r="E592" i="16"/>
  <c r="A592" i="16"/>
  <c r="G591" i="16"/>
  <c r="E591" i="16"/>
  <c r="A591" i="16"/>
  <c r="G590" i="16"/>
  <c r="E590" i="16"/>
  <c r="A590" i="16"/>
  <c r="G589" i="16"/>
  <c r="E589" i="16"/>
  <c r="A589" i="16"/>
  <c r="G588" i="16"/>
  <c r="E588" i="16"/>
  <c r="A588" i="16"/>
  <c r="G587" i="16"/>
  <c r="E587" i="16"/>
  <c r="A587" i="16"/>
  <c r="G586" i="16"/>
  <c r="E586" i="16"/>
  <c r="A586" i="16"/>
  <c r="G585" i="16"/>
  <c r="E585" i="16"/>
  <c r="A585" i="16"/>
  <c r="G584" i="16"/>
  <c r="E584" i="16"/>
  <c r="A584" i="16"/>
  <c r="G583" i="16"/>
  <c r="E583" i="16"/>
  <c r="A583" i="16"/>
  <c r="G582" i="16"/>
  <c r="E582" i="16"/>
  <c r="A582" i="16"/>
  <c r="G581" i="16"/>
  <c r="E581" i="16"/>
  <c r="A581" i="16"/>
  <c r="G580" i="16"/>
  <c r="E580" i="16"/>
  <c r="A580" i="16"/>
  <c r="G579" i="16"/>
  <c r="E579" i="16"/>
  <c r="A579" i="16"/>
  <c r="G578" i="16"/>
  <c r="E578" i="16"/>
  <c r="A578" i="16"/>
  <c r="G577" i="16"/>
  <c r="E577" i="16"/>
  <c r="A577" i="16"/>
  <c r="G576" i="16"/>
  <c r="E576" i="16"/>
  <c r="A576" i="16"/>
  <c r="G575" i="16"/>
  <c r="E575" i="16"/>
  <c r="A575" i="16"/>
  <c r="G574" i="16"/>
  <c r="E574" i="16"/>
  <c r="A574" i="16"/>
  <c r="G573" i="16"/>
  <c r="E573" i="16"/>
  <c r="A573" i="16"/>
  <c r="G572" i="16"/>
  <c r="E572" i="16"/>
  <c r="A572" i="16"/>
  <c r="G571" i="16"/>
  <c r="E571" i="16"/>
  <c r="A571" i="16"/>
  <c r="G570" i="16"/>
  <c r="E570" i="16"/>
  <c r="A570" i="16"/>
  <c r="G569" i="16"/>
  <c r="E569" i="16"/>
  <c r="A569" i="16"/>
  <c r="G568" i="16"/>
  <c r="E568" i="16"/>
  <c r="A568" i="16"/>
  <c r="G567" i="16"/>
  <c r="E567" i="16"/>
  <c r="A567" i="16"/>
  <c r="G566" i="16"/>
  <c r="E566" i="16"/>
  <c r="A566" i="16"/>
  <c r="G565" i="16"/>
  <c r="E565" i="16"/>
  <c r="A565" i="16"/>
  <c r="G564" i="16"/>
  <c r="E564" i="16"/>
  <c r="A564" i="16"/>
  <c r="G563" i="16"/>
  <c r="E563" i="16"/>
  <c r="A563" i="16"/>
  <c r="G562" i="16"/>
  <c r="E562" i="16"/>
  <c r="A562" i="16"/>
  <c r="G561" i="16"/>
  <c r="E561" i="16"/>
  <c r="A561" i="16"/>
  <c r="G560" i="16"/>
  <c r="E560" i="16"/>
  <c r="A560" i="16"/>
  <c r="G559" i="16"/>
  <c r="E559" i="16"/>
  <c r="A559" i="16"/>
  <c r="G558" i="16"/>
  <c r="E558" i="16"/>
  <c r="A558" i="16"/>
  <c r="G557" i="16"/>
  <c r="E557" i="16"/>
  <c r="A557" i="16"/>
  <c r="G556" i="16"/>
  <c r="E556" i="16"/>
  <c r="A556" i="16"/>
  <c r="G555" i="16"/>
  <c r="E555" i="16"/>
  <c r="A555" i="16"/>
  <c r="G554" i="16"/>
  <c r="E554" i="16"/>
  <c r="A554" i="16"/>
  <c r="G553" i="16"/>
  <c r="E553" i="16"/>
  <c r="A553" i="16"/>
  <c r="G552" i="16"/>
  <c r="E552" i="16"/>
  <c r="A552" i="16"/>
  <c r="G551" i="16"/>
  <c r="E551" i="16"/>
  <c r="A551" i="16"/>
  <c r="G550" i="16"/>
  <c r="E550" i="16"/>
  <c r="A550" i="16"/>
  <c r="G549" i="16"/>
  <c r="E549" i="16"/>
  <c r="A549" i="16"/>
  <c r="G548" i="16"/>
  <c r="E548" i="16"/>
  <c r="A548" i="16"/>
  <c r="G547" i="16"/>
  <c r="E547" i="16"/>
  <c r="A547" i="16"/>
  <c r="G546" i="16"/>
  <c r="E546" i="16"/>
  <c r="A546" i="16"/>
  <c r="G545" i="16"/>
  <c r="E545" i="16"/>
  <c r="A545" i="16"/>
  <c r="G544" i="16"/>
  <c r="E544" i="16"/>
  <c r="A544" i="16"/>
  <c r="G543" i="16"/>
  <c r="E543" i="16"/>
  <c r="A543" i="16"/>
  <c r="G542" i="16"/>
  <c r="E542" i="16"/>
  <c r="A542" i="16"/>
  <c r="G541" i="16"/>
  <c r="E541" i="16"/>
  <c r="A541" i="16"/>
  <c r="G540" i="16"/>
  <c r="E540" i="16"/>
  <c r="A540" i="16"/>
  <c r="G539" i="16"/>
  <c r="E539" i="16"/>
  <c r="A539" i="16"/>
  <c r="G538" i="16"/>
  <c r="E538" i="16"/>
  <c r="A538" i="16"/>
  <c r="G537" i="16"/>
  <c r="E537" i="16"/>
  <c r="A537" i="16"/>
  <c r="G536" i="16"/>
  <c r="E536" i="16"/>
  <c r="A536" i="16"/>
  <c r="G535" i="16"/>
  <c r="E535" i="16"/>
  <c r="A535" i="16"/>
  <c r="G534" i="16"/>
  <c r="E534" i="16"/>
  <c r="A534" i="16"/>
  <c r="G533" i="16"/>
  <c r="E533" i="16"/>
  <c r="A533" i="16"/>
  <c r="G532" i="16"/>
  <c r="E532" i="16"/>
  <c r="A532" i="16"/>
  <c r="G531" i="16"/>
  <c r="E531" i="16"/>
  <c r="A531" i="16"/>
  <c r="G530" i="16"/>
  <c r="E530" i="16"/>
  <c r="A530" i="16"/>
  <c r="G529" i="16"/>
  <c r="E529" i="16"/>
  <c r="A529" i="16"/>
  <c r="G528" i="16"/>
  <c r="E528" i="16"/>
  <c r="A528" i="16"/>
  <c r="G527" i="16"/>
  <c r="E527" i="16"/>
  <c r="A527" i="16"/>
  <c r="G526" i="16"/>
  <c r="E526" i="16"/>
  <c r="A526" i="16"/>
  <c r="G525" i="16"/>
  <c r="E525" i="16"/>
  <c r="A525" i="16"/>
  <c r="G524" i="16"/>
  <c r="E524" i="16"/>
  <c r="A524" i="16"/>
  <c r="G523" i="16"/>
  <c r="E523" i="16"/>
  <c r="A523" i="16"/>
  <c r="G522" i="16"/>
  <c r="E522" i="16"/>
  <c r="A522" i="16"/>
  <c r="G521" i="16"/>
  <c r="E521" i="16"/>
  <c r="A521" i="16"/>
  <c r="G520" i="16"/>
  <c r="E520" i="16"/>
  <c r="A520" i="16"/>
  <c r="G519" i="16"/>
  <c r="E519" i="16"/>
  <c r="A519" i="16"/>
  <c r="G518" i="16"/>
  <c r="E518" i="16"/>
  <c r="A518" i="16"/>
  <c r="G517" i="16"/>
  <c r="E517" i="16"/>
  <c r="A517" i="16"/>
  <c r="G516" i="16"/>
  <c r="E516" i="16"/>
  <c r="A516" i="16"/>
  <c r="G515" i="16"/>
  <c r="E515" i="16"/>
  <c r="A515" i="16"/>
  <c r="G514" i="16"/>
  <c r="E514" i="16"/>
  <c r="A514" i="16"/>
  <c r="G513" i="16"/>
  <c r="E513" i="16"/>
  <c r="A513" i="16"/>
  <c r="G512" i="16"/>
  <c r="E512" i="16"/>
  <c r="A512" i="16"/>
  <c r="G511" i="16"/>
  <c r="E511" i="16"/>
  <c r="A511" i="16"/>
  <c r="G510" i="16"/>
  <c r="E510" i="16"/>
  <c r="A510" i="16"/>
  <c r="G509" i="16"/>
  <c r="E509" i="16"/>
  <c r="A509" i="16"/>
  <c r="G508" i="16"/>
  <c r="E508" i="16"/>
  <c r="A508" i="16"/>
  <c r="G507" i="16"/>
  <c r="E507" i="16"/>
  <c r="A507" i="16"/>
  <c r="G506" i="16"/>
  <c r="E506" i="16"/>
  <c r="A506" i="16"/>
  <c r="G505" i="16"/>
  <c r="E505" i="16"/>
  <c r="A505" i="16"/>
  <c r="G504" i="16"/>
  <c r="E504" i="16"/>
  <c r="A504" i="16"/>
  <c r="G503" i="16"/>
  <c r="E503" i="16"/>
  <c r="A503" i="16"/>
  <c r="G502" i="16"/>
  <c r="E502" i="16"/>
  <c r="A502" i="16"/>
  <c r="G501" i="16"/>
  <c r="E501" i="16"/>
  <c r="A501" i="16"/>
  <c r="G500" i="16"/>
  <c r="E500" i="16"/>
  <c r="A500" i="16"/>
  <c r="G499" i="16"/>
  <c r="E499" i="16"/>
  <c r="A499" i="16"/>
  <c r="G498" i="16"/>
  <c r="E498" i="16"/>
  <c r="A498" i="16"/>
  <c r="G497" i="16"/>
  <c r="E497" i="16"/>
  <c r="A497" i="16"/>
  <c r="G496" i="16"/>
  <c r="E496" i="16"/>
  <c r="A496" i="16"/>
  <c r="G495" i="16"/>
  <c r="E495" i="16"/>
  <c r="A495" i="16"/>
  <c r="G494" i="16"/>
  <c r="E494" i="16"/>
  <c r="A494" i="16"/>
  <c r="G493" i="16"/>
  <c r="E493" i="16"/>
  <c r="A493" i="16"/>
  <c r="G492" i="16"/>
  <c r="E492" i="16"/>
  <c r="A492" i="16"/>
  <c r="G491" i="16"/>
  <c r="E491" i="16"/>
  <c r="A491" i="16"/>
  <c r="G490" i="16"/>
  <c r="E490" i="16"/>
  <c r="A490" i="16"/>
  <c r="G489" i="16"/>
  <c r="E489" i="16"/>
  <c r="A489" i="16"/>
  <c r="G488" i="16"/>
  <c r="E488" i="16"/>
  <c r="A488" i="16"/>
  <c r="G487" i="16"/>
  <c r="E487" i="16"/>
  <c r="A487" i="16"/>
  <c r="G486" i="16"/>
  <c r="E486" i="16"/>
  <c r="A486" i="16"/>
  <c r="G485" i="16"/>
  <c r="E485" i="16"/>
  <c r="A485" i="16"/>
  <c r="G484" i="16"/>
  <c r="E484" i="16"/>
  <c r="A484" i="16"/>
  <c r="G483" i="16"/>
  <c r="E483" i="16"/>
  <c r="A483" i="16"/>
  <c r="G482" i="16"/>
  <c r="E482" i="16"/>
  <c r="A482" i="16"/>
  <c r="G481" i="16"/>
  <c r="E481" i="16"/>
  <c r="A481" i="16"/>
  <c r="G480" i="16"/>
  <c r="E480" i="16"/>
  <c r="A480" i="16"/>
  <c r="G479" i="16"/>
  <c r="E479" i="16"/>
  <c r="A479" i="16"/>
  <c r="G478" i="16"/>
  <c r="E478" i="16"/>
  <c r="A478" i="16"/>
  <c r="G477" i="16"/>
  <c r="E477" i="16"/>
  <c r="A477" i="16"/>
  <c r="G476" i="16"/>
  <c r="E476" i="16"/>
  <c r="A476" i="16"/>
  <c r="G475" i="16"/>
  <c r="E475" i="16"/>
  <c r="A475" i="16"/>
  <c r="G474" i="16"/>
  <c r="E474" i="16"/>
  <c r="A474" i="16"/>
  <c r="G473" i="16"/>
  <c r="E473" i="16"/>
  <c r="A473" i="16"/>
  <c r="G472" i="16"/>
  <c r="E472" i="16"/>
  <c r="A472" i="16"/>
  <c r="G471" i="16"/>
  <c r="E471" i="16"/>
  <c r="A471" i="16"/>
  <c r="G470" i="16"/>
  <c r="E470" i="16"/>
  <c r="A470" i="16"/>
  <c r="G469" i="16"/>
  <c r="E469" i="16"/>
  <c r="A469" i="16"/>
  <c r="G468" i="16"/>
  <c r="E468" i="16"/>
  <c r="A468" i="16"/>
  <c r="G467" i="16"/>
  <c r="E467" i="16"/>
  <c r="A467" i="16"/>
  <c r="G466" i="16"/>
  <c r="E466" i="16"/>
  <c r="A466" i="16"/>
  <c r="G465" i="16"/>
  <c r="E465" i="16"/>
  <c r="A465" i="16"/>
  <c r="G464" i="16"/>
  <c r="E464" i="16"/>
  <c r="A464" i="16"/>
  <c r="G463" i="16"/>
  <c r="E463" i="16"/>
  <c r="A463" i="16"/>
  <c r="G462" i="16"/>
  <c r="E462" i="16"/>
  <c r="A462" i="16"/>
  <c r="G461" i="16"/>
  <c r="E461" i="16"/>
  <c r="A461" i="16"/>
  <c r="G460" i="16"/>
  <c r="E460" i="16"/>
  <c r="A460" i="16"/>
  <c r="G459" i="16"/>
  <c r="E459" i="16"/>
  <c r="A459" i="16"/>
  <c r="G458" i="16"/>
  <c r="E458" i="16"/>
  <c r="A458" i="16"/>
  <c r="G457" i="16"/>
  <c r="E457" i="16"/>
  <c r="A457" i="16"/>
  <c r="G456" i="16"/>
  <c r="E456" i="16"/>
  <c r="A456" i="16"/>
  <c r="G455" i="16"/>
  <c r="E455" i="16"/>
  <c r="A455" i="16"/>
  <c r="G454" i="16"/>
  <c r="E454" i="16"/>
  <c r="A454" i="16"/>
  <c r="G453" i="16"/>
  <c r="E453" i="16"/>
  <c r="A453" i="16"/>
  <c r="G452" i="16"/>
  <c r="E452" i="16"/>
  <c r="A452" i="16"/>
  <c r="G451" i="16"/>
  <c r="E451" i="16"/>
  <c r="A451" i="16"/>
  <c r="G450" i="16"/>
  <c r="E450" i="16"/>
  <c r="A450" i="16"/>
  <c r="G449" i="16"/>
  <c r="E449" i="16"/>
  <c r="A449" i="16"/>
  <c r="G448" i="16"/>
  <c r="E448" i="16"/>
  <c r="A448" i="16"/>
  <c r="G447" i="16"/>
  <c r="E447" i="16"/>
  <c r="A447" i="16"/>
  <c r="G446" i="16"/>
  <c r="E446" i="16"/>
  <c r="A446" i="16"/>
  <c r="G445" i="16"/>
  <c r="E445" i="16"/>
  <c r="A445" i="16"/>
  <c r="G444" i="16"/>
  <c r="E444" i="16"/>
  <c r="A444" i="16"/>
  <c r="G443" i="16"/>
  <c r="E443" i="16"/>
  <c r="A443" i="16"/>
  <c r="G442" i="16"/>
  <c r="E442" i="16"/>
  <c r="A442" i="16"/>
  <c r="G441" i="16"/>
  <c r="E441" i="16"/>
  <c r="A441" i="16"/>
  <c r="G440" i="16"/>
  <c r="E440" i="16"/>
  <c r="A440" i="16"/>
  <c r="G439" i="16"/>
  <c r="E439" i="16"/>
  <c r="A439" i="16"/>
  <c r="G438" i="16"/>
  <c r="E438" i="16"/>
  <c r="A438" i="16"/>
  <c r="G437" i="16"/>
  <c r="E437" i="16"/>
  <c r="A437" i="16"/>
  <c r="G436" i="16"/>
  <c r="E436" i="16"/>
  <c r="A436" i="16"/>
  <c r="G435" i="16"/>
  <c r="E435" i="16"/>
  <c r="A435" i="16"/>
  <c r="G434" i="16"/>
  <c r="E434" i="16"/>
  <c r="A434" i="16"/>
  <c r="G433" i="16"/>
  <c r="E433" i="16"/>
  <c r="A433" i="16"/>
  <c r="G432" i="16"/>
  <c r="E432" i="16"/>
  <c r="A432" i="16"/>
  <c r="G431" i="16"/>
  <c r="E431" i="16"/>
  <c r="A431" i="16"/>
  <c r="G430" i="16"/>
  <c r="E430" i="16"/>
  <c r="A430" i="16"/>
  <c r="G429" i="16"/>
  <c r="E429" i="16"/>
  <c r="A429" i="16"/>
  <c r="G428" i="16"/>
  <c r="E428" i="16"/>
  <c r="A428" i="16"/>
  <c r="G427" i="16"/>
  <c r="E427" i="16"/>
  <c r="A427" i="16"/>
  <c r="G426" i="16"/>
  <c r="E426" i="16"/>
  <c r="A426" i="16"/>
  <c r="G425" i="16"/>
  <c r="E425" i="16"/>
  <c r="A425" i="16"/>
  <c r="G424" i="16"/>
  <c r="E424" i="16"/>
  <c r="A424" i="16"/>
  <c r="G423" i="16"/>
  <c r="E423" i="16"/>
  <c r="A423" i="16"/>
  <c r="G422" i="16"/>
  <c r="E422" i="16"/>
  <c r="A422" i="16"/>
  <c r="G421" i="16"/>
  <c r="E421" i="16"/>
  <c r="A421" i="16"/>
  <c r="G420" i="16"/>
  <c r="E420" i="16"/>
  <c r="A420" i="16"/>
  <c r="G419" i="16"/>
  <c r="E419" i="16"/>
  <c r="A419" i="16"/>
  <c r="G418" i="16"/>
  <c r="E418" i="16"/>
  <c r="A418" i="16"/>
  <c r="G417" i="16"/>
  <c r="E417" i="16"/>
  <c r="A417" i="16"/>
  <c r="G416" i="16"/>
  <c r="E416" i="16"/>
  <c r="A416" i="16"/>
  <c r="G415" i="16"/>
  <c r="E415" i="16"/>
  <c r="A415" i="16"/>
  <c r="G414" i="16"/>
  <c r="E414" i="16"/>
  <c r="A414" i="16"/>
  <c r="G413" i="16"/>
  <c r="E413" i="16"/>
  <c r="A413" i="16"/>
  <c r="G412" i="16"/>
  <c r="E412" i="16"/>
  <c r="A412" i="16"/>
  <c r="G411" i="16"/>
  <c r="E411" i="16"/>
  <c r="A411" i="16"/>
  <c r="G410" i="16"/>
  <c r="E410" i="16"/>
  <c r="A410" i="16"/>
  <c r="G409" i="16"/>
  <c r="E409" i="16"/>
  <c r="A409" i="16"/>
  <c r="G408" i="16"/>
  <c r="E408" i="16"/>
  <c r="A408" i="16"/>
  <c r="G407" i="16"/>
  <c r="E407" i="16"/>
  <c r="A407" i="16"/>
  <c r="G406" i="16"/>
  <c r="E406" i="16"/>
  <c r="A406" i="16"/>
  <c r="G405" i="16"/>
  <c r="E405" i="16"/>
  <c r="A405" i="16"/>
  <c r="G404" i="16"/>
  <c r="A404" i="16"/>
  <c r="G403" i="16"/>
  <c r="A403" i="16"/>
  <c r="G402" i="16"/>
  <c r="A402" i="16"/>
  <c r="G401" i="16"/>
  <c r="A401" i="16"/>
  <c r="G400" i="16"/>
  <c r="A400" i="16"/>
  <c r="G399" i="16"/>
  <c r="A399" i="16"/>
  <c r="G398" i="16"/>
  <c r="A398" i="16"/>
  <c r="G397" i="16"/>
  <c r="A397" i="16"/>
  <c r="G396" i="16"/>
  <c r="A396" i="16"/>
  <c r="G395" i="16"/>
  <c r="A395" i="16"/>
  <c r="G394" i="16"/>
  <c r="A394" i="16"/>
  <c r="G393" i="16"/>
  <c r="A393" i="16"/>
  <c r="G392" i="16"/>
  <c r="A392" i="16"/>
  <c r="G391" i="16"/>
  <c r="A391" i="16"/>
  <c r="G390" i="16"/>
  <c r="A390" i="16"/>
  <c r="G389" i="16"/>
  <c r="A389" i="16"/>
  <c r="G388" i="16"/>
  <c r="A388" i="16"/>
  <c r="G387" i="16"/>
  <c r="A387" i="16"/>
  <c r="G386" i="16"/>
  <c r="A386" i="16"/>
  <c r="G385" i="16"/>
  <c r="A385" i="16"/>
  <c r="G384" i="16"/>
  <c r="A384" i="16"/>
  <c r="G383" i="16"/>
  <c r="A383" i="16"/>
  <c r="G382" i="16"/>
  <c r="A382" i="16"/>
  <c r="G381" i="16"/>
  <c r="A381" i="16"/>
  <c r="G380" i="16"/>
  <c r="A380" i="16"/>
  <c r="G379" i="16"/>
  <c r="A379" i="16"/>
  <c r="G378" i="16"/>
  <c r="A378" i="16"/>
  <c r="G377" i="16"/>
  <c r="A377" i="16"/>
  <c r="G376" i="16"/>
  <c r="A376" i="16"/>
  <c r="G375" i="16"/>
  <c r="A375" i="16"/>
  <c r="G374" i="16"/>
  <c r="A374" i="16"/>
  <c r="G373" i="16"/>
  <c r="A373" i="16"/>
  <c r="G372" i="16"/>
  <c r="E372" i="16"/>
  <c r="A372" i="16"/>
  <c r="G371" i="16"/>
  <c r="A371" i="16"/>
  <c r="G370" i="16"/>
  <c r="A370" i="16"/>
  <c r="G369" i="16"/>
  <c r="A369" i="16"/>
  <c r="G368" i="16"/>
  <c r="A368" i="16"/>
  <c r="G367" i="16"/>
  <c r="A367" i="16"/>
  <c r="G366" i="16"/>
  <c r="A366" i="16"/>
  <c r="G365" i="16"/>
  <c r="A365" i="16"/>
  <c r="G364" i="16"/>
  <c r="A364" i="16"/>
  <c r="G363" i="16"/>
  <c r="A363" i="16"/>
  <c r="G362" i="16"/>
  <c r="A362" i="16"/>
  <c r="G361" i="16"/>
  <c r="A361" i="16"/>
  <c r="G360" i="16"/>
  <c r="A360" i="16"/>
  <c r="G359" i="16"/>
  <c r="A359" i="16"/>
  <c r="G358" i="16"/>
  <c r="A358" i="16"/>
  <c r="G357" i="16"/>
  <c r="A357" i="16"/>
  <c r="G356" i="16"/>
  <c r="A356" i="16"/>
  <c r="G355" i="16"/>
  <c r="A355" i="16"/>
  <c r="G354" i="16"/>
  <c r="A354" i="16"/>
  <c r="G353" i="16"/>
  <c r="A353" i="16"/>
  <c r="G352" i="16"/>
  <c r="A352" i="16"/>
  <c r="G351" i="16"/>
  <c r="A351" i="16"/>
  <c r="G350" i="16"/>
  <c r="E350" i="16"/>
  <c r="A350" i="16"/>
  <c r="G349" i="16"/>
  <c r="E349" i="16"/>
  <c r="A349" i="16"/>
  <c r="G348" i="16"/>
  <c r="E348" i="16"/>
  <c r="A348" i="16"/>
  <c r="G347" i="16"/>
  <c r="E347" i="16"/>
  <c r="A347" i="16"/>
  <c r="G346" i="16"/>
  <c r="E346" i="16"/>
  <c r="A346" i="16"/>
  <c r="G345" i="16"/>
  <c r="E345" i="16"/>
  <c r="A345" i="16"/>
  <c r="G344" i="16"/>
  <c r="E344" i="16"/>
  <c r="A344" i="16"/>
  <c r="G343" i="16"/>
  <c r="E343" i="16"/>
  <c r="A343" i="16"/>
  <c r="G342" i="16"/>
  <c r="E342" i="16"/>
  <c r="A342" i="16"/>
  <c r="G341" i="16"/>
  <c r="E341" i="16"/>
  <c r="A341" i="16"/>
  <c r="G340" i="16"/>
  <c r="E340" i="16"/>
  <c r="A340" i="16"/>
  <c r="G339" i="16"/>
  <c r="E339" i="16"/>
  <c r="A339" i="16"/>
  <c r="G338" i="16"/>
  <c r="E338" i="16"/>
  <c r="A338" i="16"/>
  <c r="G337" i="16"/>
  <c r="E337" i="16"/>
  <c r="A337" i="16"/>
  <c r="G336" i="16"/>
  <c r="E336" i="16"/>
  <c r="A336" i="16"/>
  <c r="G335" i="16"/>
  <c r="E335" i="16"/>
  <c r="A335" i="16"/>
  <c r="G334" i="16"/>
  <c r="E334" i="16"/>
  <c r="A334" i="16"/>
  <c r="G333" i="16"/>
  <c r="E333" i="16"/>
  <c r="A333" i="16"/>
  <c r="G332" i="16"/>
  <c r="E332" i="16"/>
  <c r="A332" i="16"/>
  <c r="G331" i="16"/>
  <c r="E331" i="16"/>
  <c r="A331" i="16"/>
  <c r="G330" i="16"/>
  <c r="E330" i="16"/>
  <c r="A330" i="16"/>
  <c r="G329" i="16"/>
  <c r="E329" i="16"/>
  <c r="A329" i="16"/>
  <c r="G328" i="16"/>
  <c r="E328" i="16"/>
  <c r="A328" i="16"/>
  <c r="G327" i="16"/>
  <c r="E327" i="16"/>
  <c r="A327" i="16"/>
  <c r="G326" i="16"/>
  <c r="E326" i="16"/>
  <c r="A326" i="16"/>
  <c r="G325" i="16"/>
  <c r="E325" i="16"/>
  <c r="A325" i="16"/>
  <c r="G324" i="16"/>
  <c r="E324" i="16"/>
  <c r="A324" i="16"/>
  <c r="G323" i="16"/>
  <c r="E323" i="16"/>
  <c r="A323" i="16"/>
  <c r="G322" i="16"/>
  <c r="E322" i="16"/>
  <c r="A322" i="16"/>
  <c r="G321" i="16"/>
  <c r="E321" i="16"/>
  <c r="A321" i="16"/>
  <c r="G320" i="16"/>
  <c r="E320" i="16"/>
  <c r="A320" i="16"/>
  <c r="G319" i="16"/>
  <c r="E319" i="16"/>
  <c r="A319" i="16"/>
  <c r="G318" i="16"/>
  <c r="E318" i="16"/>
  <c r="A318" i="16"/>
  <c r="G317" i="16"/>
  <c r="E317" i="16"/>
  <c r="A317" i="16"/>
  <c r="G316" i="16"/>
  <c r="E316" i="16"/>
  <c r="A316" i="16"/>
  <c r="G315" i="16"/>
  <c r="E315" i="16"/>
  <c r="A315" i="16"/>
  <c r="G314" i="16"/>
  <c r="E314" i="16"/>
  <c r="A314" i="16"/>
  <c r="G313" i="16"/>
  <c r="E313" i="16"/>
  <c r="A313" i="16"/>
  <c r="G312" i="16"/>
  <c r="E312" i="16"/>
  <c r="A312" i="16"/>
  <c r="G311" i="16"/>
  <c r="E311" i="16"/>
  <c r="A311" i="16"/>
  <c r="G310" i="16"/>
  <c r="E310" i="16"/>
  <c r="A310" i="16"/>
  <c r="G309" i="16"/>
  <c r="E309" i="16"/>
  <c r="A309" i="16"/>
  <c r="G308" i="16"/>
  <c r="E308" i="16"/>
  <c r="A308" i="16"/>
  <c r="G307" i="16"/>
  <c r="E307" i="16"/>
  <c r="A307" i="16"/>
  <c r="G306" i="16"/>
  <c r="E306" i="16"/>
  <c r="A306" i="16"/>
  <c r="G305" i="16"/>
  <c r="E305" i="16"/>
  <c r="A305" i="16"/>
  <c r="G304" i="16"/>
  <c r="E304" i="16"/>
  <c r="A304" i="16"/>
  <c r="G303" i="16"/>
  <c r="E303" i="16"/>
  <c r="A303" i="16"/>
  <c r="G302" i="16"/>
  <c r="E302" i="16"/>
  <c r="A302" i="16"/>
  <c r="G301" i="16"/>
  <c r="E301" i="16"/>
  <c r="A301" i="16"/>
  <c r="G300" i="16"/>
  <c r="E300" i="16"/>
  <c r="A300" i="16"/>
  <c r="G299" i="16"/>
  <c r="E299" i="16"/>
  <c r="A299" i="16"/>
  <c r="G298" i="16"/>
  <c r="E298" i="16"/>
  <c r="A298" i="16"/>
  <c r="G297" i="16"/>
  <c r="E297" i="16"/>
  <c r="A297" i="16"/>
  <c r="G296" i="16"/>
  <c r="E296" i="16"/>
  <c r="A296" i="16"/>
  <c r="G295" i="16"/>
  <c r="E295" i="16"/>
  <c r="A295" i="16"/>
  <c r="G294" i="16"/>
  <c r="E294" i="16"/>
  <c r="A294" i="16"/>
  <c r="G293" i="16"/>
  <c r="E293" i="16"/>
  <c r="A293" i="16"/>
  <c r="G292" i="16"/>
  <c r="E292" i="16"/>
  <c r="A292" i="16"/>
  <c r="G291" i="16"/>
  <c r="E291" i="16"/>
  <c r="A291" i="16"/>
  <c r="G290" i="16"/>
  <c r="E290" i="16"/>
  <c r="A290" i="16"/>
  <c r="G289" i="16"/>
  <c r="E289" i="16"/>
  <c r="A289" i="16"/>
  <c r="G288" i="16"/>
  <c r="E288" i="16"/>
  <c r="A288" i="16"/>
  <c r="G287" i="16"/>
  <c r="E287" i="16"/>
  <c r="A287" i="16"/>
  <c r="G286" i="16"/>
  <c r="E286" i="16"/>
  <c r="A286" i="16"/>
  <c r="G285" i="16"/>
  <c r="E285" i="16"/>
  <c r="A285" i="16"/>
  <c r="G284" i="16"/>
  <c r="E284" i="16"/>
  <c r="A284" i="16"/>
  <c r="G283" i="16"/>
  <c r="E283" i="16"/>
  <c r="A283" i="16"/>
  <c r="G282" i="16"/>
  <c r="E282" i="16"/>
  <c r="A282" i="16"/>
  <c r="G281" i="16"/>
  <c r="E281" i="16"/>
  <c r="A281" i="16"/>
  <c r="G280" i="16"/>
  <c r="E280" i="16"/>
  <c r="A280" i="16"/>
  <c r="G279" i="16"/>
  <c r="E279" i="16"/>
  <c r="A279" i="16"/>
  <c r="G278" i="16"/>
  <c r="E278" i="16"/>
  <c r="A278" i="16"/>
  <c r="G277" i="16"/>
  <c r="E277" i="16"/>
  <c r="A277" i="16"/>
  <c r="G276" i="16"/>
  <c r="E276" i="16"/>
  <c r="A276" i="16"/>
  <c r="G275" i="16"/>
  <c r="E275" i="16"/>
  <c r="A275" i="16"/>
  <c r="G274" i="16"/>
  <c r="E274" i="16"/>
  <c r="A274" i="16"/>
  <c r="G273" i="16"/>
  <c r="E273" i="16"/>
  <c r="A273" i="16"/>
  <c r="G272" i="16"/>
  <c r="E272" i="16"/>
  <c r="A272" i="16"/>
  <c r="G271" i="16"/>
  <c r="E271" i="16"/>
  <c r="A271" i="16"/>
  <c r="G270" i="16"/>
  <c r="E270" i="16"/>
  <c r="A270" i="16"/>
  <c r="G269" i="16"/>
  <c r="E269" i="16"/>
  <c r="A269" i="16"/>
  <c r="G268" i="16"/>
  <c r="E268" i="16"/>
  <c r="A268" i="16"/>
  <c r="G267" i="16"/>
  <c r="E267" i="16"/>
  <c r="A267" i="16"/>
  <c r="G266" i="16"/>
  <c r="E266" i="16"/>
  <c r="A266" i="16"/>
  <c r="G265" i="16"/>
  <c r="E265" i="16"/>
  <c r="A265" i="16"/>
  <c r="G264" i="16"/>
  <c r="E264" i="16"/>
  <c r="A264" i="16"/>
  <c r="G263" i="16"/>
  <c r="E263" i="16"/>
  <c r="A263" i="16"/>
  <c r="G262" i="16"/>
  <c r="E262" i="16"/>
  <c r="A262" i="16"/>
  <c r="G261" i="16"/>
  <c r="E261" i="16"/>
  <c r="A261" i="16"/>
  <c r="G260" i="16"/>
  <c r="E260" i="16"/>
  <c r="A260" i="16"/>
  <c r="G259" i="16"/>
  <c r="E259" i="16"/>
  <c r="A259" i="16"/>
  <c r="G258" i="16"/>
  <c r="E258" i="16"/>
  <c r="A258" i="16"/>
  <c r="G257" i="16"/>
  <c r="E257" i="16"/>
  <c r="A257" i="16"/>
  <c r="G256" i="16"/>
  <c r="E256" i="16"/>
  <c r="A256" i="16"/>
  <c r="G255" i="16"/>
  <c r="E255" i="16"/>
  <c r="A255" i="16"/>
  <c r="G254" i="16"/>
  <c r="E254" i="16"/>
  <c r="A254" i="16"/>
  <c r="G253" i="16"/>
  <c r="E253" i="16"/>
  <c r="A253" i="16"/>
  <c r="G252" i="16"/>
  <c r="E252" i="16"/>
  <c r="A252" i="16"/>
  <c r="G251" i="16"/>
  <c r="E251" i="16"/>
  <c r="A251" i="16"/>
  <c r="G250" i="16"/>
  <c r="E250" i="16"/>
  <c r="A250" i="16"/>
  <c r="G249" i="16"/>
  <c r="E249" i="16"/>
  <c r="A249" i="16"/>
  <c r="G248" i="16"/>
  <c r="E248" i="16"/>
  <c r="A248" i="16"/>
  <c r="G247" i="16"/>
  <c r="E247" i="16"/>
  <c r="A247" i="16"/>
  <c r="G246" i="16"/>
  <c r="E246" i="16"/>
  <c r="A246" i="16"/>
  <c r="G245" i="16"/>
  <c r="E245" i="16"/>
  <c r="A245" i="16"/>
  <c r="G244" i="16"/>
  <c r="E244" i="16"/>
  <c r="A244" i="16"/>
  <c r="G243" i="16"/>
  <c r="E243" i="16"/>
  <c r="A243" i="16"/>
  <c r="G242" i="16"/>
  <c r="E242" i="16"/>
  <c r="A242" i="16"/>
  <c r="G241" i="16"/>
  <c r="E241" i="16"/>
  <c r="A241" i="16"/>
  <c r="G240" i="16"/>
  <c r="E240" i="16"/>
  <c r="A240" i="16"/>
  <c r="G239" i="16"/>
  <c r="E239" i="16"/>
  <c r="A239" i="16"/>
  <c r="G238" i="16"/>
  <c r="E238" i="16"/>
  <c r="A238" i="16"/>
  <c r="G237" i="16"/>
  <c r="E237" i="16"/>
  <c r="A237" i="16"/>
  <c r="G236" i="16"/>
  <c r="E236" i="16"/>
  <c r="A236" i="16"/>
  <c r="G235" i="16"/>
  <c r="E235" i="16"/>
  <c r="A235" i="16"/>
  <c r="G234" i="16"/>
  <c r="E234" i="16"/>
  <c r="A234" i="16"/>
  <c r="G233" i="16"/>
  <c r="E233" i="16"/>
  <c r="A233" i="16"/>
  <c r="G232" i="16"/>
  <c r="E232" i="16"/>
  <c r="A232" i="16"/>
  <c r="G231" i="16"/>
  <c r="E231" i="16"/>
  <c r="A231" i="16"/>
  <c r="G230" i="16"/>
  <c r="E230" i="16"/>
  <c r="A230" i="16"/>
  <c r="G229" i="16"/>
  <c r="E229" i="16"/>
  <c r="A229" i="16"/>
  <c r="G228" i="16"/>
  <c r="E228" i="16"/>
  <c r="A228" i="16"/>
  <c r="G227" i="16"/>
  <c r="E227" i="16"/>
  <c r="A227" i="16"/>
  <c r="G226" i="16"/>
  <c r="E226" i="16"/>
  <c r="A226" i="16"/>
  <c r="G225" i="16"/>
  <c r="E225" i="16"/>
  <c r="A225" i="16"/>
  <c r="G224" i="16"/>
  <c r="E224" i="16"/>
  <c r="A224" i="16"/>
  <c r="G223" i="16"/>
  <c r="E223" i="16"/>
  <c r="A223" i="16"/>
  <c r="G222" i="16"/>
  <c r="E222" i="16"/>
  <c r="A222" i="16"/>
  <c r="G221" i="16"/>
  <c r="E221" i="16"/>
  <c r="A221" i="16"/>
  <c r="G220" i="16"/>
  <c r="E220" i="16"/>
  <c r="A220" i="16"/>
  <c r="G219" i="16"/>
  <c r="E219" i="16"/>
  <c r="A219" i="16"/>
  <c r="G218" i="16"/>
  <c r="E218" i="16"/>
  <c r="A218" i="16"/>
  <c r="G217" i="16"/>
  <c r="E217" i="16"/>
  <c r="A217" i="16"/>
  <c r="G216" i="16"/>
  <c r="E216" i="16"/>
  <c r="A216" i="16"/>
  <c r="G215" i="16"/>
  <c r="E215" i="16"/>
  <c r="A215" i="16"/>
  <c r="G214" i="16"/>
  <c r="E214" i="16"/>
  <c r="A214" i="16"/>
  <c r="G213" i="16"/>
  <c r="E213" i="16"/>
  <c r="A213" i="16"/>
  <c r="G212" i="16"/>
  <c r="E212" i="16"/>
  <c r="A212" i="16"/>
  <c r="G211" i="16"/>
  <c r="E211" i="16"/>
  <c r="A211" i="16"/>
  <c r="G210" i="16"/>
  <c r="E210" i="16"/>
  <c r="A210" i="16"/>
  <c r="G209" i="16"/>
  <c r="E209" i="16"/>
  <c r="A209" i="16"/>
  <c r="G208" i="16"/>
  <c r="E208" i="16"/>
  <c r="A208" i="16"/>
  <c r="G207" i="16"/>
  <c r="E207" i="16"/>
  <c r="A207" i="16"/>
  <c r="G206" i="16"/>
  <c r="E206" i="16"/>
  <c r="A206" i="16"/>
  <c r="G205" i="16"/>
  <c r="E205" i="16"/>
  <c r="A205" i="16"/>
  <c r="G204" i="16"/>
  <c r="E204" i="16"/>
  <c r="A204" i="16"/>
  <c r="G203" i="16"/>
  <c r="E203" i="16"/>
  <c r="A203" i="16"/>
  <c r="G202" i="16"/>
  <c r="E202" i="16"/>
  <c r="A202" i="16"/>
  <c r="G201" i="16"/>
  <c r="E201" i="16"/>
  <c r="A201" i="16"/>
  <c r="G200" i="16"/>
  <c r="E200" i="16"/>
  <c r="A200" i="16"/>
  <c r="G199" i="16"/>
  <c r="E199" i="16"/>
  <c r="A199" i="16"/>
  <c r="G198" i="16"/>
  <c r="E198" i="16"/>
  <c r="A198" i="16"/>
  <c r="G197" i="16"/>
  <c r="E197" i="16"/>
  <c r="A197" i="16"/>
  <c r="G196" i="16"/>
  <c r="E196" i="16"/>
  <c r="A196" i="16"/>
  <c r="G195" i="16"/>
  <c r="E195" i="16"/>
  <c r="A195" i="16"/>
  <c r="G194" i="16"/>
  <c r="E194" i="16"/>
  <c r="A194" i="16"/>
  <c r="G193" i="16"/>
  <c r="E193" i="16"/>
  <c r="A193" i="16"/>
  <c r="G192" i="16"/>
  <c r="E192" i="16"/>
  <c r="A192" i="16"/>
  <c r="G191" i="16"/>
  <c r="E191" i="16"/>
  <c r="A191" i="16"/>
  <c r="G190" i="16"/>
  <c r="E190" i="16"/>
  <c r="A190" i="16"/>
  <c r="G189" i="16"/>
  <c r="E189" i="16"/>
  <c r="A189" i="16"/>
  <c r="G188" i="16"/>
  <c r="E188" i="16"/>
  <c r="A188" i="16"/>
  <c r="G187" i="16"/>
  <c r="E187" i="16"/>
  <c r="A187" i="16"/>
  <c r="G186" i="16"/>
  <c r="E186" i="16"/>
  <c r="A186" i="16"/>
  <c r="G185" i="16"/>
  <c r="E185" i="16"/>
  <c r="A185" i="16"/>
  <c r="G184" i="16"/>
  <c r="E184" i="16"/>
  <c r="A184" i="16"/>
  <c r="G183" i="16"/>
  <c r="E183" i="16"/>
  <c r="A183" i="16"/>
  <c r="G182" i="16"/>
  <c r="E182" i="16"/>
  <c r="A182" i="16"/>
  <c r="G181" i="16"/>
  <c r="E181" i="16"/>
  <c r="A181" i="16"/>
  <c r="G180" i="16"/>
  <c r="E180" i="16"/>
  <c r="A180" i="16"/>
  <c r="G179" i="16"/>
  <c r="E179" i="16"/>
  <c r="A179" i="16"/>
  <c r="G178" i="16"/>
  <c r="E178" i="16"/>
  <c r="A178" i="16"/>
  <c r="G177" i="16"/>
  <c r="E177" i="16"/>
  <c r="A177" i="16"/>
  <c r="G176" i="16"/>
  <c r="E176" i="16"/>
  <c r="A176" i="16"/>
  <c r="G175" i="16"/>
  <c r="E175" i="16"/>
  <c r="A175" i="16"/>
  <c r="G174" i="16"/>
  <c r="E174" i="16"/>
  <c r="A174" i="16"/>
  <c r="G173" i="16"/>
  <c r="E173" i="16"/>
  <c r="A173" i="16"/>
  <c r="G172" i="16"/>
  <c r="E172" i="16"/>
  <c r="A172" i="16"/>
  <c r="G171" i="16"/>
  <c r="E171" i="16"/>
  <c r="A171" i="16"/>
  <c r="G170" i="16"/>
  <c r="E170" i="16"/>
  <c r="A170" i="16"/>
  <c r="G169" i="16"/>
  <c r="E169" i="16"/>
  <c r="A169" i="16"/>
  <c r="G168" i="16"/>
  <c r="E168" i="16"/>
  <c r="A168" i="16"/>
  <c r="G167" i="16"/>
  <c r="E167" i="16"/>
  <c r="A167" i="16"/>
  <c r="G166" i="16"/>
  <c r="E166" i="16"/>
  <c r="A166" i="16"/>
  <c r="G165" i="16"/>
  <c r="E165" i="16"/>
  <c r="A165" i="16"/>
  <c r="G164" i="16"/>
  <c r="E164" i="16"/>
  <c r="A164" i="16"/>
  <c r="G163" i="16"/>
  <c r="E163" i="16"/>
  <c r="A163" i="16"/>
  <c r="G162" i="16"/>
  <c r="E162" i="16"/>
  <c r="A162" i="16"/>
  <c r="G161" i="16"/>
  <c r="E161" i="16"/>
  <c r="A161" i="16"/>
  <c r="G160" i="16"/>
  <c r="E160" i="16"/>
  <c r="A160" i="16"/>
  <c r="G159" i="16"/>
  <c r="E159" i="16"/>
  <c r="A159" i="16"/>
  <c r="G158" i="16"/>
  <c r="E158" i="16"/>
  <c r="A158" i="16"/>
  <c r="G157" i="16"/>
  <c r="E157" i="16"/>
  <c r="A157" i="16"/>
  <c r="G156" i="16"/>
  <c r="E156" i="16"/>
  <c r="A156" i="16"/>
  <c r="G155" i="16"/>
  <c r="E155" i="16"/>
  <c r="A155" i="16"/>
  <c r="G154" i="16"/>
  <c r="E154" i="16"/>
  <c r="A154" i="16"/>
  <c r="G153" i="16"/>
  <c r="E153" i="16"/>
  <c r="A153" i="16"/>
  <c r="G152" i="16"/>
  <c r="E152" i="16"/>
  <c r="A152" i="16"/>
  <c r="G151" i="16"/>
  <c r="E151" i="16"/>
  <c r="A151" i="16"/>
  <c r="G150" i="16"/>
  <c r="E150" i="16"/>
  <c r="A150" i="16"/>
  <c r="G149" i="16"/>
  <c r="E149" i="16"/>
  <c r="A149" i="16"/>
  <c r="G148" i="16"/>
  <c r="E148" i="16"/>
  <c r="A148" i="16"/>
  <c r="G147" i="16"/>
  <c r="E147" i="16"/>
  <c r="A147" i="16"/>
  <c r="G146" i="16"/>
  <c r="E146" i="16"/>
  <c r="A146" i="16"/>
  <c r="G145" i="16"/>
  <c r="E145" i="16"/>
  <c r="A145" i="16"/>
  <c r="G144" i="16"/>
  <c r="E144" i="16"/>
  <c r="A144" i="16"/>
  <c r="G143" i="16"/>
  <c r="E143" i="16"/>
  <c r="A143" i="16"/>
  <c r="G142" i="16"/>
  <c r="E142" i="16"/>
  <c r="A142" i="16"/>
  <c r="G141" i="16"/>
  <c r="E141" i="16"/>
  <c r="A141" i="16"/>
  <c r="G140" i="16"/>
  <c r="E140" i="16"/>
  <c r="A140" i="16"/>
  <c r="G139" i="16"/>
  <c r="E139" i="16"/>
  <c r="A139" i="16"/>
  <c r="G138" i="16"/>
  <c r="E138" i="16"/>
  <c r="A138" i="16"/>
  <c r="G137" i="16"/>
  <c r="A137" i="16"/>
  <c r="G136" i="16"/>
  <c r="A136" i="16"/>
  <c r="G135" i="16"/>
  <c r="E135" i="16"/>
  <c r="A135" i="16"/>
  <c r="G134" i="16"/>
  <c r="A134" i="16"/>
  <c r="G133" i="16"/>
  <c r="A133" i="16"/>
  <c r="G132" i="16"/>
  <c r="E132" i="16"/>
  <c r="A132" i="16"/>
  <c r="G131" i="16"/>
  <c r="A131" i="16"/>
  <c r="G130" i="16"/>
  <c r="A130" i="16"/>
  <c r="G129" i="16"/>
  <c r="E129" i="16"/>
  <c r="A129" i="16"/>
  <c r="G128" i="16"/>
  <c r="E128" i="16"/>
  <c r="A128" i="16"/>
  <c r="G127" i="16"/>
  <c r="A127" i="16"/>
  <c r="G126" i="16"/>
  <c r="E126" i="16"/>
  <c r="A126" i="16"/>
  <c r="G125" i="16"/>
  <c r="A125" i="16"/>
  <c r="G124" i="16"/>
  <c r="E124" i="16"/>
  <c r="A124" i="16"/>
  <c r="G123" i="16"/>
  <c r="A123" i="16"/>
  <c r="G122" i="16"/>
  <c r="A122" i="16"/>
  <c r="G121" i="16"/>
  <c r="E121" i="16"/>
  <c r="A121" i="16"/>
  <c r="G120" i="16"/>
  <c r="A120" i="16"/>
  <c r="G119" i="16"/>
  <c r="A119" i="16"/>
  <c r="G118" i="16"/>
  <c r="A118" i="16"/>
  <c r="G117" i="16"/>
  <c r="A117" i="16"/>
  <c r="G116" i="16"/>
  <c r="A116" i="16"/>
  <c r="G115" i="16"/>
  <c r="E115" i="16"/>
  <c r="A115" i="16"/>
  <c r="G114" i="16"/>
  <c r="A114" i="16"/>
  <c r="G113" i="16"/>
  <c r="E113" i="16"/>
  <c r="A113" i="16"/>
  <c r="G112" i="16"/>
  <c r="A112" i="16"/>
  <c r="G111" i="16"/>
  <c r="A111" i="16"/>
  <c r="G110" i="16"/>
  <c r="E110" i="16"/>
  <c r="A110" i="16"/>
  <c r="G109" i="16"/>
  <c r="E109" i="16"/>
  <c r="A109" i="16"/>
  <c r="G108" i="16"/>
  <c r="E108" i="16"/>
  <c r="A108" i="16"/>
  <c r="G107" i="16"/>
  <c r="A107" i="16"/>
  <c r="G106" i="16"/>
  <c r="A106" i="16"/>
  <c r="G105" i="16"/>
  <c r="A105" i="16"/>
  <c r="G104" i="16"/>
  <c r="E104" i="16"/>
  <c r="A104" i="16"/>
  <c r="G103" i="16"/>
  <c r="A103" i="16"/>
  <c r="G102" i="16"/>
  <c r="A102" i="16"/>
  <c r="G101" i="16"/>
  <c r="E101" i="16"/>
  <c r="A101" i="16"/>
  <c r="G100" i="16"/>
  <c r="A100" i="16"/>
  <c r="G99" i="16"/>
  <c r="E99" i="16"/>
  <c r="A99" i="16"/>
  <c r="G98" i="16"/>
  <c r="E98" i="16"/>
  <c r="A98" i="16"/>
  <c r="G97" i="16"/>
  <c r="E97" i="16"/>
  <c r="A97" i="16"/>
  <c r="G96" i="16"/>
  <c r="E96" i="16"/>
  <c r="A96" i="16"/>
  <c r="G95" i="16"/>
  <c r="E95" i="16"/>
  <c r="A95" i="16"/>
  <c r="G94" i="16"/>
  <c r="A94" i="16"/>
  <c r="G93" i="16"/>
  <c r="A93" i="16"/>
  <c r="G92" i="16"/>
  <c r="A92" i="16"/>
  <c r="G91" i="16"/>
  <c r="A91" i="16"/>
  <c r="G90" i="16"/>
  <c r="E90" i="16"/>
  <c r="A90" i="16"/>
  <c r="G89" i="16"/>
  <c r="E89" i="16"/>
  <c r="A89" i="16"/>
  <c r="G88" i="16"/>
  <c r="E88" i="16"/>
  <c r="A88" i="16"/>
  <c r="G87" i="16"/>
  <c r="E87" i="16"/>
  <c r="A87" i="16"/>
  <c r="G86" i="16"/>
  <c r="E86" i="16"/>
  <c r="A86" i="16"/>
  <c r="G85" i="16"/>
  <c r="E85" i="16"/>
  <c r="A85" i="16"/>
  <c r="G84" i="16"/>
  <c r="E84" i="16"/>
  <c r="A84" i="16"/>
  <c r="G83" i="16"/>
  <c r="E83" i="16"/>
  <c r="A83" i="16"/>
  <c r="G82" i="16"/>
  <c r="E82" i="16"/>
  <c r="A82" i="16"/>
  <c r="G81" i="16"/>
  <c r="E81" i="16"/>
  <c r="A81" i="16"/>
  <c r="G80" i="16"/>
  <c r="E80" i="16"/>
  <c r="A80" i="16"/>
  <c r="G79" i="16"/>
  <c r="E79" i="16"/>
  <c r="A79" i="16"/>
  <c r="G78" i="16"/>
  <c r="E78" i="16"/>
  <c r="A78" i="16"/>
  <c r="G77" i="16"/>
  <c r="E77" i="16"/>
  <c r="A77" i="16"/>
  <c r="G76" i="16"/>
  <c r="E76" i="16"/>
  <c r="A76" i="16"/>
  <c r="G75" i="16"/>
  <c r="E75" i="16"/>
  <c r="A75" i="16"/>
  <c r="G74" i="16"/>
  <c r="E74" i="16"/>
  <c r="A74" i="16"/>
  <c r="G73" i="16"/>
  <c r="E73" i="16"/>
  <c r="A73" i="16"/>
  <c r="G72" i="16"/>
  <c r="E72" i="16"/>
  <c r="A72" i="16"/>
  <c r="G71" i="16"/>
  <c r="E71" i="16"/>
  <c r="A71" i="16"/>
  <c r="G70" i="16"/>
  <c r="E70" i="16"/>
  <c r="A70" i="16"/>
  <c r="G69" i="16"/>
  <c r="E69" i="16"/>
  <c r="A69" i="16"/>
  <c r="G68" i="16"/>
  <c r="E68" i="16"/>
  <c r="A68" i="16"/>
  <c r="G67" i="16"/>
  <c r="E67" i="16"/>
  <c r="A67" i="16"/>
  <c r="G66" i="16"/>
  <c r="E66" i="16"/>
  <c r="A66" i="16"/>
  <c r="G65" i="16"/>
  <c r="E65" i="16"/>
  <c r="A65" i="16"/>
  <c r="G64" i="16"/>
  <c r="E64" i="16"/>
  <c r="A64" i="16"/>
  <c r="G63" i="16"/>
  <c r="E63" i="16"/>
  <c r="A63" i="16"/>
  <c r="G62" i="16"/>
  <c r="A62" i="16"/>
  <c r="G61" i="16"/>
  <c r="E61" i="16"/>
  <c r="A61" i="16"/>
  <c r="G60" i="16"/>
  <c r="E60" i="16"/>
  <c r="A60" i="16"/>
  <c r="G59" i="16"/>
  <c r="E59" i="16"/>
  <c r="A59" i="16"/>
  <c r="G58" i="16"/>
  <c r="E58" i="16"/>
  <c r="A58" i="16"/>
  <c r="G57" i="16"/>
  <c r="E57" i="16"/>
  <c r="A57" i="16"/>
  <c r="G56" i="16"/>
  <c r="E56" i="16"/>
  <c r="A56" i="16"/>
  <c r="G55" i="16"/>
  <c r="E55" i="16"/>
  <c r="A55" i="16"/>
  <c r="G54" i="16"/>
  <c r="A54" i="16"/>
  <c r="G53" i="16"/>
  <c r="A53" i="16"/>
  <c r="G52" i="16"/>
  <c r="E52" i="16"/>
  <c r="A52" i="16"/>
  <c r="G51" i="16"/>
  <c r="E51" i="16"/>
  <c r="A51" i="16"/>
  <c r="G50" i="16"/>
  <c r="E50" i="16"/>
  <c r="A50" i="16"/>
  <c r="G49" i="16"/>
  <c r="E49" i="16"/>
  <c r="A49" i="16"/>
  <c r="G48" i="16"/>
  <c r="E48" i="16"/>
  <c r="A48" i="16"/>
  <c r="G47" i="16"/>
  <c r="E47" i="16"/>
  <c r="A47" i="16"/>
  <c r="G46" i="16"/>
  <c r="E46" i="16"/>
  <c r="A46" i="16"/>
  <c r="G45" i="16"/>
  <c r="E45" i="16"/>
  <c r="A45" i="16"/>
  <c r="G44" i="16"/>
  <c r="E44" i="16"/>
  <c r="A44" i="16"/>
  <c r="G43" i="16"/>
  <c r="A43" i="16"/>
  <c r="G42" i="16"/>
  <c r="A42" i="16"/>
  <c r="G41" i="16"/>
  <c r="E41" i="16"/>
  <c r="A41" i="16"/>
  <c r="G40" i="16"/>
  <c r="E40" i="16"/>
  <c r="A40" i="16"/>
  <c r="G39" i="16"/>
  <c r="A39" i="16"/>
  <c r="G38" i="16"/>
  <c r="A38" i="16"/>
  <c r="G37" i="16"/>
  <c r="A37" i="16"/>
  <c r="G36" i="16"/>
  <c r="A36" i="16"/>
  <c r="G35" i="16"/>
  <c r="E35" i="16"/>
  <c r="A35" i="16"/>
  <c r="G34" i="16"/>
  <c r="A34" i="16"/>
  <c r="G33" i="16"/>
  <c r="A33" i="16"/>
  <c r="G32" i="16"/>
  <c r="A32" i="16"/>
  <c r="G31" i="16"/>
  <c r="A31" i="16"/>
  <c r="G30" i="16"/>
  <c r="A30" i="16"/>
  <c r="G29" i="16"/>
  <c r="A29" i="16"/>
  <c r="G28" i="16"/>
  <c r="A28" i="16"/>
  <c r="G27" i="16"/>
  <c r="E27" i="16"/>
  <c r="A27" i="16"/>
  <c r="G26" i="16"/>
  <c r="E26" i="16"/>
  <c r="A26" i="16"/>
  <c r="G25" i="16"/>
  <c r="E25" i="16"/>
  <c r="A25" i="16"/>
  <c r="G24" i="16"/>
  <c r="A24" i="16"/>
  <c r="G23" i="16"/>
  <c r="A23" i="16"/>
  <c r="G22" i="16"/>
  <c r="A22" i="16"/>
  <c r="G21" i="16"/>
  <c r="A21" i="16"/>
  <c r="G20" i="16"/>
  <c r="A20" i="16"/>
  <c r="G19" i="16"/>
  <c r="A19" i="16"/>
  <c r="G18" i="16"/>
  <c r="A18" i="16"/>
  <c r="G17" i="16"/>
  <c r="A17" i="16"/>
  <c r="G16" i="16"/>
  <c r="E16" i="16"/>
  <c r="A16" i="16"/>
  <c r="G15" i="16"/>
  <c r="A15" i="16"/>
  <c r="G14" i="16"/>
  <c r="A14" i="16"/>
  <c r="G13" i="16"/>
  <c r="E13" i="16"/>
  <c r="A13" i="16"/>
  <c r="G12" i="16"/>
  <c r="E12" i="16"/>
  <c r="A12" i="16"/>
  <c r="G11" i="16"/>
  <c r="A11" i="16"/>
  <c r="G10" i="16"/>
  <c r="A10" i="16"/>
  <c r="G9" i="16"/>
  <c r="A9" i="16"/>
  <c r="G8" i="16"/>
  <c r="A8" i="16"/>
  <c r="G7" i="16"/>
  <c r="A7" i="16"/>
  <c r="G6" i="16"/>
  <c r="A6" i="16"/>
  <c r="G5" i="16"/>
  <c r="A5" i="16"/>
  <c r="G4" i="16"/>
  <c r="A4" i="16"/>
  <c r="G3" i="16"/>
  <c r="A3" i="16"/>
  <c r="G2" i="16"/>
  <c r="A2" i="16"/>
  <c r="D72" i="5"/>
  <c r="C33" i="6"/>
  <c r="C32" i="6"/>
  <c r="C37" i="6" s="1"/>
  <c r="C31" i="6"/>
  <c r="C36" i="6" s="1"/>
  <c r="C30" i="6"/>
  <c r="C35" i="6" s="1"/>
  <c r="B28" i="6"/>
  <c r="B27" i="6"/>
  <c r="B26" i="6"/>
  <c r="B25" i="6"/>
  <c r="B23" i="6"/>
  <c r="C13" i="6"/>
  <c r="C12" i="6"/>
  <c r="C11" i="6"/>
  <c r="C16" i="6" s="1"/>
  <c r="C10" i="6"/>
  <c r="B8" i="6"/>
  <c r="B7" i="6"/>
  <c r="B6" i="6"/>
  <c r="B5" i="6"/>
  <c r="L3" i="6"/>
  <c r="K3" i="6"/>
  <c r="J3" i="6"/>
  <c r="B3" i="6"/>
  <c r="C53" i="6"/>
  <c r="C58" i="6" s="1"/>
  <c r="C52" i="6"/>
  <c r="C57" i="6" s="1"/>
  <c r="C51" i="6"/>
  <c r="C50" i="6"/>
  <c r="C55" i="6" s="1"/>
  <c r="B55" i="6" s="1"/>
  <c r="B48" i="6"/>
  <c r="B47" i="6"/>
  <c r="B46" i="6"/>
  <c r="B45" i="6"/>
  <c r="L43" i="6"/>
  <c r="K43" i="6"/>
  <c r="J43" i="6"/>
  <c r="B43" i="6"/>
  <c r="F967" i="15"/>
  <c r="F966" i="15"/>
  <c r="F965" i="15"/>
  <c r="F964" i="15"/>
  <c r="H964" i="15" s="1"/>
  <c r="F963" i="15"/>
  <c r="F962" i="15"/>
  <c r="F961" i="15"/>
  <c r="F960" i="15"/>
  <c r="G960" i="15" s="1"/>
  <c r="E956" i="17" s="1"/>
  <c r="F959" i="15"/>
  <c r="G959" i="15" s="1"/>
  <c r="E955" i="17" s="1"/>
  <c r="F958" i="15"/>
  <c r="H958" i="15" s="1"/>
  <c r="F957" i="15"/>
  <c r="H957" i="15" s="1"/>
  <c r="F956" i="15"/>
  <c r="F955" i="15"/>
  <c r="H955" i="15" s="1"/>
  <c r="B951" i="16" s="1"/>
  <c r="F954" i="15"/>
  <c r="F953" i="15"/>
  <c r="F952" i="15"/>
  <c r="G952" i="15" s="1"/>
  <c r="E948" i="17" s="1"/>
  <c r="F951" i="15"/>
  <c r="F950" i="15"/>
  <c r="G950" i="15" s="1"/>
  <c r="E946" i="17" s="1"/>
  <c r="F949" i="15"/>
  <c r="G949" i="15" s="1"/>
  <c r="E945" i="17" s="1"/>
  <c r="F948" i="15"/>
  <c r="F947" i="15"/>
  <c r="F946" i="15"/>
  <c r="F945" i="15"/>
  <c r="F944" i="15"/>
  <c r="F943" i="15"/>
  <c r="H943" i="15" s="1"/>
  <c r="B939" i="16" s="1"/>
  <c r="F942" i="15"/>
  <c r="F941" i="15"/>
  <c r="F940" i="15"/>
  <c r="F939" i="15"/>
  <c r="F938" i="15"/>
  <c r="H938" i="15" s="1"/>
  <c r="F937" i="15"/>
  <c r="F936" i="15"/>
  <c r="F935" i="15"/>
  <c r="H935" i="15" s="1"/>
  <c r="B931" i="16" s="1"/>
  <c r="F934" i="15"/>
  <c r="F933" i="15"/>
  <c r="H933" i="15" s="1"/>
  <c r="B929" i="16" s="1"/>
  <c r="F932" i="15"/>
  <c r="H932" i="15" s="1"/>
  <c r="I932" i="15" s="1"/>
  <c r="F931" i="15"/>
  <c r="F930" i="15"/>
  <c r="G930" i="15" s="1"/>
  <c r="E926" i="17" s="1"/>
  <c r="F929" i="15"/>
  <c r="H929" i="15" s="1"/>
  <c r="B925" i="16" s="1"/>
  <c r="F928" i="15"/>
  <c r="G928" i="15" s="1"/>
  <c r="E924" i="17" s="1"/>
  <c r="F927" i="15"/>
  <c r="G927" i="15" s="1"/>
  <c r="E923" i="17" s="1"/>
  <c r="F926" i="15"/>
  <c r="F925" i="15"/>
  <c r="F924" i="15"/>
  <c r="H924" i="15" s="1"/>
  <c r="F923" i="15"/>
  <c r="H923" i="15" s="1"/>
  <c r="B919" i="16" s="1"/>
  <c r="F922" i="15"/>
  <c r="F921" i="15"/>
  <c r="F920" i="15"/>
  <c r="F919" i="15"/>
  <c r="H919" i="15" s="1"/>
  <c r="F918" i="15"/>
  <c r="H918" i="15" s="1"/>
  <c r="F917" i="15"/>
  <c r="H917" i="15" s="1"/>
  <c r="F916" i="15"/>
  <c r="F915" i="15"/>
  <c r="F914" i="15"/>
  <c r="G914" i="15" s="1"/>
  <c r="E910" i="17" s="1"/>
  <c r="F913" i="15"/>
  <c r="H913" i="15" s="1"/>
  <c r="F912" i="15"/>
  <c r="F911" i="15"/>
  <c r="G911" i="15" s="1"/>
  <c r="E907" i="17" s="1"/>
  <c r="F910" i="15"/>
  <c r="F909" i="15"/>
  <c r="H909" i="15" s="1"/>
  <c r="F908" i="15"/>
  <c r="H908" i="15" s="1"/>
  <c r="B904" i="16" s="1"/>
  <c r="F907" i="15"/>
  <c r="H907" i="15" s="1"/>
  <c r="F906" i="15"/>
  <c r="F905" i="15"/>
  <c r="G905" i="15" s="1"/>
  <c r="E901" i="17" s="1"/>
  <c r="F904" i="15"/>
  <c r="H904" i="15" s="1"/>
  <c r="B900" i="16" s="1"/>
  <c r="F903" i="15"/>
  <c r="H903" i="15" s="1"/>
  <c r="F902" i="15"/>
  <c r="H902" i="15" s="1"/>
  <c r="B898" i="16" s="1"/>
  <c r="F901" i="15"/>
  <c r="F900" i="15"/>
  <c r="F899" i="15"/>
  <c r="F898" i="15"/>
  <c r="G898" i="15" s="1"/>
  <c r="E894" i="17" s="1"/>
  <c r="F897" i="15"/>
  <c r="G897" i="15" s="1"/>
  <c r="E893" i="17" s="1"/>
  <c r="F896" i="15"/>
  <c r="F895" i="15"/>
  <c r="G895" i="15" s="1"/>
  <c r="E891" i="17" s="1"/>
  <c r="F894" i="15"/>
  <c r="H894" i="15" s="1"/>
  <c r="I894" i="15" s="1"/>
  <c r="F893" i="15"/>
  <c r="G893" i="15" s="1"/>
  <c r="E889" i="17" s="1"/>
  <c r="F892" i="15"/>
  <c r="G892" i="15" s="1"/>
  <c r="E888" i="17" s="1"/>
  <c r="F891" i="15"/>
  <c r="G891" i="15" s="1"/>
  <c r="E887" i="17" s="1"/>
  <c r="F890" i="15"/>
  <c r="F889" i="15"/>
  <c r="F888" i="15"/>
  <c r="H888" i="15" s="1"/>
  <c r="F887" i="15"/>
  <c r="H887" i="15" s="1"/>
  <c r="F886" i="15"/>
  <c r="G886" i="15" s="1"/>
  <c r="E882" i="17" s="1"/>
  <c r="F885" i="15"/>
  <c r="H885" i="15" s="1"/>
  <c r="F884" i="15"/>
  <c r="G884" i="15" s="1"/>
  <c r="E880" i="17" s="1"/>
  <c r="F883" i="15"/>
  <c r="H883" i="15" s="1"/>
  <c r="F882" i="15"/>
  <c r="H882" i="15" s="1"/>
  <c r="F881" i="15"/>
  <c r="F880" i="15"/>
  <c r="H880" i="15" s="1"/>
  <c r="F879" i="15"/>
  <c r="F878" i="15"/>
  <c r="G878" i="15" s="1"/>
  <c r="E874" i="17" s="1"/>
  <c r="F877" i="15"/>
  <c r="H877" i="15" s="1"/>
  <c r="F876" i="15"/>
  <c r="G876" i="15" s="1"/>
  <c r="E872" i="17" s="1"/>
  <c r="F875" i="15"/>
  <c r="F874" i="15"/>
  <c r="H874" i="15" s="1"/>
  <c r="B870" i="16" s="1"/>
  <c r="F873" i="15"/>
  <c r="H873" i="15" s="1"/>
  <c r="B869" i="16" s="1"/>
  <c r="F872" i="15"/>
  <c r="F871" i="15"/>
  <c r="F870" i="15"/>
  <c r="G870" i="15" s="1"/>
  <c r="E866" i="17" s="1"/>
  <c r="F869" i="15"/>
  <c r="F868" i="15"/>
  <c r="H868" i="15" s="1"/>
  <c r="F867" i="15"/>
  <c r="H867" i="15" s="1"/>
  <c r="B863" i="16" s="1"/>
  <c r="F866" i="15"/>
  <c r="G866" i="15" s="1"/>
  <c r="E862" i="17" s="1"/>
  <c r="F865" i="15"/>
  <c r="H865" i="15" s="1"/>
  <c r="I865" i="15" s="1"/>
  <c r="F864" i="15"/>
  <c r="F863" i="15"/>
  <c r="F862" i="15"/>
  <c r="H862" i="15" s="1"/>
  <c r="F861" i="15"/>
  <c r="G861" i="15" s="1"/>
  <c r="E857" i="17" s="1"/>
  <c r="F860" i="15"/>
  <c r="G860" i="15" s="1"/>
  <c r="E856" i="17" s="1"/>
  <c r="F859" i="15"/>
  <c r="H859" i="15" s="1"/>
  <c r="F858" i="15"/>
  <c r="H858" i="15" s="1"/>
  <c r="F857" i="15"/>
  <c r="F856" i="15"/>
  <c r="F855" i="15"/>
  <c r="G855" i="15" s="1"/>
  <c r="E851" i="17" s="1"/>
  <c r="F854" i="15"/>
  <c r="F853" i="15"/>
  <c r="H853" i="15" s="1"/>
  <c r="F852" i="15"/>
  <c r="F851" i="15"/>
  <c r="G851" i="15" s="1"/>
  <c r="E847" i="17" s="1"/>
  <c r="F850" i="15"/>
  <c r="H850" i="15" s="1"/>
  <c r="F849" i="15"/>
  <c r="F848" i="15"/>
  <c r="G848" i="15" s="1"/>
  <c r="E844" i="17" s="1"/>
  <c r="F847" i="15"/>
  <c r="F846" i="15"/>
  <c r="F845" i="15"/>
  <c r="F844" i="15"/>
  <c r="H844" i="15" s="1"/>
  <c r="F843" i="15"/>
  <c r="H843" i="15" s="1"/>
  <c r="F842" i="15"/>
  <c r="G842" i="15" s="1"/>
  <c r="E838" i="17" s="1"/>
  <c r="F841" i="15"/>
  <c r="F840" i="15"/>
  <c r="G840" i="15" s="1"/>
  <c r="E836" i="17" s="1"/>
  <c r="F839" i="15"/>
  <c r="F838" i="15"/>
  <c r="G838" i="15" s="1"/>
  <c r="E834" i="17" s="1"/>
  <c r="F837" i="15"/>
  <c r="F836" i="15"/>
  <c r="F835" i="15"/>
  <c r="F834" i="15"/>
  <c r="H834" i="15" s="1"/>
  <c r="B830" i="16" s="1"/>
  <c r="F833" i="15"/>
  <c r="H833" i="15" s="1"/>
  <c r="B829" i="16" s="1"/>
  <c r="F832" i="15"/>
  <c r="H832" i="15" s="1"/>
  <c r="F831" i="15"/>
  <c r="F830" i="15"/>
  <c r="H830" i="15" s="1"/>
  <c r="F829" i="15"/>
  <c r="H829" i="15" s="1"/>
  <c r="F828" i="15"/>
  <c r="H828" i="15" s="1"/>
  <c r="F827" i="15"/>
  <c r="H827" i="15" s="1"/>
  <c r="F826" i="15"/>
  <c r="G826" i="15" s="1"/>
  <c r="E822" i="17" s="1"/>
  <c r="F825" i="15"/>
  <c r="F824" i="15"/>
  <c r="G824" i="15" s="1"/>
  <c r="E820" i="17" s="1"/>
  <c r="F823" i="15"/>
  <c r="H823" i="15" s="1"/>
  <c r="B819" i="16" s="1"/>
  <c r="F822" i="15"/>
  <c r="G822" i="15" s="1"/>
  <c r="E818" i="17" s="1"/>
  <c r="F821" i="15"/>
  <c r="G821" i="15" s="1"/>
  <c r="E817" i="17" s="1"/>
  <c r="F820" i="15"/>
  <c r="F819" i="15"/>
  <c r="G819" i="15" s="1"/>
  <c r="E815" i="17" s="1"/>
  <c r="F818" i="15"/>
  <c r="H818" i="15" s="1"/>
  <c r="F817" i="15"/>
  <c r="G817" i="15" s="1"/>
  <c r="E813" i="17" s="1"/>
  <c r="F816" i="15"/>
  <c r="G816" i="15" s="1"/>
  <c r="E812" i="17" s="1"/>
  <c r="F815" i="15"/>
  <c r="F814" i="15"/>
  <c r="H814" i="15" s="1"/>
  <c r="I814" i="15" s="1"/>
  <c r="F813" i="15"/>
  <c r="G813" i="15" s="1"/>
  <c r="E809" i="17" s="1"/>
  <c r="F812" i="15"/>
  <c r="H812" i="15" s="1"/>
  <c r="F811" i="15"/>
  <c r="G811" i="15" s="1"/>
  <c r="E807" i="17" s="1"/>
  <c r="F810" i="15"/>
  <c r="H810" i="15" s="1"/>
  <c r="F809" i="15"/>
  <c r="F808" i="15"/>
  <c r="F807" i="15"/>
  <c r="F806" i="15"/>
  <c r="G806" i="15" s="1"/>
  <c r="E802" i="17" s="1"/>
  <c r="F805" i="15"/>
  <c r="F804" i="15"/>
  <c r="F803" i="15"/>
  <c r="G803" i="15" s="1"/>
  <c r="E799" i="17" s="1"/>
  <c r="F802" i="15"/>
  <c r="H802" i="15" s="1"/>
  <c r="F801" i="15"/>
  <c r="G801" i="15" s="1"/>
  <c r="E797" i="17" s="1"/>
  <c r="F800" i="15"/>
  <c r="H800" i="15" s="1"/>
  <c r="B796" i="16" s="1"/>
  <c r="F799" i="15"/>
  <c r="F798" i="15"/>
  <c r="H798" i="15" s="1"/>
  <c r="F797" i="15"/>
  <c r="H797" i="15" s="1"/>
  <c r="F796" i="15"/>
  <c r="F795" i="15"/>
  <c r="H795" i="15" s="1"/>
  <c r="B791" i="16" s="1"/>
  <c r="F794" i="15"/>
  <c r="F793" i="15"/>
  <c r="H793" i="15" s="1"/>
  <c r="F792" i="15"/>
  <c r="F791" i="15"/>
  <c r="G791" i="15" s="1"/>
  <c r="E787" i="17" s="1"/>
  <c r="F790" i="15"/>
  <c r="F789" i="15"/>
  <c r="H789" i="15" s="1"/>
  <c r="F788" i="15"/>
  <c r="H788" i="15" s="1"/>
  <c r="B784" i="16" s="1"/>
  <c r="F787" i="15"/>
  <c r="H787" i="15" s="1"/>
  <c r="F786" i="15"/>
  <c r="F785" i="15"/>
  <c r="G785" i="15" s="1"/>
  <c r="E781" i="17" s="1"/>
  <c r="F784" i="15"/>
  <c r="H784" i="15" s="1"/>
  <c r="F783" i="15"/>
  <c r="H783" i="15" s="1"/>
  <c r="F782" i="15"/>
  <c r="G782" i="15" s="1"/>
  <c r="E778" i="17" s="1"/>
  <c r="F781" i="15"/>
  <c r="F780" i="15"/>
  <c r="F779" i="15"/>
  <c r="F778" i="15"/>
  <c r="H778" i="15" s="1"/>
  <c r="F777" i="15"/>
  <c r="H777" i="15" s="1"/>
  <c r="F776" i="15"/>
  <c r="G776" i="15" s="1"/>
  <c r="E772" i="17" s="1"/>
  <c r="F775" i="15"/>
  <c r="H775" i="15" s="1"/>
  <c r="F774" i="15"/>
  <c r="G774" i="15" s="1"/>
  <c r="E770" i="17" s="1"/>
  <c r="F773" i="15"/>
  <c r="H773" i="15" s="1"/>
  <c r="F772" i="15"/>
  <c r="G772" i="15" s="1"/>
  <c r="E768" i="17" s="1"/>
  <c r="F771" i="15"/>
  <c r="F770" i="15"/>
  <c r="F769" i="15"/>
  <c r="G769" i="15" s="1"/>
  <c r="E765" i="17" s="1"/>
  <c r="F768" i="15"/>
  <c r="F767" i="15"/>
  <c r="F766" i="15"/>
  <c r="F765" i="15"/>
  <c r="H765" i="15" s="1"/>
  <c r="B761" i="16" s="1"/>
  <c r="F764" i="15"/>
  <c r="H764" i="15" s="1"/>
  <c r="B760" i="16" s="1"/>
  <c r="F763" i="15"/>
  <c r="H763" i="15" s="1"/>
  <c r="B759" i="16" s="1"/>
  <c r="F762" i="15"/>
  <c r="F761" i="15"/>
  <c r="G761" i="15" s="1"/>
  <c r="E757" i="17" s="1"/>
  <c r="F760" i="15"/>
  <c r="H760" i="15" s="1"/>
  <c r="F759" i="15"/>
  <c r="G759" i="15" s="1"/>
  <c r="E755" i="17" s="1"/>
  <c r="F758" i="15"/>
  <c r="F757" i="15"/>
  <c r="F756" i="15"/>
  <c r="G756" i="15" s="1"/>
  <c r="E752" i="17" s="1"/>
  <c r="F755" i="15"/>
  <c r="F754" i="15"/>
  <c r="H754" i="15" s="1"/>
  <c r="B750" i="16" s="1"/>
  <c r="F753" i="15"/>
  <c r="G753" i="15" s="1"/>
  <c r="E749" i="17" s="1"/>
  <c r="F752" i="15"/>
  <c r="H752" i="15" s="1"/>
  <c r="F751" i="15"/>
  <c r="G751" i="15" s="1"/>
  <c r="E747" i="17" s="1"/>
  <c r="F750" i="15"/>
  <c r="H750" i="15" s="1"/>
  <c r="F749" i="15"/>
  <c r="F748" i="15"/>
  <c r="H748" i="15" s="1"/>
  <c r="F747" i="15"/>
  <c r="F746" i="15"/>
  <c r="G746" i="15" s="1"/>
  <c r="E742" i="17" s="1"/>
  <c r="F745" i="15"/>
  <c r="G745" i="15" s="1"/>
  <c r="E741" i="17" s="1"/>
  <c r="F744" i="15"/>
  <c r="G744" i="15" s="1"/>
  <c r="E740" i="17" s="1"/>
  <c r="F743" i="15"/>
  <c r="H743" i="15" s="1"/>
  <c r="B739" i="16" s="1"/>
  <c r="F742" i="15"/>
  <c r="F741" i="15"/>
  <c r="G741" i="15" s="1"/>
  <c r="E737" i="17" s="1"/>
  <c r="F740" i="15"/>
  <c r="F739" i="15"/>
  <c r="F738" i="15"/>
  <c r="H738" i="15" s="1"/>
  <c r="F737" i="15"/>
  <c r="G737" i="15" s="1"/>
  <c r="E733" i="17" s="1"/>
  <c r="F736" i="15"/>
  <c r="F735" i="15"/>
  <c r="F734" i="15"/>
  <c r="F733" i="15"/>
  <c r="F732" i="15"/>
  <c r="G732" i="15" s="1"/>
  <c r="E728" i="17" s="1"/>
  <c r="F731" i="15"/>
  <c r="G731" i="15" s="1"/>
  <c r="E727" i="17" s="1"/>
  <c r="F730" i="15"/>
  <c r="H730" i="15" s="1"/>
  <c r="F729" i="15"/>
  <c r="G729" i="15" s="1"/>
  <c r="E725" i="17" s="1"/>
  <c r="F728" i="15"/>
  <c r="H728" i="15" s="1"/>
  <c r="F727" i="15"/>
  <c r="H727" i="15" s="1"/>
  <c r="F726" i="15"/>
  <c r="G726" i="15" s="1"/>
  <c r="E722" i="17" s="1"/>
  <c r="F725" i="15"/>
  <c r="F724" i="15"/>
  <c r="F723" i="15"/>
  <c r="H723" i="15" s="1"/>
  <c r="B719" i="16" s="1"/>
  <c r="F722" i="15"/>
  <c r="F721" i="15"/>
  <c r="F720" i="15"/>
  <c r="F719" i="15"/>
  <c r="F718" i="15"/>
  <c r="H718" i="15" s="1"/>
  <c r="F717" i="15"/>
  <c r="G717" i="15" s="1"/>
  <c r="E713" i="17" s="1"/>
  <c r="F716" i="15"/>
  <c r="F715" i="15"/>
  <c r="G715" i="15" s="1"/>
  <c r="E711" i="17" s="1"/>
  <c r="F714" i="15"/>
  <c r="H714" i="15" s="1"/>
  <c r="F713" i="15"/>
  <c r="H713" i="15" s="1"/>
  <c r="I713" i="15" s="1"/>
  <c r="F712" i="15"/>
  <c r="F711" i="15"/>
  <c r="F710" i="15"/>
  <c r="F709" i="15"/>
  <c r="H709" i="15" s="1"/>
  <c r="F708" i="15"/>
  <c r="F707" i="15"/>
  <c r="H707" i="15" s="1"/>
  <c r="F706" i="15"/>
  <c r="G706" i="15" s="1"/>
  <c r="E702" i="17" s="1"/>
  <c r="F705" i="15"/>
  <c r="H705" i="15" s="1"/>
  <c r="B701" i="16" s="1"/>
  <c r="F704" i="15"/>
  <c r="H704" i="15" s="1"/>
  <c r="F703" i="15"/>
  <c r="H703" i="15" s="1"/>
  <c r="B699" i="16" s="1"/>
  <c r="F702" i="15"/>
  <c r="F701" i="15"/>
  <c r="G701" i="15" s="1"/>
  <c r="E697" i="17" s="1"/>
  <c r="F700" i="15"/>
  <c r="H700" i="15" s="1"/>
  <c r="F699" i="15"/>
  <c r="H699" i="15" s="1"/>
  <c r="F698" i="15"/>
  <c r="H698" i="15" s="1"/>
  <c r="I698" i="15" s="1"/>
  <c r="F697" i="15"/>
  <c r="H697" i="15" s="1"/>
  <c r="F696" i="15"/>
  <c r="F695" i="15"/>
  <c r="F694" i="15"/>
  <c r="H694" i="15" s="1"/>
  <c r="F693" i="15"/>
  <c r="F692" i="15"/>
  <c r="F691" i="15"/>
  <c r="F690" i="15"/>
  <c r="H690" i="15" s="1"/>
  <c r="F689" i="15"/>
  <c r="F688" i="15"/>
  <c r="H688" i="15" s="1"/>
  <c r="B684" i="16" s="1"/>
  <c r="F687" i="15"/>
  <c r="G687" i="15" s="1"/>
  <c r="E683" i="17" s="1"/>
  <c r="F686" i="15"/>
  <c r="G686" i="15" s="1"/>
  <c r="E682" i="17" s="1"/>
  <c r="F685" i="15"/>
  <c r="F684" i="15"/>
  <c r="F683" i="15"/>
  <c r="H683" i="15" s="1"/>
  <c r="F682" i="15"/>
  <c r="F681" i="15"/>
  <c r="F680" i="15"/>
  <c r="H680" i="15" s="1"/>
  <c r="B676" i="16" s="1"/>
  <c r="F679" i="15"/>
  <c r="F678" i="15"/>
  <c r="H678" i="15" s="1"/>
  <c r="B674" i="16" s="1"/>
  <c r="F677" i="15"/>
  <c r="H677" i="15" s="1"/>
  <c r="F676" i="15"/>
  <c r="F675" i="15"/>
  <c r="F674" i="15"/>
  <c r="H674" i="15" s="1"/>
  <c r="F673" i="15"/>
  <c r="H673" i="15" s="1"/>
  <c r="F672" i="15"/>
  <c r="G672" i="15" s="1"/>
  <c r="E668" i="17" s="1"/>
  <c r="F671" i="15"/>
  <c r="F670" i="15"/>
  <c r="F669" i="15"/>
  <c r="F668" i="15"/>
  <c r="H668" i="15" s="1"/>
  <c r="F667" i="15"/>
  <c r="F666" i="15"/>
  <c r="F665" i="15"/>
  <c r="F664" i="15"/>
  <c r="F663" i="15"/>
  <c r="H663" i="15" s="1"/>
  <c r="F662" i="15"/>
  <c r="G662" i="15" s="1"/>
  <c r="E658" i="17" s="1"/>
  <c r="F661" i="15"/>
  <c r="F660" i="15"/>
  <c r="H660" i="15" s="1"/>
  <c r="F659" i="15"/>
  <c r="H659" i="15" s="1"/>
  <c r="B655" i="16" s="1"/>
  <c r="F658" i="15"/>
  <c r="F657" i="15"/>
  <c r="F656" i="15"/>
  <c r="F655" i="15"/>
  <c r="H655" i="15" s="1"/>
  <c r="F654" i="15"/>
  <c r="F653" i="15"/>
  <c r="H653" i="15" s="1"/>
  <c r="F652" i="15"/>
  <c r="H652" i="15" s="1"/>
  <c r="F651" i="15"/>
  <c r="G651" i="15" s="1"/>
  <c r="E647" i="17" s="1"/>
  <c r="F650" i="15"/>
  <c r="H650" i="15" s="1"/>
  <c r="F649" i="15"/>
  <c r="G649" i="15" s="1"/>
  <c r="E645" i="17" s="1"/>
  <c r="F648" i="15"/>
  <c r="H648" i="15" s="1"/>
  <c r="F647" i="15"/>
  <c r="F646" i="15"/>
  <c r="G646" i="15" s="1"/>
  <c r="E642" i="17" s="1"/>
  <c r="F645" i="15"/>
  <c r="H645" i="15" s="1"/>
  <c r="F644" i="15"/>
  <c r="F643" i="15"/>
  <c r="F642" i="15"/>
  <c r="G642" i="15" s="1"/>
  <c r="E638" i="17" s="1"/>
  <c r="F641" i="15"/>
  <c r="G641" i="15" s="1"/>
  <c r="E637" i="17" s="1"/>
  <c r="F640" i="15"/>
  <c r="G640" i="15" s="1"/>
  <c r="E636" i="17" s="1"/>
  <c r="F639" i="15"/>
  <c r="G639" i="15" s="1"/>
  <c r="E635" i="17" s="1"/>
  <c r="F638" i="15"/>
  <c r="H638" i="15" s="1"/>
  <c r="B634" i="16" s="1"/>
  <c r="F637" i="15"/>
  <c r="H637" i="15" s="1"/>
  <c r="F636" i="15"/>
  <c r="F635" i="15"/>
  <c r="F634" i="15"/>
  <c r="F633" i="15"/>
  <c r="F632" i="15"/>
  <c r="G632" i="15" s="1"/>
  <c r="E628" i="17" s="1"/>
  <c r="F631" i="15"/>
  <c r="G631" i="15" s="1"/>
  <c r="E627" i="17" s="1"/>
  <c r="F630" i="15"/>
  <c r="G630" i="15" s="1"/>
  <c r="E626" i="17" s="1"/>
  <c r="F629" i="15"/>
  <c r="G629" i="15" s="1"/>
  <c r="E625" i="17" s="1"/>
  <c r="F628" i="15"/>
  <c r="H628" i="15" s="1"/>
  <c r="F627" i="15"/>
  <c r="F626" i="15"/>
  <c r="G626" i="15" s="1"/>
  <c r="E622" i="17" s="1"/>
  <c r="F625" i="15"/>
  <c r="G625" i="15" s="1"/>
  <c r="E621" i="17" s="1"/>
  <c r="F624" i="15"/>
  <c r="G624" i="15" s="1"/>
  <c r="E620" i="17" s="1"/>
  <c r="F623" i="15"/>
  <c r="H623" i="15" s="1"/>
  <c r="B619" i="16" s="1"/>
  <c r="F622" i="15"/>
  <c r="F621" i="15"/>
  <c r="G621" i="15" s="1"/>
  <c r="E617" i="17" s="1"/>
  <c r="F620" i="15"/>
  <c r="F619" i="15"/>
  <c r="G619" i="15" s="1"/>
  <c r="E615" i="17" s="1"/>
  <c r="F618" i="15"/>
  <c r="H618" i="15" s="1"/>
  <c r="F617" i="15"/>
  <c r="F616" i="15"/>
  <c r="F615" i="15"/>
  <c r="F614" i="15"/>
  <c r="H614" i="15" s="1"/>
  <c r="F613" i="15"/>
  <c r="F612" i="15"/>
  <c r="F611" i="15"/>
  <c r="F610" i="15"/>
  <c r="F609" i="15"/>
  <c r="G609" i="15" s="1"/>
  <c r="E605" i="17" s="1"/>
  <c r="F608" i="15"/>
  <c r="H608" i="15" s="1"/>
  <c r="F607" i="15"/>
  <c r="H607" i="15" s="1"/>
  <c r="F606" i="15"/>
  <c r="F605" i="15"/>
  <c r="H605" i="15" s="1"/>
  <c r="B601" i="16" s="1"/>
  <c r="F604" i="15"/>
  <c r="F603" i="15"/>
  <c r="H603" i="15" s="1"/>
  <c r="B599" i="16" s="1"/>
  <c r="F602" i="15"/>
  <c r="F601" i="15"/>
  <c r="F600" i="15"/>
  <c r="F599" i="15"/>
  <c r="G599" i="15" s="1"/>
  <c r="E595" i="17" s="1"/>
  <c r="F598" i="15"/>
  <c r="H598" i="15" s="1"/>
  <c r="B594" i="16" s="1"/>
  <c r="F597" i="15"/>
  <c r="H597" i="15" s="1"/>
  <c r="F596" i="15"/>
  <c r="G596" i="15" s="1"/>
  <c r="E592" i="17" s="1"/>
  <c r="F595" i="15"/>
  <c r="F594" i="15"/>
  <c r="H594" i="15" s="1"/>
  <c r="B590" i="16" s="1"/>
  <c r="F593" i="15"/>
  <c r="H593" i="15" s="1"/>
  <c r="I593" i="15" s="1"/>
  <c r="F592" i="15"/>
  <c r="G592" i="15" s="1"/>
  <c r="E588" i="17" s="1"/>
  <c r="F591" i="15"/>
  <c r="G591" i="15" s="1"/>
  <c r="E587" i="17" s="1"/>
  <c r="F590" i="15"/>
  <c r="H590" i="15" s="1"/>
  <c r="F589" i="15"/>
  <c r="F588" i="15"/>
  <c r="H588" i="15" s="1"/>
  <c r="B584" i="16" s="1"/>
  <c r="F587" i="15"/>
  <c r="H587" i="15" s="1"/>
  <c r="F586" i="15"/>
  <c r="G586" i="15" s="1"/>
  <c r="E582" i="17" s="1"/>
  <c r="F585" i="15"/>
  <c r="G585" i="15" s="1"/>
  <c r="E581" i="17" s="1"/>
  <c r="F584" i="15"/>
  <c r="H584" i="15" s="1"/>
  <c r="F583" i="15"/>
  <c r="F582" i="15"/>
  <c r="H582" i="15" s="1"/>
  <c r="F581" i="15"/>
  <c r="G581" i="15" s="1"/>
  <c r="E577" i="17" s="1"/>
  <c r="F580" i="15"/>
  <c r="G580" i="15" s="1"/>
  <c r="E576" i="17" s="1"/>
  <c r="F579" i="15"/>
  <c r="F578" i="15"/>
  <c r="H578" i="15" s="1"/>
  <c r="F577" i="15"/>
  <c r="H577" i="15" s="1"/>
  <c r="F576" i="15"/>
  <c r="F575" i="15"/>
  <c r="F574" i="15"/>
  <c r="F573" i="15"/>
  <c r="H573" i="15" s="1"/>
  <c r="F572" i="15"/>
  <c r="H572" i="15" s="1"/>
  <c r="F571" i="15"/>
  <c r="F570" i="15"/>
  <c r="F569" i="15"/>
  <c r="F568" i="15"/>
  <c r="H568" i="15" s="1"/>
  <c r="B564" i="16" s="1"/>
  <c r="F567" i="15"/>
  <c r="F566" i="15"/>
  <c r="F565" i="15"/>
  <c r="H565" i="15" s="1"/>
  <c r="F564" i="15"/>
  <c r="F563" i="15"/>
  <c r="H563" i="15" s="1"/>
  <c r="F562" i="15"/>
  <c r="G562" i="15" s="1"/>
  <c r="E558" i="17" s="1"/>
  <c r="F561" i="15"/>
  <c r="F560" i="15"/>
  <c r="G560" i="15" s="1"/>
  <c r="E556" i="17" s="1"/>
  <c r="F559" i="15"/>
  <c r="F558" i="15"/>
  <c r="H558" i="15" s="1"/>
  <c r="B554" i="16" s="1"/>
  <c r="F557" i="15"/>
  <c r="H557" i="15" s="1"/>
  <c r="F556" i="15"/>
  <c r="G556" i="15" s="1"/>
  <c r="E552" i="17" s="1"/>
  <c r="F555" i="15"/>
  <c r="H555" i="15" s="1"/>
  <c r="F554" i="15"/>
  <c r="F553" i="15"/>
  <c r="F552" i="15"/>
  <c r="H552" i="15" s="1"/>
  <c r="F551" i="15"/>
  <c r="G551" i="15" s="1"/>
  <c r="E547" i="17" s="1"/>
  <c r="F550" i="15"/>
  <c r="G550" i="15" s="1"/>
  <c r="E546" i="17" s="1"/>
  <c r="F549" i="15"/>
  <c r="H549" i="15" s="1"/>
  <c r="F548" i="15"/>
  <c r="F547" i="15"/>
  <c r="H547" i="15" s="1"/>
  <c r="F546" i="15"/>
  <c r="G546" i="15" s="1"/>
  <c r="E542" i="17" s="1"/>
  <c r="F545" i="15"/>
  <c r="G545" i="15" s="1"/>
  <c r="E541" i="17" s="1"/>
  <c r="F544" i="15"/>
  <c r="F543" i="15"/>
  <c r="H543" i="15" s="1"/>
  <c r="B539" i="16" s="1"/>
  <c r="F542" i="15"/>
  <c r="F541" i="15"/>
  <c r="F540" i="15"/>
  <c r="H540" i="15" s="1"/>
  <c r="F539" i="15"/>
  <c r="H539" i="15" s="1"/>
  <c r="F538" i="15"/>
  <c r="H538" i="15" s="1"/>
  <c r="B534" i="16" s="1"/>
  <c r="F537" i="15"/>
  <c r="H537" i="15" s="1"/>
  <c r="F536" i="15"/>
  <c r="G536" i="15" s="1"/>
  <c r="E532" i="17" s="1"/>
  <c r="F535" i="15"/>
  <c r="H535" i="15" s="1"/>
  <c r="I535" i="15" s="1"/>
  <c r="F534" i="15"/>
  <c r="F533" i="15"/>
  <c r="H533" i="15" s="1"/>
  <c r="B529" i="16" s="1"/>
  <c r="F532" i="15"/>
  <c r="G532" i="15" s="1"/>
  <c r="E528" i="17" s="1"/>
  <c r="F531" i="15"/>
  <c r="F530" i="15"/>
  <c r="G530" i="15" s="1"/>
  <c r="E526" i="17" s="1"/>
  <c r="F529" i="15"/>
  <c r="G529" i="15" s="1"/>
  <c r="E525" i="17" s="1"/>
  <c r="F528" i="15"/>
  <c r="F527" i="15"/>
  <c r="G527" i="15" s="1"/>
  <c r="E523" i="17" s="1"/>
  <c r="F526" i="15"/>
  <c r="G526" i="15" s="1"/>
  <c r="E522" i="17" s="1"/>
  <c r="F525" i="15"/>
  <c r="G525" i="15" s="1"/>
  <c r="E521" i="17" s="1"/>
  <c r="F524" i="15"/>
  <c r="G524" i="15" s="1"/>
  <c r="E520" i="17" s="1"/>
  <c r="F523" i="15"/>
  <c r="F522" i="15"/>
  <c r="F521" i="15"/>
  <c r="G521" i="15" s="1"/>
  <c r="E517" i="17" s="1"/>
  <c r="F520" i="15"/>
  <c r="F519" i="15"/>
  <c r="H519" i="15" s="1"/>
  <c r="F518" i="15"/>
  <c r="H518" i="15" s="1"/>
  <c r="F517" i="15"/>
  <c r="G517" i="15" s="1"/>
  <c r="E513" i="17" s="1"/>
  <c r="F516" i="15"/>
  <c r="F515" i="15"/>
  <c r="G515" i="15" s="1"/>
  <c r="E511" i="17" s="1"/>
  <c r="F514" i="15"/>
  <c r="F513" i="15"/>
  <c r="H513" i="15" s="1"/>
  <c r="F512" i="15"/>
  <c r="G512" i="15" s="1"/>
  <c r="E508" i="17" s="1"/>
  <c r="F511" i="15"/>
  <c r="F510" i="15"/>
  <c r="F509" i="15"/>
  <c r="F508" i="15"/>
  <c r="H508" i="15" s="1"/>
  <c r="F507" i="15"/>
  <c r="G507" i="15" s="1"/>
  <c r="E503" i="17" s="1"/>
  <c r="F506" i="15"/>
  <c r="F505" i="15"/>
  <c r="H505" i="15" s="1"/>
  <c r="F504" i="15"/>
  <c r="H504" i="15" s="1"/>
  <c r="F503" i="15"/>
  <c r="H503" i="15" s="1"/>
  <c r="B499" i="16" s="1"/>
  <c r="F502" i="15"/>
  <c r="F501" i="15"/>
  <c r="G501" i="15" s="1"/>
  <c r="E497" i="17" s="1"/>
  <c r="F500" i="15"/>
  <c r="G500" i="15" s="1"/>
  <c r="E496" i="17" s="1"/>
  <c r="F499" i="15"/>
  <c r="G499" i="15" s="1"/>
  <c r="E495" i="17" s="1"/>
  <c r="F498" i="15"/>
  <c r="F497" i="15"/>
  <c r="F496" i="15"/>
  <c r="F495" i="15"/>
  <c r="F494" i="15"/>
  <c r="F493" i="15"/>
  <c r="H493" i="15" s="1"/>
  <c r="B489" i="16" s="1"/>
  <c r="F492" i="15"/>
  <c r="H492" i="15" s="1"/>
  <c r="F491" i="15"/>
  <c r="G491" i="15" s="1"/>
  <c r="E487" i="17" s="1"/>
  <c r="F490" i="15"/>
  <c r="F489" i="15"/>
  <c r="G489" i="15" s="1"/>
  <c r="E485" i="17" s="1"/>
  <c r="F488" i="15"/>
  <c r="H488" i="15" s="1"/>
  <c r="B484" i="16" s="1"/>
  <c r="F487" i="15"/>
  <c r="H487" i="15" s="1"/>
  <c r="F486" i="15"/>
  <c r="G486" i="15" s="1"/>
  <c r="E482" i="17" s="1"/>
  <c r="F485" i="15"/>
  <c r="F484" i="15"/>
  <c r="H484" i="15" s="1"/>
  <c r="F483" i="15"/>
  <c r="H483" i="15" s="1"/>
  <c r="F482" i="15"/>
  <c r="F481" i="15"/>
  <c r="F480" i="15"/>
  <c r="H480" i="15" s="1"/>
  <c r="B476" i="16" s="1"/>
  <c r="F479" i="15"/>
  <c r="F478" i="15"/>
  <c r="H478" i="15" s="1"/>
  <c r="B474" i="16" s="1"/>
  <c r="F477" i="15"/>
  <c r="H477" i="15" s="1"/>
  <c r="F476" i="15"/>
  <c r="G476" i="15" s="1"/>
  <c r="E472" i="17" s="1"/>
  <c r="F475" i="15"/>
  <c r="G475" i="15" s="1"/>
  <c r="E471" i="17" s="1"/>
  <c r="F474" i="15"/>
  <c r="G474" i="15" s="1"/>
  <c r="E470" i="17" s="1"/>
  <c r="F473" i="15"/>
  <c r="F472" i="15"/>
  <c r="H472" i="15" s="1"/>
  <c r="F471" i="15"/>
  <c r="G471" i="15" s="1"/>
  <c r="E467" i="17" s="1"/>
  <c r="F470" i="15"/>
  <c r="G470" i="15" s="1"/>
  <c r="E466" i="17" s="1"/>
  <c r="F469" i="15"/>
  <c r="F468" i="15"/>
  <c r="H468" i="15" s="1"/>
  <c r="F467" i="15"/>
  <c r="F466" i="15"/>
  <c r="F465" i="15"/>
  <c r="H465" i="15" s="1"/>
  <c r="F464" i="15"/>
  <c r="H464" i="15" s="1"/>
  <c r="B460" i="16" s="1"/>
  <c r="F463" i="15"/>
  <c r="H463" i="15" s="1"/>
  <c r="F462" i="15"/>
  <c r="H462" i="15" s="1"/>
  <c r="F461" i="15"/>
  <c r="F460" i="15"/>
  <c r="G460" i="15" s="1"/>
  <c r="E456" i="17" s="1"/>
  <c r="F459" i="15"/>
  <c r="G459" i="15" s="1"/>
  <c r="E455" i="17" s="1"/>
  <c r="F458" i="15"/>
  <c r="H458" i="15" s="1"/>
  <c r="F457" i="15"/>
  <c r="F456" i="15"/>
  <c r="F455" i="15"/>
  <c r="H455" i="15" s="1"/>
  <c r="F454" i="15"/>
  <c r="G454" i="15" s="1"/>
  <c r="E450" i="17" s="1"/>
  <c r="F453" i="15"/>
  <c r="F452" i="15"/>
  <c r="H452" i="15" s="1"/>
  <c r="F451" i="15"/>
  <c r="G451" i="15" s="1"/>
  <c r="E447" i="17" s="1"/>
  <c r="F450" i="15"/>
  <c r="F449" i="15"/>
  <c r="F448" i="15"/>
  <c r="H448" i="15" s="1"/>
  <c r="F447" i="15"/>
  <c r="G447" i="15" s="1"/>
  <c r="E443" i="17" s="1"/>
  <c r="F446" i="15"/>
  <c r="G446" i="15" s="1"/>
  <c r="E442" i="17" s="1"/>
  <c r="F445" i="15"/>
  <c r="G445" i="15" s="1"/>
  <c r="E441" i="17" s="1"/>
  <c r="F444" i="15"/>
  <c r="G444" i="15" s="1"/>
  <c r="E440" i="17" s="1"/>
  <c r="F443" i="15"/>
  <c r="H443" i="15" s="1"/>
  <c r="B439" i="16" s="1"/>
  <c r="F442" i="15"/>
  <c r="F441" i="15"/>
  <c r="G441" i="15" s="1"/>
  <c r="E437" i="17" s="1"/>
  <c r="F440" i="15"/>
  <c r="F439" i="15"/>
  <c r="G439" i="15" s="1"/>
  <c r="E435" i="17" s="1"/>
  <c r="F438" i="15"/>
  <c r="H438" i="15" s="1"/>
  <c r="B434" i="16" s="1"/>
  <c r="F437" i="15"/>
  <c r="F436" i="15"/>
  <c r="F435" i="15"/>
  <c r="F434" i="15"/>
  <c r="G434" i="15" s="1"/>
  <c r="E430" i="17" s="1"/>
  <c r="F433" i="15"/>
  <c r="H433" i="15" s="1"/>
  <c r="F432" i="15"/>
  <c r="F431" i="15"/>
  <c r="F430" i="15"/>
  <c r="H430" i="15" s="1"/>
  <c r="F429" i="15"/>
  <c r="F428" i="15"/>
  <c r="F427" i="15"/>
  <c r="F426" i="15"/>
  <c r="G426" i="15" s="1"/>
  <c r="E422" i="17" s="1"/>
  <c r="F425" i="15"/>
  <c r="H425" i="15" s="1"/>
  <c r="B421" i="16" s="1"/>
  <c r="F424" i="15"/>
  <c r="G424" i="15" s="1"/>
  <c r="E420" i="17" s="1"/>
  <c r="F423" i="15"/>
  <c r="F422" i="15"/>
  <c r="G422" i="15" s="1"/>
  <c r="E418" i="17" s="1"/>
  <c r="F421" i="15"/>
  <c r="G421" i="15" s="1"/>
  <c r="E417" i="17" s="1"/>
  <c r="F420" i="15"/>
  <c r="F419" i="15"/>
  <c r="H419" i="15" s="1"/>
  <c r="F418" i="15"/>
  <c r="H418" i="15" s="1"/>
  <c r="B414" i="16" s="1"/>
  <c r="F417" i="15"/>
  <c r="G417" i="15" s="1"/>
  <c r="E413" i="17" s="1"/>
  <c r="F416" i="15"/>
  <c r="F415" i="15"/>
  <c r="G415" i="15" s="1"/>
  <c r="E411" i="17" s="1"/>
  <c r="F414" i="15"/>
  <c r="F413" i="15"/>
  <c r="F412" i="15"/>
  <c r="F411" i="15"/>
  <c r="F410" i="15"/>
  <c r="H410" i="15" s="1"/>
  <c r="B406" i="16" s="1"/>
  <c r="F409" i="15"/>
  <c r="G409" i="15" s="1"/>
  <c r="E405" i="17" s="1"/>
  <c r="J408" i="15"/>
  <c r="E404" i="16" s="1"/>
  <c r="E408" i="15"/>
  <c r="J407" i="15"/>
  <c r="E403" i="16" s="1"/>
  <c r="E407" i="15"/>
  <c r="J406" i="15"/>
  <c r="E402" i="16" s="1"/>
  <c r="E406" i="15"/>
  <c r="J405" i="15"/>
  <c r="E401" i="16" s="1"/>
  <c r="E405" i="15"/>
  <c r="J404" i="15"/>
  <c r="E400" i="16" s="1"/>
  <c r="E404" i="15"/>
  <c r="J403" i="15"/>
  <c r="E399" i="16" s="1"/>
  <c r="E403" i="15"/>
  <c r="J402" i="15"/>
  <c r="E398" i="16" s="1"/>
  <c r="E402" i="15"/>
  <c r="J401" i="15"/>
  <c r="E397" i="16" s="1"/>
  <c r="E401" i="15"/>
  <c r="J400" i="15"/>
  <c r="E396" i="16" s="1"/>
  <c r="E400" i="15"/>
  <c r="J399" i="15"/>
  <c r="E395" i="16" s="1"/>
  <c r="E399" i="15"/>
  <c r="J398" i="15"/>
  <c r="E394" i="16" s="1"/>
  <c r="E398" i="15"/>
  <c r="J397" i="15"/>
  <c r="E393" i="16" s="1"/>
  <c r="E397" i="15"/>
  <c r="J396" i="15"/>
  <c r="E392" i="16" s="1"/>
  <c r="E396" i="15"/>
  <c r="J395" i="15"/>
  <c r="E391" i="16" s="1"/>
  <c r="E395" i="15"/>
  <c r="J394" i="15"/>
  <c r="E390" i="16" s="1"/>
  <c r="E394" i="15"/>
  <c r="J393" i="15"/>
  <c r="E389" i="16" s="1"/>
  <c r="E393" i="15"/>
  <c r="J392" i="15"/>
  <c r="E388" i="16" s="1"/>
  <c r="E392" i="15"/>
  <c r="J391" i="15"/>
  <c r="E387" i="16" s="1"/>
  <c r="E391" i="15"/>
  <c r="J390" i="15"/>
  <c r="E386" i="16" s="1"/>
  <c r="E390" i="15"/>
  <c r="J389" i="15"/>
  <c r="E385" i="16" s="1"/>
  <c r="E389" i="15"/>
  <c r="J388" i="15"/>
  <c r="E384" i="16" s="1"/>
  <c r="E388" i="15"/>
  <c r="J387" i="15"/>
  <c r="E383" i="16" s="1"/>
  <c r="E387" i="15"/>
  <c r="J386" i="15"/>
  <c r="E382" i="16" s="1"/>
  <c r="E386" i="15"/>
  <c r="J385" i="15"/>
  <c r="E381" i="16" s="1"/>
  <c r="E385" i="15"/>
  <c r="J384" i="15"/>
  <c r="E380" i="16" s="1"/>
  <c r="E384" i="15"/>
  <c r="J383" i="15"/>
  <c r="E379" i="16" s="1"/>
  <c r="E383" i="15"/>
  <c r="J382" i="15"/>
  <c r="E378" i="16" s="1"/>
  <c r="E382" i="15"/>
  <c r="J381" i="15"/>
  <c r="E377" i="16" s="1"/>
  <c r="E381" i="15"/>
  <c r="J380" i="15"/>
  <c r="E376" i="16" s="1"/>
  <c r="E380" i="15"/>
  <c r="J379" i="15"/>
  <c r="E375" i="16" s="1"/>
  <c r="E379" i="15"/>
  <c r="J378" i="15"/>
  <c r="E374" i="16" s="1"/>
  <c r="E378" i="15"/>
  <c r="J377" i="15"/>
  <c r="E373" i="16" s="1"/>
  <c r="E377" i="15"/>
  <c r="J376" i="15"/>
  <c r="E376" i="15"/>
  <c r="J375" i="15"/>
  <c r="E371" i="16" s="1"/>
  <c r="E375" i="15"/>
  <c r="J374" i="15"/>
  <c r="E370" i="16" s="1"/>
  <c r="E374" i="15"/>
  <c r="J373" i="15"/>
  <c r="E369" i="16" s="1"/>
  <c r="E373" i="15"/>
  <c r="J372" i="15"/>
  <c r="E368" i="16" s="1"/>
  <c r="E372" i="15"/>
  <c r="J371" i="15"/>
  <c r="E367" i="16" s="1"/>
  <c r="E371" i="15"/>
  <c r="J370" i="15"/>
  <c r="E366" i="16" s="1"/>
  <c r="E370" i="15"/>
  <c r="J369" i="15"/>
  <c r="E365" i="16" s="1"/>
  <c r="E369" i="15"/>
  <c r="J368" i="15"/>
  <c r="E364" i="16" s="1"/>
  <c r="E368" i="15"/>
  <c r="J367" i="15"/>
  <c r="E363" i="16" s="1"/>
  <c r="E367" i="15"/>
  <c r="J366" i="15"/>
  <c r="E362" i="16" s="1"/>
  <c r="E366" i="15"/>
  <c r="J365" i="15"/>
  <c r="E361" i="16" s="1"/>
  <c r="E365" i="15"/>
  <c r="J364" i="15"/>
  <c r="E360" i="16" s="1"/>
  <c r="E364" i="15"/>
  <c r="J363" i="15"/>
  <c r="E359" i="16" s="1"/>
  <c r="E363" i="15"/>
  <c r="J362" i="15"/>
  <c r="E358" i="16" s="1"/>
  <c r="E362" i="15"/>
  <c r="J361" i="15"/>
  <c r="E357" i="16" s="1"/>
  <c r="E361" i="15"/>
  <c r="J360" i="15"/>
  <c r="E356" i="16" s="1"/>
  <c r="E360" i="15"/>
  <c r="J359" i="15"/>
  <c r="E355" i="16" s="1"/>
  <c r="E359" i="15"/>
  <c r="J358" i="15"/>
  <c r="E354" i="16" s="1"/>
  <c r="E358" i="15"/>
  <c r="J357" i="15"/>
  <c r="E353" i="16" s="1"/>
  <c r="E357" i="15"/>
  <c r="J356" i="15"/>
  <c r="E352" i="16" s="1"/>
  <c r="E356" i="15"/>
  <c r="J355" i="15"/>
  <c r="E351" i="16" s="1"/>
  <c r="E355" i="15"/>
  <c r="F354" i="15"/>
  <c r="F353" i="15"/>
  <c r="G353" i="15" s="1"/>
  <c r="E349" i="17" s="1"/>
  <c r="F352" i="15"/>
  <c r="G352" i="15" s="1"/>
  <c r="E348" i="17" s="1"/>
  <c r="F351" i="15"/>
  <c r="F350" i="15"/>
  <c r="F349" i="15"/>
  <c r="H349" i="15" s="1"/>
  <c r="F348" i="15"/>
  <c r="F347" i="15"/>
  <c r="F346" i="15"/>
  <c r="H346" i="15" s="1"/>
  <c r="F345" i="15"/>
  <c r="H345" i="15" s="1"/>
  <c r="B341" i="16" s="1"/>
  <c r="F344" i="15"/>
  <c r="G344" i="15" s="1"/>
  <c r="E340" i="17" s="1"/>
  <c r="F343" i="15"/>
  <c r="F342" i="15"/>
  <c r="G342" i="15" s="1"/>
  <c r="E338" i="17" s="1"/>
  <c r="F341" i="15"/>
  <c r="F340" i="15"/>
  <c r="F339" i="15"/>
  <c r="F338" i="15"/>
  <c r="G338" i="15" s="1"/>
  <c r="E334" i="17" s="1"/>
  <c r="F337" i="15"/>
  <c r="F336" i="15"/>
  <c r="H336" i="15" s="1"/>
  <c r="F335" i="15"/>
  <c r="H335" i="15" s="1"/>
  <c r="B331" i="16" s="1"/>
  <c r="F334" i="15"/>
  <c r="H334" i="15" s="1"/>
  <c r="F333" i="15"/>
  <c r="H333" i="15" s="1"/>
  <c r="F332" i="15"/>
  <c r="F331" i="15"/>
  <c r="F330" i="15"/>
  <c r="H330" i="15" s="1"/>
  <c r="B326" i="16" s="1"/>
  <c r="F329" i="15"/>
  <c r="H329" i="15" s="1"/>
  <c r="F328" i="15"/>
  <c r="F327" i="15"/>
  <c r="F326" i="15"/>
  <c r="H326" i="15" s="1"/>
  <c r="F325" i="15"/>
  <c r="F324" i="15"/>
  <c r="H324" i="15" s="1"/>
  <c r="I324" i="15" s="1"/>
  <c r="F323" i="15"/>
  <c r="H323" i="15" s="1"/>
  <c r="B319" i="16" s="1"/>
  <c r="F322" i="15"/>
  <c r="G322" i="15" s="1"/>
  <c r="E318" i="17" s="1"/>
  <c r="F321" i="15"/>
  <c r="G321" i="15" s="1"/>
  <c r="E317" i="17" s="1"/>
  <c r="F320" i="15"/>
  <c r="F319" i="15"/>
  <c r="F318" i="15"/>
  <c r="F317" i="15"/>
  <c r="G317" i="15" s="1"/>
  <c r="E313" i="17" s="1"/>
  <c r="F316" i="15"/>
  <c r="H316" i="15" s="1"/>
  <c r="F315" i="15"/>
  <c r="H315" i="15" s="1"/>
  <c r="F314" i="15"/>
  <c r="H314" i="15" s="1"/>
  <c r="F313" i="15"/>
  <c r="H313" i="15" s="1"/>
  <c r="B309" i="16" s="1"/>
  <c r="F312" i="15"/>
  <c r="H312" i="15" s="1"/>
  <c r="B308" i="16" s="1"/>
  <c r="F311" i="15"/>
  <c r="F310" i="15"/>
  <c r="F309" i="15"/>
  <c r="F308" i="15"/>
  <c r="F307" i="15"/>
  <c r="F306" i="15"/>
  <c r="G306" i="15" s="1"/>
  <c r="E302" i="17" s="1"/>
  <c r="F305" i="15"/>
  <c r="F304" i="15"/>
  <c r="G304" i="15" s="1"/>
  <c r="E300" i="17" s="1"/>
  <c r="F303" i="15"/>
  <c r="G303" i="15" s="1"/>
  <c r="E299" i="17" s="1"/>
  <c r="F302" i="15"/>
  <c r="H302" i="15" s="1"/>
  <c r="F301" i="15"/>
  <c r="F300" i="15"/>
  <c r="H300" i="15" s="1"/>
  <c r="F299" i="15"/>
  <c r="F298" i="15"/>
  <c r="F297" i="15"/>
  <c r="F296" i="15"/>
  <c r="F295" i="15"/>
  <c r="H295" i="15" s="1"/>
  <c r="B291" i="16" s="1"/>
  <c r="F294" i="15"/>
  <c r="F293" i="15"/>
  <c r="G293" i="15" s="1"/>
  <c r="E289" i="17" s="1"/>
  <c r="F292" i="15"/>
  <c r="H292" i="15" s="1"/>
  <c r="F291" i="15"/>
  <c r="H291" i="15" s="1"/>
  <c r="F290" i="15"/>
  <c r="F289" i="15"/>
  <c r="G289" i="15" s="1"/>
  <c r="E285" i="17" s="1"/>
  <c r="F288" i="15"/>
  <c r="G288" i="15" s="1"/>
  <c r="E284" i="17" s="1"/>
  <c r="F287" i="15"/>
  <c r="H287" i="15" s="1"/>
  <c r="F286" i="15"/>
  <c r="G286" i="15" s="1"/>
  <c r="E282" i="17" s="1"/>
  <c r="F285" i="15"/>
  <c r="H285" i="15" s="1"/>
  <c r="F284" i="15"/>
  <c r="H284" i="15" s="1"/>
  <c r="F283" i="15"/>
  <c r="F282" i="15"/>
  <c r="F281" i="15"/>
  <c r="G281" i="15" s="1"/>
  <c r="E277" i="17" s="1"/>
  <c r="F280" i="15"/>
  <c r="H280" i="15" s="1"/>
  <c r="B276" i="16" s="1"/>
  <c r="F279" i="15"/>
  <c r="H279" i="15" s="1"/>
  <c r="F278" i="15"/>
  <c r="F277" i="15"/>
  <c r="H277" i="15" s="1"/>
  <c r="F276" i="15"/>
  <c r="F275" i="15"/>
  <c r="H275" i="15" s="1"/>
  <c r="F274" i="15"/>
  <c r="H274" i="15" s="1"/>
  <c r="F273" i="15"/>
  <c r="H273" i="15" s="1"/>
  <c r="F272" i="15"/>
  <c r="G272" i="15" s="1"/>
  <c r="E268" i="17" s="1"/>
  <c r="F271" i="15"/>
  <c r="H271" i="15" s="1"/>
  <c r="B267" i="16" s="1"/>
  <c r="F270" i="15"/>
  <c r="H270" i="15" s="1"/>
  <c r="F269" i="15"/>
  <c r="H269" i="15" s="1"/>
  <c r="B265" i="16" s="1"/>
  <c r="F268" i="15"/>
  <c r="H268" i="15" s="1"/>
  <c r="F267" i="15"/>
  <c r="G267" i="15" s="1"/>
  <c r="E263" i="17" s="1"/>
  <c r="F266" i="15"/>
  <c r="F265" i="15"/>
  <c r="H265" i="15" s="1"/>
  <c r="F264" i="15"/>
  <c r="H264" i="15" s="1"/>
  <c r="B260" i="16" s="1"/>
  <c r="F263" i="15"/>
  <c r="G263" i="15" s="1"/>
  <c r="E259" i="17" s="1"/>
  <c r="F262" i="15"/>
  <c r="H262" i="15" s="1"/>
  <c r="F261" i="15"/>
  <c r="H261" i="15" s="1"/>
  <c r="B257" i="16" s="1"/>
  <c r="F260" i="15"/>
  <c r="H260" i="15" s="1"/>
  <c r="U259" i="15"/>
  <c r="O259" i="15"/>
  <c r="Q259" i="15" s="1"/>
  <c r="V259" i="15" s="1"/>
  <c r="F259" i="15"/>
  <c r="G259" i="15" s="1"/>
  <c r="E255" i="17" s="1"/>
  <c r="U258" i="15"/>
  <c r="O258" i="15"/>
  <c r="Q258" i="15" s="1"/>
  <c r="F258" i="15"/>
  <c r="U257" i="15"/>
  <c r="Q257" i="15"/>
  <c r="F257" i="15"/>
  <c r="H257" i="15" s="1"/>
  <c r="U256" i="15"/>
  <c r="O256" i="15"/>
  <c r="Q256" i="15" s="1"/>
  <c r="R256" i="15" s="1"/>
  <c r="F256" i="15"/>
  <c r="G256" i="15" s="1"/>
  <c r="E252" i="17" s="1"/>
  <c r="U255" i="15"/>
  <c r="O255" i="15"/>
  <c r="Q255" i="15" s="1"/>
  <c r="R255" i="15" s="1"/>
  <c r="F255" i="15"/>
  <c r="U254" i="15"/>
  <c r="O254" i="15"/>
  <c r="Q254" i="15" s="1"/>
  <c r="R254" i="15" s="1"/>
  <c r="F254" i="15"/>
  <c r="U253" i="15"/>
  <c r="O253" i="15"/>
  <c r="Q253" i="15" s="1"/>
  <c r="F253" i="15"/>
  <c r="G253" i="15" s="1"/>
  <c r="E249" i="17" s="1"/>
  <c r="F252" i="15"/>
  <c r="H252" i="15" s="1"/>
  <c r="B248" i="16" s="1"/>
  <c r="F251" i="15"/>
  <c r="H251" i="15" s="1"/>
  <c r="B247" i="16" s="1"/>
  <c r="F250" i="15"/>
  <c r="H250" i="15" s="1"/>
  <c r="F249" i="15"/>
  <c r="W248" i="15"/>
  <c r="U248" i="15"/>
  <c r="O248" i="15"/>
  <c r="P248" i="15" s="1"/>
  <c r="Q248" i="15" s="1"/>
  <c r="F248" i="15"/>
  <c r="G248" i="15" s="1"/>
  <c r="E244" i="17" s="1"/>
  <c r="F247" i="15"/>
  <c r="F246" i="15"/>
  <c r="G246" i="15" s="1"/>
  <c r="E242" i="17" s="1"/>
  <c r="F245" i="15"/>
  <c r="F244" i="15"/>
  <c r="H244" i="15" s="1"/>
  <c r="B240" i="16" s="1"/>
  <c r="W243" i="15"/>
  <c r="U243" i="15"/>
  <c r="O243" i="15"/>
  <c r="P243" i="15" s="1"/>
  <c r="Q243" i="15" s="1"/>
  <c r="R243" i="15" s="1"/>
  <c r="F243" i="15"/>
  <c r="U242" i="15"/>
  <c r="O242" i="15"/>
  <c r="P242" i="15" s="1"/>
  <c r="Q242" i="15" s="1"/>
  <c r="F242" i="15"/>
  <c r="G242" i="15" s="1"/>
  <c r="E238" i="17" s="1"/>
  <c r="F241" i="15"/>
  <c r="F240" i="15"/>
  <c r="F239" i="15"/>
  <c r="F238" i="15"/>
  <c r="G238" i="15" s="1"/>
  <c r="E234" i="17" s="1"/>
  <c r="W237" i="15"/>
  <c r="U237" i="15"/>
  <c r="O237" i="15"/>
  <c r="P237" i="15" s="1"/>
  <c r="Q237" i="15" s="1"/>
  <c r="F237" i="15"/>
  <c r="U236" i="15"/>
  <c r="O236" i="15"/>
  <c r="F236" i="15"/>
  <c r="H236" i="15" s="1"/>
  <c r="B232" i="16" s="1"/>
  <c r="U235" i="15"/>
  <c r="O235" i="15"/>
  <c r="P235" i="15" s="1"/>
  <c r="Q235" i="15" s="1"/>
  <c r="F235" i="15"/>
  <c r="G235" i="15" s="1"/>
  <c r="E231" i="17" s="1"/>
  <c r="U234" i="15"/>
  <c r="O234" i="15"/>
  <c r="P234" i="15" s="1"/>
  <c r="Q234" i="15" s="1"/>
  <c r="F234" i="15"/>
  <c r="U233" i="15"/>
  <c r="O233" i="15"/>
  <c r="F233" i="15"/>
  <c r="U232" i="15"/>
  <c r="O232" i="15"/>
  <c r="P232" i="15" s="1"/>
  <c r="Q232" i="15" s="1"/>
  <c r="F232" i="15"/>
  <c r="G232" i="15" s="1"/>
  <c r="E228" i="17" s="1"/>
  <c r="U231" i="15"/>
  <c r="O231" i="15"/>
  <c r="F231" i="15"/>
  <c r="U230" i="15"/>
  <c r="O230" i="15"/>
  <c r="F230" i="15"/>
  <c r="U229" i="15"/>
  <c r="O229" i="15"/>
  <c r="F229" i="15"/>
  <c r="H229" i="15" s="1"/>
  <c r="B225" i="16" s="1"/>
  <c r="U228" i="15"/>
  <c r="O228" i="15"/>
  <c r="F228" i="15"/>
  <c r="H228" i="15" s="1"/>
  <c r="U227" i="15"/>
  <c r="O227" i="15"/>
  <c r="F227" i="15"/>
  <c r="H227" i="15" s="1"/>
  <c r="B223" i="16" s="1"/>
  <c r="U226" i="15"/>
  <c r="O226" i="15"/>
  <c r="P226" i="15" s="1"/>
  <c r="Q226" i="15" s="1"/>
  <c r="F226" i="15"/>
  <c r="U225" i="15"/>
  <c r="O225" i="15"/>
  <c r="F225" i="15"/>
  <c r="G225" i="15" s="1"/>
  <c r="E221" i="17" s="1"/>
  <c r="F224" i="15"/>
  <c r="H224" i="15" s="1"/>
  <c r="F223" i="15"/>
  <c r="F222" i="15"/>
  <c r="G222" i="15" s="1"/>
  <c r="E218" i="17" s="1"/>
  <c r="F221" i="15"/>
  <c r="U220" i="15"/>
  <c r="O220" i="15"/>
  <c r="F220" i="15"/>
  <c r="U219" i="15"/>
  <c r="O219" i="15"/>
  <c r="F219" i="15"/>
  <c r="G219" i="15" s="1"/>
  <c r="E215" i="17" s="1"/>
  <c r="U218" i="15"/>
  <c r="O218" i="15"/>
  <c r="F406" i="15" s="1"/>
  <c r="F218" i="15"/>
  <c r="G218" i="15" s="1"/>
  <c r="E214" i="17" s="1"/>
  <c r="U217" i="15"/>
  <c r="O217" i="15"/>
  <c r="F217" i="15"/>
  <c r="H217" i="15" s="1"/>
  <c r="U216" i="15"/>
  <c r="O216" i="15"/>
  <c r="F216" i="15"/>
  <c r="G216" i="15" s="1"/>
  <c r="E212" i="17" s="1"/>
  <c r="U215" i="15"/>
  <c r="O215" i="15"/>
  <c r="F215" i="15"/>
  <c r="H215" i="15" s="1"/>
  <c r="U214" i="15"/>
  <c r="O214" i="15"/>
  <c r="F402" i="15" s="1"/>
  <c r="F214" i="15"/>
  <c r="U213" i="15"/>
  <c r="O213" i="15"/>
  <c r="F213" i="15"/>
  <c r="H213" i="15" s="1"/>
  <c r="U212" i="15"/>
  <c r="O212" i="15"/>
  <c r="F212" i="15"/>
  <c r="U211" i="15"/>
  <c r="O211" i="15"/>
  <c r="F211" i="15"/>
  <c r="F210" i="15"/>
  <c r="H210" i="15" s="1"/>
  <c r="F209" i="15"/>
  <c r="G209" i="15" s="1"/>
  <c r="E205" i="17" s="1"/>
  <c r="F208" i="15"/>
  <c r="F207" i="15"/>
  <c r="G207" i="15" s="1"/>
  <c r="E203" i="17" s="1"/>
  <c r="U206" i="15"/>
  <c r="O206" i="15"/>
  <c r="F398" i="15" s="1"/>
  <c r="F206" i="15"/>
  <c r="H206" i="15" s="1"/>
  <c r="U205" i="15"/>
  <c r="O205" i="15"/>
  <c r="F205" i="15"/>
  <c r="U204" i="15"/>
  <c r="O204" i="15"/>
  <c r="P204" i="15" s="1"/>
  <c r="Q204" i="15" s="1"/>
  <c r="R204" i="15" s="1"/>
  <c r="F204" i="15"/>
  <c r="G204" i="15" s="1"/>
  <c r="E200" i="17" s="1"/>
  <c r="U203" i="15"/>
  <c r="O203" i="15"/>
  <c r="F395" i="15" s="1"/>
  <c r="F203" i="15"/>
  <c r="G203" i="15" s="1"/>
  <c r="E199" i="17" s="1"/>
  <c r="U202" i="15"/>
  <c r="O202" i="15"/>
  <c r="F202" i="15"/>
  <c r="H202" i="15" s="1"/>
  <c r="U201" i="15"/>
  <c r="O201" i="15"/>
  <c r="F201" i="15"/>
  <c r="U200" i="15"/>
  <c r="O200" i="15"/>
  <c r="F392" i="15" s="1"/>
  <c r="F200" i="15"/>
  <c r="H200" i="15" s="1"/>
  <c r="U199" i="15"/>
  <c r="O199" i="15"/>
  <c r="P199" i="15" s="1"/>
  <c r="Q199" i="15" s="1"/>
  <c r="F199" i="15"/>
  <c r="G199" i="15" s="1"/>
  <c r="E195" i="17" s="1"/>
  <c r="U198" i="15"/>
  <c r="O198" i="15"/>
  <c r="F390" i="15" s="1"/>
  <c r="F198" i="15"/>
  <c r="U197" i="15"/>
  <c r="O197" i="15"/>
  <c r="P197" i="15" s="1"/>
  <c r="Q197" i="15" s="1"/>
  <c r="R197" i="15" s="1"/>
  <c r="F197" i="15"/>
  <c r="U196" i="15"/>
  <c r="O196" i="15"/>
  <c r="F388" i="15" s="1"/>
  <c r="F196" i="15"/>
  <c r="G196" i="15" s="1"/>
  <c r="E192" i="17" s="1"/>
  <c r="U195" i="15"/>
  <c r="O195" i="15"/>
  <c r="F195" i="15"/>
  <c r="F194" i="15"/>
  <c r="G194" i="15" s="1"/>
  <c r="E190" i="17" s="1"/>
  <c r="F193" i="15"/>
  <c r="G193" i="15" s="1"/>
  <c r="E189" i="17" s="1"/>
  <c r="F192" i="15"/>
  <c r="G192" i="15" s="1"/>
  <c r="E188" i="17" s="1"/>
  <c r="F191" i="15"/>
  <c r="H191" i="15" s="1"/>
  <c r="U190" i="15"/>
  <c r="O190" i="15"/>
  <c r="F190" i="15"/>
  <c r="H190" i="15" s="1"/>
  <c r="B186" i="16" s="1"/>
  <c r="U189" i="15"/>
  <c r="O189" i="15"/>
  <c r="F385" i="15" s="1"/>
  <c r="F189" i="15"/>
  <c r="U188" i="15"/>
  <c r="O188" i="15"/>
  <c r="F384" i="15" s="1"/>
  <c r="F188" i="15"/>
  <c r="G188" i="15" s="1"/>
  <c r="E184" i="17" s="1"/>
  <c r="U187" i="15"/>
  <c r="O187" i="15"/>
  <c r="F383" i="15" s="1"/>
  <c r="F187" i="15"/>
  <c r="G187" i="15" s="1"/>
  <c r="E183" i="17" s="1"/>
  <c r="U186" i="15"/>
  <c r="O186" i="15"/>
  <c r="F382" i="15" s="1"/>
  <c r="F186" i="15"/>
  <c r="G186" i="15" s="1"/>
  <c r="E182" i="17" s="1"/>
  <c r="U185" i="15"/>
  <c r="O185" i="15"/>
  <c r="F185" i="15"/>
  <c r="U184" i="15"/>
  <c r="O184" i="15"/>
  <c r="P184" i="15" s="1"/>
  <c r="Q184" i="15" s="1"/>
  <c r="F184" i="15"/>
  <c r="U183" i="15"/>
  <c r="O183" i="15"/>
  <c r="F379" i="15" s="1"/>
  <c r="F183" i="15"/>
  <c r="G183" i="15" s="1"/>
  <c r="E179" i="17" s="1"/>
  <c r="U182" i="15"/>
  <c r="O182" i="15"/>
  <c r="F182" i="15"/>
  <c r="U181" i="15"/>
  <c r="O181" i="15"/>
  <c r="F377" i="15" s="1"/>
  <c r="F181" i="15"/>
  <c r="H181" i="15" s="1"/>
  <c r="U180" i="15"/>
  <c r="O180" i="15"/>
  <c r="F376" i="15" s="1"/>
  <c r="F180" i="15"/>
  <c r="G180" i="15" s="1"/>
  <c r="E176" i="17" s="1"/>
  <c r="U179" i="15"/>
  <c r="O179" i="15"/>
  <c r="P179" i="15" s="1"/>
  <c r="Q179" i="15" s="1"/>
  <c r="F179" i="15"/>
  <c r="G179" i="15" s="1"/>
  <c r="E175" i="17" s="1"/>
  <c r="F178" i="15"/>
  <c r="F177" i="15"/>
  <c r="H177" i="15" s="1"/>
  <c r="B173" i="16" s="1"/>
  <c r="F176" i="15"/>
  <c r="F175" i="15"/>
  <c r="U174" i="15"/>
  <c r="O174" i="15"/>
  <c r="F174" i="15"/>
  <c r="U173" i="15"/>
  <c r="O173" i="15"/>
  <c r="P173" i="15" s="1"/>
  <c r="Q173" i="15" s="1"/>
  <c r="F173" i="15"/>
  <c r="U172" i="15"/>
  <c r="O172" i="15"/>
  <c r="P172" i="15" s="1"/>
  <c r="Q172" i="15" s="1"/>
  <c r="F172" i="15"/>
  <c r="G172" i="15" s="1"/>
  <c r="E168" i="17" s="1"/>
  <c r="U171" i="15"/>
  <c r="O171" i="15"/>
  <c r="P171" i="15" s="1"/>
  <c r="Q171" i="15" s="1"/>
  <c r="F171" i="15"/>
  <c r="H171" i="15" s="1"/>
  <c r="U170" i="15"/>
  <c r="O170" i="15"/>
  <c r="F170" i="15"/>
  <c r="H170" i="15" s="1"/>
  <c r="U169" i="15"/>
  <c r="O169" i="15"/>
  <c r="F169" i="15"/>
  <c r="H169" i="15" s="1"/>
  <c r="U168" i="15"/>
  <c r="O168" i="15"/>
  <c r="F368" i="15" s="1"/>
  <c r="F168" i="15"/>
  <c r="U167" i="15"/>
  <c r="O167" i="15"/>
  <c r="F167" i="15"/>
  <c r="G167" i="15" s="1"/>
  <c r="E163" i="17" s="1"/>
  <c r="U166" i="15"/>
  <c r="O166" i="15"/>
  <c r="P166" i="15" s="1"/>
  <c r="Q166" i="15" s="1"/>
  <c r="R166" i="15" s="1"/>
  <c r="F166" i="15"/>
  <c r="U165" i="15"/>
  <c r="O165" i="15"/>
  <c r="F165" i="15"/>
  <c r="F164" i="15"/>
  <c r="G164" i="15" s="1"/>
  <c r="E160" i="17" s="1"/>
  <c r="F163" i="15"/>
  <c r="G163" i="15" s="1"/>
  <c r="E159" i="17" s="1"/>
  <c r="F162" i="15"/>
  <c r="H162" i="15" s="1"/>
  <c r="B158" i="16" s="1"/>
  <c r="F161" i="15"/>
  <c r="H161" i="15" s="1"/>
  <c r="U160" i="15"/>
  <c r="O160" i="15"/>
  <c r="P160" i="15" s="1"/>
  <c r="Q160" i="15" s="1"/>
  <c r="F160" i="15"/>
  <c r="H160" i="15" s="1"/>
  <c r="B156" i="16" s="1"/>
  <c r="U159" i="15"/>
  <c r="O159" i="15"/>
  <c r="F363" i="15" s="1"/>
  <c r="F159" i="15"/>
  <c r="G159" i="15" s="1"/>
  <c r="E155" i="17" s="1"/>
  <c r="U158" i="15"/>
  <c r="O158" i="15"/>
  <c r="P158" i="15" s="1"/>
  <c r="Q158" i="15" s="1"/>
  <c r="F158" i="15"/>
  <c r="G158" i="15" s="1"/>
  <c r="E154" i="17" s="1"/>
  <c r="U157" i="15"/>
  <c r="O157" i="15"/>
  <c r="F157" i="15"/>
  <c r="G157" i="15" s="1"/>
  <c r="E153" i="17" s="1"/>
  <c r="U156" i="15"/>
  <c r="O156" i="15"/>
  <c r="P156" i="15" s="1"/>
  <c r="Q156" i="15" s="1"/>
  <c r="F156" i="15"/>
  <c r="H156" i="15" s="1"/>
  <c r="U155" i="15"/>
  <c r="O155" i="15"/>
  <c r="P155" i="15" s="1"/>
  <c r="Q155" i="15" s="1"/>
  <c r="R155" i="15" s="1"/>
  <c r="F155" i="15"/>
  <c r="H155" i="15" s="1"/>
  <c r="B151" i="16" s="1"/>
  <c r="U154" i="15"/>
  <c r="O154" i="15"/>
  <c r="F154" i="15"/>
  <c r="H154" i="15" s="1"/>
  <c r="U153" i="15"/>
  <c r="O153" i="15"/>
  <c r="F357" i="15" s="1"/>
  <c r="F153" i="15"/>
  <c r="G153" i="15" s="1"/>
  <c r="E149" i="17" s="1"/>
  <c r="U152" i="15"/>
  <c r="O152" i="15"/>
  <c r="P152" i="15" s="1"/>
  <c r="Q152" i="15" s="1"/>
  <c r="F152" i="15"/>
  <c r="G152" i="15" s="1"/>
  <c r="E148" i="17" s="1"/>
  <c r="U151" i="15"/>
  <c r="O151" i="15"/>
  <c r="P151" i="15" s="1"/>
  <c r="Q151" i="15" s="1"/>
  <c r="F151" i="15"/>
  <c r="H151" i="15" s="1"/>
  <c r="F150" i="15"/>
  <c r="G150" i="15" s="1"/>
  <c r="E146" i="17" s="1"/>
  <c r="F149" i="15"/>
  <c r="F148" i="15"/>
  <c r="F147" i="15"/>
  <c r="G147" i="15" s="1"/>
  <c r="E143" i="17" s="1"/>
  <c r="U146" i="15"/>
  <c r="O146" i="15"/>
  <c r="P146" i="15" s="1"/>
  <c r="Q146" i="15" s="1"/>
  <c r="F146" i="15"/>
  <c r="H146" i="15" s="1"/>
  <c r="U145" i="15"/>
  <c r="O145" i="15"/>
  <c r="F120" i="15" s="1"/>
  <c r="F145" i="15"/>
  <c r="G145" i="15" s="1"/>
  <c r="E141" i="17" s="1"/>
  <c r="U144" i="15"/>
  <c r="O144" i="15"/>
  <c r="F144" i="15"/>
  <c r="G144" i="15" s="1"/>
  <c r="E140" i="17" s="1"/>
  <c r="U143" i="15"/>
  <c r="O143" i="15"/>
  <c r="F143" i="15"/>
  <c r="H143" i="15" s="1"/>
  <c r="U142" i="15"/>
  <c r="O142" i="15"/>
  <c r="F142" i="15"/>
  <c r="U141" i="15"/>
  <c r="O141" i="15"/>
  <c r="J141" i="15"/>
  <c r="E137" i="16" s="1"/>
  <c r="E141" i="15"/>
  <c r="U140" i="15"/>
  <c r="O140" i="15"/>
  <c r="F110" i="15" s="1"/>
  <c r="J140" i="15"/>
  <c r="E136" i="16" s="1"/>
  <c r="E140" i="15"/>
  <c r="U139" i="15"/>
  <c r="O139" i="15"/>
  <c r="F109" i="15" s="1"/>
  <c r="F139" i="15"/>
  <c r="H139" i="15" s="1"/>
  <c r="U138" i="15"/>
  <c r="O138" i="15"/>
  <c r="P138" i="15" s="1"/>
  <c r="Q138" i="15" s="1"/>
  <c r="J138" i="15"/>
  <c r="E134" i="16" s="1"/>
  <c r="E138" i="15"/>
  <c r="U137" i="15"/>
  <c r="O137" i="15"/>
  <c r="F106" i="15" s="1"/>
  <c r="J137" i="15"/>
  <c r="E133" i="16" s="1"/>
  <c r="E137" i="15"/>
  <c r="U136" i="15"/>
  <c r="O136" i="15"/>
  <c r="F104" i="15" s="1"/>
  <c r="H104" i="15" s="1"/>
  <c r="F136" i="15"/>
  <c r="J135" i="15"/>
  <c r="E131" i="16" s="1"/>
  <c r="E135" i="15"/>
  <c r="J134" i="15"/>
  <c r="E130" i="16" s="1"/>
  <c r="E134" i="15"/>
  <c r="F133" i="15"/>
  <c r="H133" i="15" s="1"/>
  <c r="B129" i="16" s="1"/>
  <c r="F132" i="15"/>
  <c r="G132" i="15" s="1"/>
  <c r="E128" i="17" s="1"/>
  <c r="W131" i="15"/>
  <c r="U131" i="15"/>
  <c r="O131" i="15"/>
  <c r="P131" i="15" s="1"/>
  <c r="Q131" i="15" s="1"/>
  <c r="J131" i="15"/>
  <c r="E127" i="16" s="1"/>
  <c r="E131" i="15"/>
  <c r="W130" i="15"/>
  <c r="U130" i="15"/>
  <c r="O130" i="15"/>
  <c r="P130" i="15" s="1"/>
  <c r="Q130" i="15" s="1"/>
  <c r="F130" i="15"/>
  <c r="G130" i="15" s="1"/>
  <c r="E126" i="17" s="1"/>
  <c r="W129" i="15"/>
  <c r="U129" i="15"/>
  <c r="O129" i="15"/>
  <c r="P129" i="15" s="1"/>
  <c r="Q129" i="15" s="1"/>
  <c r="J129" i="15"/>
  <c r="E125" i="16" s="1"/>
  <c r="E129" i="15"/>
  <c r="W128" i="15"/>
  <c r="U128" i="15"/>
  <c r="O128" i="15"/>
  <c r="P128" i="15" s="1"/>
  <c r="Q128" i="15" s="1"/>
  <c r="F128" i="15"/>
  <c r="H128" i="15" s="1"/>
  <c r="B124" i="16" s="1"/>
  <c r="W127" i="15"/>
  <c r="U127" i="15"/>
  <c r="O127" i="15"/>
  <c r="P127" i="15" s="1"/>
  <c r="Q127" i="15" s="1"/>
  <c r="J127" i="15"/>
  <c r="E123" i="16" s="1"/>
  <c r="E127" i="15"/>
  <c r="W126" i="15"/>
  <c r="U126" i="15"/>
  <c r="O126" i="15"/>
  <c r="P126" i="15" s="1"/>
  <c r="Q126" i="15" s="1"/>
  <c r="J126" i="15"/>
  <c r="E122" i="16" s="1"/>
  <c r="E126" i="15"/>
  <c r="W125" i="15"/>
  <c r="U125" i="15"/>
  <c r="O125" i="15"/>
  <c r="P125" i="15" s="1"/>
  <c r="Q125" i="15" s="1"/>
  <c r="F125" i="15"/>
  <c r="W124" i="15"/>
  <c r="U124" i="15"/>
  <c r="O124" i="15"/>
  <c r="P124" i="15" s="1"/>
  <c r="Q124" i="15" s="1"/>
  <c r="J124" i="15"/>
  <c r="E120" i="16" s="1"/>
  <c r="E124" i="15"/>
  <c r="W123" i="15"/>
  <c r="J123" i="15"/>
  <c r="E119" i="16" s="1"/>
  <c r="E123" i="15"/>
  <c r="W122" i="15"/>
  <c r="J122" i="15"/>
  <c r="E118" i="16" s="1"/>
  <c r="E122" i="15"/>
  <c r="W121" i="15"/>
  <c r="J121" i="15"/>
  <c r="E117" i="16" s="1"/>
  <c r="E121" i="15"/>
  <c r="W120" i="15"/>
  <c r="J120" i="15"/>
  <c r="E116" i="16" s="1"/>
  <c r="E120" i="15"/>
  <c r="W119" i="15"/>
  <c r="U119" i="15"/>
  <c r="O119" i="15"/>
  <c r="P119" i="15" s="1"/>
  <c r="Q119" i="15" s="1"/>
  <c r="R119" i="15" s="1"/>
  <c r="F119" i="15"/>
  <c r="G119" i="15" s="1"/>
  <c r="E115" i="17" s="1"/>
  <c r="W118" i="15"/>
  <c r="U118" i="15"/>
  <c r="O118" i="15"/>
  <c r="P118" i="15" s="1"/>
  <c r="Q118" i="15" s="1"/>
  <c r="R118" i="15" s="1"/>
  <c r="J118" i="15"/>
  <c r="E114" i="16" s="1"/>
  <c r="E118" i="15"/>
  <c r="W117" i="15"/>
  <c r="U117" i="15"/>
  <c r="O117" i="15"/>
  <c r="P117" i="15" s="1"/>
  <c r="Q117" i="15" s="1"/>
  <c r="F117" i="15"/>
  <c r="W116" i="15"/>
  <c r="U116" i="15"/>
  <c r="O116" i="15"/>
  <c r="P116" i="15" s="1"/>
  <c r="Q116" i="15" s="1"/>
  <c r="J116" i="15"/>
  <c r="E112" i="16" s="1"/>
  <c r="E116" i="15"/>
  <c r="W115" i="15"/>
  <c r="U115" i="15"/>
  <c r="O115" i="15"/>
  <c r="P115" i="15" s="1"/>
  <c r="Q115" i="15" s="1"/>
  <c r="J115" i="15"/>
  <c r="E111" i="16" s="1"/>
  <c r="E115" i="15"/>
  <c r="W114" i="15"/>
  <c r="U114" i="15"/>
  <c r="O114" i="15"/>
  <c r="P114" i="15" s="1"/>
  <c r="Q114" i="15" s="1"/>
  <c r="F114" i="15"/>
  <c r="H114" i="15" s="1"/>
  <c r="U113" i="15"/>
  <c r="O113" i="15"/>
  <c r="P113" i="15" s="1"/>
  <c r="F113" i="15"/>
  <c r="G113" i="15" s="1"/>
  <c r="E109" i="17" s="1"/>
  <c r="U112" i="15"/>
  <c r="O112" i="15"/>
  <c r="P112" i="15" s="1"/>
  <c r="F112" i="15"/>
  <c r="H112" i="15" s="1"/>
  <c r="B108" i="16" s="1"/>
  <c r="W111" i="15"/>
  <c r="J111" i="15"/>
  <c r="E107" i="16" s="1"/>
  <c r="E111" i="15"/>
  <c r="W110" i="15"/>
  <c r="J110" i="15"/>
  <c r="E106" i="16" s="1"/>
  <c r="E110" i="15"/>
  <c r="W109" i="15"/>
  <c r="J109" i="15"/>
  <c r="E105" i="16" s="1"/>
  <c r="E109" i="15"/>
  <c r="W108" i="15"/>
  <c r="F108" i="15"/>
  <c r="G108" i="15" s="1"/>
  <c r="E104" i="17" s="1"/>
  <c r="W107" i="15"/>
  <c r="U107" i="15"/>
  <c r="O107" i="15"/>
  <c r="P107" i="15" s="1"/>
  <c r="Q107" i="15" s="1"/>
  <c r="J107" i="15"/>
  <c r="E103" i="16" s="1"/>
  <c r="E107" i="15"/>
  <c r="W106" i="15"/>
  <c r="U106" i="15"/>
  <c r="O106" i="15"/>
  <c r="P106" i="15" s="1"/>
  <c r="Q106" i="15" s="1"/>
  <c r="J106" i="15"/>
  <c r="E102" i="16" s="1"/>
  <c r="E106" i="15"/>
  <c r="U105" i="15"/>
  <c r="O105" i="15"/>
  <c r="P105" i="15" s="1"/>
  <c r="Q105" i="15" s="1"/>
  <c r="F105" i="15"/>
  <c r="G105" i="15" s="1"/>
  <c r="E101" i="17" s="1"/>
  <c r="U104" i="15"/>
  <c r="O104" i="15"/>
  <c r="J104" i="15"/>
  <c r="E100" i="16" s="1"/>
  <c r="U103" i="15"/>
  <c r="O103" i="15"/>
  <c r="F103" i="15"/>
  <c r="G103" i="15" s="1"/>
  <c r="E99" i="17" s="1"/>
  <c r="U102" i="15"/>
  <c r="O102" i="15"/>
  <c r="F40" i="15" s="1"/>
  <c r="F102" i="15"/>
  <c r="W101" i="15"/>
  <c r="R101" i="15"/>
  <c r="F101" i="15"/>
  <c r="H101" i="15" s="1"/>
  <c r="W100" i="15"/>
  <c r="F100" i="15"/>
  <c r="H100" i="15" s="1"/>
  <c r="B96" i="16" s="1"/>
  <c r="W99" i="15"/>
  <c r="F99" i="15"/>
  <c r="G99" i="15" s="1"/>
  <c r="E95" i="17" s="1"/>
  <c r="W98" i="15"/>
  <c r="J98" i="15"/>
  <c r="E94" i="16" s="1"/>
  <c r="E98" i="15"/>
  <c r="W97" i="15"/>
  <c r="U97" i="15"/>
  <c r="V97" i="15" s="1"/>
  <c r="J97" i="15"/>
  <c r="E93" i="16" s="1"/>
  <c r="E97" i="15"/>
  <c r="W96" i="15"/>
  <c r="U96" i="15"/>
  <c r="P96" i="15"/>
  <c r="Q96" i="15" s="1"/>
  <c r="J96" i="15"/>
  <c r="E92" i="16" s="1"/>
  <c r="E96" i="15"/>
  <c r="W95" i="15"/>
  <c r="U95" i="15"/>
  <c r="P95" i="15"/>
  <c r="Q95" i="15" s="1"/>
  <c r="J95" i="15"/>
  <c r="E91" i="16" s="1"/>
  <c r="E95" i="15"/>
  <c r="W94" i="15"/>
  <c r="U94" i="15"/>
  <c r="P94" i="15"/>
  <c r="Q94" i="15" s="1"/>
  <c r="F94" i="15"/>
  <c r="H94" i="15" s="1"/>
  <c r="B90" i="16" s="1"/>
  <c r="W93" i="15"/>
  <c r="U93" i="15"/>
  <c r="P93" i="15"/>
  <c r="Q93" i="15" s="1"/>
  <c r="F93" i="15"/>
  <c r="H93" i="15" s="1"/>
  <c r="W92" i="15"/>
  <c r="U92" i="15"/>
  <c r="P92" i="15"/>
  <c r="Q92" i="15" s="1"/>
  <c r="F92" i="15"/>
  <c r="G92" i="15" s="1"/>
  <c r="E88" i="17" s="1"/>
  <c r="W91" i="15"/>
  <c r="U91" i="15"/>
  <c r="P91" i="15"/>
  <c r="Q91" i="15" s="1"/>
  <c r="F91" i="15"/>
  <c r="H91" i="15" s="1"/>
  <c r="W90" i="15"/>
  <c r="U90" i="15"/>
  <c r="P90" i="15"/>
  <c r="Q90" i="15" s="1"/>
  <c r="F90" i="15"/>
  <c r="G90" i="15" s="1"/>
  <c r="E86" i="17" s="1"/>
  <c r="W89" i="15"/>
  <c r="F89" i="15"/>
  <c r="H89" i="15" s="1"/>
  <c r="B85" i="16" s="1"/>
  <c r="W88" i="15"/>
  <c r="F88" i="15"/>
  <c r="G88" i="15" s="1"/>
  <c r="E84" i="17" s="1"/>
  <c r="W87" i="15"/>
  <c r="F87" i="15"/>
  <c r="W86" i="15"/>
  <c r="F86" i="15"/>
  <c r="G86" i="15" s="1"/>
  <c r="E82" i="17" s="1"/>
  <c r="U85" i="15"/>
  <c r="P85" i="15"/>
  <c r="Q85" i="15" s="1"/>
  <c r="F85" i="15"/>
  <c r="H85" i="15" s="1"/>
  <c r="U84" i="15"/>
  <c r="P84" i="15"/>
  <c r="Q84" i="15" s="1"/>
  <c r="F84" i="15"/>
  <c r="G84" i="15" s="1"/>
  <c r="E80" i="17" s="1"/>
  <c r="U83" i="15"/>
  <c r="P83" i="15"/>
  <c r="Q83" i="15" s="1"/>
  <c r="F83" i="15"/>
  <c r="H83" i="15" s="1"/>
  <c r="U82" i="15"/>
  <c r="P82" i="15"/>
  <c r="Q82" i="15" s="1"/>
  <c r="F82" i="15"/>
  <c r="G82" i="15" s="1"/>
  <c r="E78" i="17" s="1"/>
  <c r="U81" i="15"/>
  <c r="P81" i="15"/>
  <c r="F81" i="15"/>
  <c r="U80" i="15"/>
  <c r="P80" i="15"/>
  <c r="Q80" i="15" s="1"/>
  <c r="F80" i="15"/>
  <c r="H80" i="15" s="1"/>
  <c r="U79" i="15"/>
  <c r="P79" i="15"/>
  <c r="Q79" i="15" s="1"/>
  <c r="F79" i="15"/>
  <c r="G79" i="15" s="1"/>
  <c r="E75" i="17" s="1"/>
  <c r="U78" i="15"/>
  <c r="P78" i="15"/>
  <c r="Q78" i="15" s="1"/>
  <c r="F78" i="15"/>
  <c r="G78" i="15" s="1"/>
  <c r="E74" i="17" s="1"/>
  <c r="U77" i="15"/>
  <c r="P77" i="15"/>
  <c r="Q77" i="15" s="1"/>
  <c r="F77" i="15"/>
  <c r="H77" i="15" s="1"/>
  <c r="W76" i="15"/>
  <c r="R76" i="15"/>
  <c r="F76" i="15"/>
  <c r="G76" i="15" s="1"/>
  <c r="E72" i="17" s="1"/>
  <c r="W75" i="15"/>
  <c r="F75" i="15"/>
  <c r="G75" i="15" s="1"/>
  <c r="E71" i="17" s="1"/>
  <c r="W74" i="15"/>
  <c r="F74" i="15"/>
  <c r="W73" i="15"/>
  <c r="F73" i="15"/>
  <c r="H73" i="15" s="1"/>
  <c r="W72" i="15"/>
  <c r="U72" i="15"/>
  <c r="O72" i="15"/>
  <c r="P72" i="15" s="1"/>
  <c r="Q72" i="15" s="1"/>
  <c r="F72" i="15"/>
  <c r="W71" i="15"/>
  <c r="U71" i="15"/>
  <c r="O71" i="15"/>
  <c r="P71" i="15" s="1"/>
  <c r="Q71" i="15" s="1"/>
  <c r="F71" i="15"/>
  <c r="H71" i="15" s="1"/>
  <c r="W70" i="15"/>
  <c r="U70" i="15"/>
  <c r="O70" i="15"/>
  <c r="P70" i="15" s="1"/>
  <c r="Q70" i="15" s="1"/>
  <c r="F70" i="15"/>
  <c r="H70" i="15" s="1"/>
  <c r="W69" i="15"/>
  <c r="U69" i="15"/>
  <c r="O69" i="15"/>
  <c r="P69" i="15" s="1"/>
  <c r="Q69" i="15" s="1"/>
  <c r="F69" i="15"/>
  <c r="H69" i="15" s="1"/>
  <c r="B65" i="16" s="1"/>
  <c r="W68" i="15"/>
  <c r="U68" i="15"/>
  <c r="O68" i="15"/>
  <c r="P68" i="15" s="1"/>
  <c r="Q68" i="15" s="1"/>
  <c r="V68" i="15" s="1"/>
  <c r="F68" i="15"/>
  <c r="H68" i="15" s="1"/>
  <c r="B64" i="16" s="1"/>
  <c r="W67" i="15"/>
  <c r="U67" i="15"/>
  <c r="O67" i="15"/>
  <c r="P67" i="15" s="1"/>
  <c r="Q67" i="15" s="1"/>
  <c r="F67" i="15"/>
  <c r="G67" i="15" s="1"/>
  <c r="E63" i="17" s="1"/>
  <c r="W66" i="15"/>
  <c r="U66" i="15"/>
  <c r="O66" i="15"/>
  <c r="P66" i="15" s="1"/>
  <c r="Q66" i="15" s="1"/>
  <c r="J66" i="15"/>
  <c r="E62" i="16" s="1"/>
  <c r="E66" i="15"/>
  <c r="W65" i="15"/>
  <c r="U65" i="15"/>
  <c r="O65" i="15"/>
  <c r="P65" i="15" s="1"/>
  <c r="Q65" i="15" s="1"/>
  <c r="F65" i="15"/>
  <c r="U64" i="15"/>
  <c r="O64" i="15"/>
  <c r="F36" i="15" s="1"/>
  <c r="F64" i="15"/>
  <c r="G64" i="15" s="1"/>
  <c r="E60" i="17" s="1"/>
  <c r="U63" i="15"/>
  <c r="O63" i="15"/>
  <c r="P63" i="15" s="1"/>
  <c r="Q63" i="15" s="1"/>
  <c r="F63" i="15"/>
  <c r="H63" i="15" s="1"/>
  <c r="U62" i="15"/>
  <c r="O62" i="15"/>
  <c r="P62" i="15" s="1"/>
  <c r="Q62" i="15" s="1"/>
  <c r="F62" i="15"/>
  <c r="U61" i="15"/>
  <c r="O61" i="15"/>
  <c r="F61" i="15"/>
  <c r="H61" i="15" s="1"/>
  <c r="U60" i="15"/>
  <c r="O60" i="15"/>
  <c r="P60" i="15" s="1"/>
  <c r="Q60" i="15" s="1"/>
  <c r="F60" i="15"/>
  <c r="H60" i="15" s="1"/>
  <c r="B56" i="16" s="1"/>
  <c r="W59" i="15"/>
  <c r="R59" i="15"/>
  <c r="F59" i="15"/>
  <c r="H59" i="15" s="1"/>
  <c r="W58" i="15"/>
  <c r="J58" i="15"/>
  <c r="E54" i="16" s="1"/>
  <c r="E58" i="15"/>
  <c r="W57" i="15"/>
  <c r="J57" i="15"/>
  <c r="E53" i="16" s="1"/>
  <c r="E57" i="15"/>
  <c r="W56" i="15"/>
  <c r="F56" i="15"/>
  <c r="W55" i="15"/>
  <c r="U55" i="15"/>
  <c r="O55" i="15"/>
  <c r="P55" i="15" s="1"/>
  <c r="Q55" i="15" s="1"/>
  <c r="F55" i="15"/>
  <c r="W54" i="15"/>
  <c r="U54" i="15"/>
  <c r="O54" i="15"/>
  <c r="P54" i="15" s="1"/>
  <c r="Q54" i="15" s="1"/>
  <c r="F54" i="15"/>
  <c r="G54" i="15" s="1"/>
  <c r="E50" i="17" s="1"/>
  <c r="W53" i="15"/>
  <c r="U53" i="15"/>
  <c r="O53" i="15"/>
  <c r="P53" i="15" s="1"/>
  <c r="Q53" i="15" s="1"/>
  <c r="F53" i="15"/>
  <c r="W52" i="15"/>
  <c r="U52" i="15"/>
  <c r="O52" i="15"/>
  <c r="P52" i="15" s="1"/>
  <c r="Q52" i="15" s="1"/>
  <c r="F52" i="15"/>
  <c r="H52" i="15" s="1"/>
  <c r="W51" i="15"/>
  <c r="U51" i="15"/>
  <c r="O51" i="15"/>
  <c r="P51" i="15" s="1"/>
  <c r="Q51" i="15" s="1"/>
  <c r="F51" i="15"/>
  <c r="W50" i="15"/>
  <c r="U50" i="15"/>
  <c r="O50" i="15"/>
  <c r="P50" i="15" s="1"/>
  <c r="Q50" i="15" s="1"/>
  <c r="F50" i="15"/>
  <c r="H50" i="15" s="1"/>
  <c r="W49" i="15"/>
  <c r="U49" i="15"/>
  <c r="O49" i="15"/>
  <c r="P49" i="15" s="1"/>
  <c r="Q49" i="15" s="1"/>
  <c r="F49" i="15"/>
  <c r="G49" i="15" s="1"/>
  <c r="E45" i="17" s="1"/>
  <c r="W48" i="15"/>
  <c r="U48" i="15"/>
  <c r="O48" i="15"/>
  <c r="P48" i="15" s="1"/>
  <c r="Q48" i="15" s="1"/>
  <c r="F48" i="15"/>
  <c r="H48" i="15" s="1"/>
  <c r="B44" i="16" s="1"/>
  <c r="W47" i="15"/>
  <c r="R47" i="15"/>
  <c r="J47" i="15"/>
  <c r="E43" i="16" s="1"/>
  <c r="E47" i="15"/>
  <c r="W46" i="15"/>
  <c r="J46" i="15"/>
  <c r="E42" i="16" s="1"/>
  <c r="E46" i="15"/>
  <c r="W45" i="15"/>
  <c r="F45" i="15"/>
  <c r="G45" i="15" s="1"/>
  <c r="E41" i="17" s="1"/>
  <c r="W44" i="15"/>
  <c r="F44" i="15"/>
  <c r="H44" i="15" s="1"/>
  <c r="U43" i="15"/>
  <c r="O43" i="15"/>
  <c r="P43" i="15" s="1"/>
  <c r="Q43" i="15" s="1"/>
  <c r="J43" i="15"/>
  <c r="E39" i="16" s="1"/>
  <c r="E43" i="15"/>
  <c r="U42" i="15"/>
  <c r="O42" i="15"/>
  <c r="P42" i="15" s="1"/>
  <c r="J42" i="15"/>
  <c r="E38" i="16" s="1"/>
  <c r="E42" i="15"/>
  <c r="U41" i="15"/>
  <c r="O41" i="15"/>
  <c r="J41" i="15"/>
  <c r="E37" i="16" s="1"/>
  <c r="E41" i="15"/>
  <c r="U40" i="15"/>
  <c r="O40" i="15"/>
  <c r="P40" i="15" s="1"/>
  <c r="Q40" i="15" s="1"/>
  <c r="J40" i="15"/>
  <c r="E36" i="16" s="1"/>
  <c r="E40" i="15"/>
  <c r="U39" i="15"/>
  <c r="O39" i="15"/>
  <c r="F96" i="15" s="1"/>
  <c r="F39" i="15"/>
  <c r="U38" i="15"/>
  <c r="O38" i="15"/>
  <c r="F95" i="15" s="1"/>
  <c r="J38" i="15"/>
  <c r="E34" i="16" s="1"/>
  <c r="E38" i="15"/>
  <c r="U37" i="15"/>
  <c r="O37" i="15"/>
  <c r="F66" i="15" s="1"/>
  <c r="J37" i="15"/>
  <c r="E33" i="16" s="1"/>
  <c r="E37" i="15"/>
  <c r="U36" i="15"/>
  <c r="O36" i="15"/>
  <c r="F58" i="15" s="1"/>
  <c r="J36" i="15"/>
  <c r="E32" i="16" s="1"/>
  <c r="E36" i="15"/>
  <c r="U35" i="15"/>
  <c r="O35" i="15"/>
  <c r="P35" i="15" s="1"/>
  <c r="J35" i="15"/>
  <c r="E31" i="16" s="1"/>
  <c r="E35" i="15"/>
  <c r="W63" i="15" s="1"/>
  <c r="U34" i="15"/>
  <c r="O34" i="15"/>
  <c r="F15" i="15" s="1"/>
  <c r="J34" i="15"/>
  <c r="E30" i="16" s="1"/>
  <c r="E34" i="15"/>
  <c r="W33" i="15"/>
  <c r="R33" i="15"/>
  <c r="J33" i="15"/>
  <c r="E29" i="16" s="1"/>
  <c r="E33" i="15"/>
  <c r="W32" i="15"/>
  <c r="J32" i="15"/>
  <c r="E28" i="16" s="1"/>
  <c r="E32" i="15"/>
  <c r="W31" i="15"/>
  <c r="F31" i="15"/>
  <c r="H31" i="15" s="1"/>
  <c r="B27" i="16" s="1"/>
  <c r="W30" i="15"/>
  <c r="F30" i="15"/>
  <c r="H30" i="15" s="1"/>
  <c r="W29" i="15"/>
  <c r="U29" i="15"/>
  <c r="O29" i="15"/>
  <c r="P29" i="15" s="1"/>
  <c r="Q29" i="15" s="1"/>
  <c r="F29" i="15"/>
  <c r="W28" i="15"/>
  <c r="U28" i="15"/>
  <c r="O28" i="15"/>
  <c r="P28" i="15" s="1"/>
  <c r="Q28" i="15" s="1"/>
  <c r="J28" i="15"/>
  <c r="E24" i="16" s="1"/>
  <c r="E28" i="15"/>
  <c r="W27" i="15"/>
  <c r="U27" i="15"/>
  <c r="O27" i="15"/>
  <c r="P27" i="15" s="1"/>
  <c r="Q27" i="15" s="1"/>
  <c r="J27" i="15"/>
  <c r="E23" i="16" s="1"/>
  <c r="E27" i="15"/>
  <c r="W26" i="15"/>
  <c r="U26" i="15"/>
  <c r="O26" i="15"/>
  <c r="P26" i="15" s="1"/>
  <c r="Q26" i="15" s="1"/>
  <c r="J26" i="15"/>
  <c r="E22" i="16" s="1"/>
  <c r="E26" i="15"/>
  <c r="W25" i="15"/>
  <c r="U25" i="15"/>
  <c r="O25" i="15"/>
  <c r="P25" i="15" s="1"/>
  <c r="Q25" i="15" s="1"/>
  <c r="J25" i="15"/>
  <c r="E21" i="16" s="1"/>
  <c r="E25" i="15"/>
  <c r="W24" i="15"/>
  <c r="U24" i="15"/>
  <c r="O24" i="15"/>
  <c r="P24" i="15" s="1"/>
  <c r="Q24" i="15" s="1"/>
  <c r="J24" i="15"/>
  <c r="E20" i="16" s="1"/>
  <c r="E24" i="15"/>
  <c r="W23" i="15"/>
  <c r="U23" i="15"/>
  <c r="O23" i="15"/>
  <c r="P23" i="15" s="1"/>
  <c r="Q23" i="15" s="1"/>
  <c r="J23" i="15"/>
  <c r="E19" i="16" s="1"/>
  <c r="E23" i="15"/>
  <c r="W22" i="15"/>
  <c r="U22" i="15"/>
  <c r="O22" i="15"/>
  <c r="P22" i="15" s="1"/>
  <c r="Q22" i="15" s="1"/>
  <c r="J22" i="15"/>
  <c r="E18" i="16" s="1"/>
  <c r="E22" i="15"/>
  <c r="W21" i="15"/>
  <c r="R21" i="15"/>
  <c r="J21" i="15"/>
  <c r="E17" i="16" s="1"/>
  <c r="E21" i="15"/>
  <c r="W20" i="15"/>
  <c r="F20" i="15"/>
  <c r="W19" i="15"/>
  <c r="J19" i="15"/>
  <c r="E15" i="16" s="1"/>
  <c r="E19" i="15"/>
  <c r="W18" i="15"/>
  <c r="J18" i="15"/>
  <c r="E14" i="16" s="1"/>
  <c r="E18" i="15"/>
  <c r="U17" i="15"/>
  <c r="O17" i="15"/>
  <c r="F38" i="15" s="1"/>
  <c r="F17" i="15"/>
  <c r="G17" i="15" s="1"/>
  <c r="E13" i="17" s="1"/>
  <c r="U16" i="15"/>
  <c r="O16" i="15"/>
  <c r="F37" i="15" s="1"/>
  <c r="F16" i="15"/>
  <c r="G16" i="15" s="1"/>
  <c r="E12" i="17" s="1"/>
  <c r="U15" i="15"/>
  <c r="O15" i="15"/>
  <c r="F28" i="15" s="1"/>
  <c r="J15" i="15"/>
  <c r="E11" i="16" s="1"/>
  <c r="E15" i="15"/>
  <c r="U14" i="15"/>
  <c r="O14" i="15"/>
  <c r="J14" i="15"/>
  <c r="E10" i="16" s="1"/>
  <c r="F14" i="15"/>
  <c r="E14" i="15"/>
  <c r="U13" i="15"/>
  <c r="O13" i="15"/>
  <c r="F26" i="15" s="1"/>
  <c r="J13" i="15"/>
  <c r="E9" i="16" s="1"/>
  <c r="F13" i="15"/>
  <c r="E13" i="15"/>
  <c r="U12" i="15"/>
  <c r="O12" i="15"/>
  <c r="P12" i="15" s="1"/>
  <c r="Q12" i="15" s="1"/>
  <c r="J12" i="15"/>
  <c r="E8" i="16" s="1"/>
  <c r="F12" i="15"/>
  <c r="E12" i="15"/>
  <c r="U11" i="15"/>
  <c r="O11" i="15"/>
  <c r="P11" i="15" s="1"/>
  <c r="Q11" i="15" s="1"/>
  <c r="R11" i="15" s="1"/>
  <c r="J11" i="15"/>
  <c r="E7" i="16" s="1"/>
  <c r="F11" i="15"/>
  <c r="E11" i="15"/>
  <c r="U10" i="15"/>
  <c r="O10" i="15"/>
  <c r="F23" i="15" s="1"/>
  <c r="J10" i="15"/>
  <c r="E6" i="16" s="1"/>
  <c r="F10" i="15"/>
  <c r="E10" i="15"/>
  <c r="U9" i="15"/>
  <c r="O9" i="15"/>
  <c r="F22" i="15" s="1"/>
  <c r="J9" i="15"/>
  <c r="E5" i="16" s="1"/>
  <c r="F9" i="15"/>
  <c r="E9" i="15"/>
  <c r="U8" i="15"/>
  <c r="O8" i="15"/>
  <c r="P8" i="15" s="1"/>
  <c r="Q8" i="15" s="1"/>
  <c r="J8" i="15"/>
  <c r="E4" i="16" s="1"/>
  <c r="F8" i="15"/>
  <c r="E8" i="15"/>
  <c r="J7" i="15"/>
  <c r="E3" i="16" s="1"/>
  <c r="F7" i="15"/>
  <c r="E7" i="15"/>
  <c r="J6" i="15"/>
  <c r="E2" i="16" s="1"/>
  <c r="F6" i="15"/>
  <c r="E6" i="15"/>
  <c r="O90" i="19"/>
  <c r="L90" i="19"/>
  <c r="M90" i="19" s="1"/>
  <c r="F90" i="19"/>
  <c r="D90" i="19"/>
  <c r="O89" i="19"/>
  <c r="L89" i="19"/>
  <c r="M89" i="19" s="1"/>
  <c r="F89" i="19"/>
  <c r="D89" i="19"/>
  <c r="O88" i="19"/>
  <c r="L88" i="19"/>
  <c r="M88" i="19" s="1"/>
  <c r="F88" i="19"/>
  <c r="D88" i="19"/>
  <c r="O87" i="19"/>
  <c r="L87" i="19"/>
  <c r="M87" i="19" s="1"/>
  <c r="F87" i="19"/>
  <c r="D87" i="19"/>
  <c r="O86" i="19"/>
  <c r="L86" i="19"/>
  <c r="M86" i="19" s="1"/>
  <c r="F86" i="19"/>
  <c r="D86" i="19"/>
  <c r="O85" i="19"/>
  <c r="L85" i="19"/>
  <c r="M85" i="19" s="1"/>
  <c r="F85" i="19"/>
  <c r="D85" i="19"/>
  <c r="O84" i="19"/>
  <c r="L84" i="19"/>
  <c r="M84" i="19" s="1"/>
  <c r="F84" i="19"/>
  <c r="D84" i="19"/>
  <c r="O83" i="19"/>
  <c r="L83" i="19"/>
  <c r="M83" i="19" s="1"/>
  <c r="F83" i="19"/>
  <c r="D83" i="19"/>
  <c r="O82" i="19"/>
  <c r="L82" i="19"/>
  <c r="M82" i="19" s="1"/>
  <c r="F82" i="19"/>
  <c r="D82" i="19"/>
  <c r="O81" i="19"/>
  <c r="L81" i="19"/>
  <c r="M81" i="19" s="1"/>
  <c r="F81" i="19"/>
  <c r="D81" i="19"/>
  <c r="O80" i="19"/>
  <c r="L80" i="19"/>
  <c r="M80" i="19" s="1"/>
  <c r="F80" i="19"/>
  <c r="D80" i="19"/>
  <c r="O79" i="19"/>
  <c r="L79" i="19"/>
  <c r="M79" i="19" s="1"/>
  <c r="F79" i="19"/>
  <c r="D79" i="19"/>
  <c r="O78" i="19"/>
  <c r="L78" i="19"/>
  <c r="M78" i="19" s="1"/>
  <c r="F78" i="19"/>
  <c r="D78" i="19"/>
  <c r="O77" i="19"/>
  <c r="L77" i="19"/>
  <c r="M77" i="19" s="1"/>
  <c r="F77" i="19"/>
  <c r="D77" i="19"/>
  <c r="O76" i="19"/>
  <c r="L76" i="19"/>
  <c r="M76" i="19" s="1"/>
  <c r="F76" i="19"/>
  <c r="D76" i="19"/>
  <c r="O75" i="19"/>
  <c r="L75" i="19"/>
  <c r="M75" i="19" s="1"/>
  <c r="F75" i="19"/>
  <c r="D75" i="19"/>
  <c r="O74" i="19"/>
  <c r="L74" i="19"/>
  <c r="M74" i="19" s="1"/>
  <c r="F74" i="19"/>
  <c r="D74" i="19"/>
  <c r="O73" i="19"/>
  <c r="L73" i="19"/>
  <c r="M73" i="19" s="1"/>
  <c r="F73" i="19"/>
  <c r="D73" i="19"/>
  <c r="O72" i="19"/>
  <c r="L72" i="19"/>
  <c r="M72" i="19" s="1"/>
  <c r="F72" i="19"/>
  <c r="D72" i="19"/>
  <c r="O71" i="19"/>
  <c r="L71" i="19"/>
  <c r="M71" i="19" s="1"/>
  <c r="F71" i="19"/>
  <c r="D71" i="19"/>
  <c r="O70" i="19"/>
  <c r="L70" i="19"/>
  <c r="M70" i="19" s="1"/>
  <c r="F70" i="19"/>
  <c r="D70" i="19"/>
  <c r="O69" i="19"/>
  <c r="L69" i="19"/>
  <c r="M69" i="19" s="1"/>
  <c r="F69" i="19"/>
  <c r="D69" i="19"/>
  <c r="O68" i="19"/>
  <c r="L68" i="19"/>
  <c r="M68" i="19" s="1"/>
  <c r="F68" i="19"/>
  <c r="D68" i="19"/>
  <c r="O67" i="19"/>
  <c r="L67" i="19"/>
  <c r="M67" i="19" s="1"/>
  <c r="F67" i="19"/>
  <c r="D67" i="19"/>
  <c r="O66" i="19"/>
  <c r="L66" i="19"/>
  <c r="M66" i="19" s="1"/>
  <c r="F66" i="19"/>
  <c r="D66" i="19"/>
  <c r="O65" i="19"/>
  <c r="L65" i="19"/>
  <c r="M65" i="19" s="1"/>
  <c r="F65" i="19"/>
  <c r="D65" i="19"/>
  <c r="O59" i="19"/>
  <c r="L59" i="19"/>
  <c r="M59" i="19" s="1"/>
  <c r="F59" i="19"/>
  <c r="D59" i="19"/>
  <c r="O58" i="19"/>
  <c r="L58" i="19"/>
  <c r="M58" i="19" s="1"/>
  <c r="F58" i="19"/>
  <c r="D58" i="19"/>
  <c r="O57" i="19"/>
  <c r="L57" i="19"/>
  <c r="M57" i="19" s="1"/>
  <c r="F57" i="19"/>
  <c r="D57" i="19"/>
  <c r="O56" i="19"/>
  <c r="L56" i="19"/>
  <c r="M56" i="19" s="1"/>
  <c r="F56" i="19"/>
  <c r="D56" i="19"/>
  <c r="O55" i="19"/>
  <c r="L55" i="19"/>
  <c r="M55" i="19" s="1"/>
  <c r="F55" i="19"/>
  <c r="D55" i="19"/>
  <c r="O54" i="19"/>
  <c r="L54" i="19"/>
  <c r="M54" i="19" s="1"/>
  <c r="F54" i="19"/>
  <c r="D54" i="19"/>
  <c r="O53" i="19"/>
  <c r="L53" i="19"/>
  <c r="M53" i="19" s="1"/>
  <c r="F53" i="19"/>
  <c r="D53" i="19"/>
  <c r="O52" i="19"/>
  <c r="L52" i="19"/>
  <c r="M52" i="19" s="1"/>
  <c r="F52" i="19"/>
  <c r="D52" i="19"/>
  <c r="O51" i="19"/>
  <c r="L51" i="19"/>
  <c r="M51" i="19" s="1"/>
  <c r="F51" i="19"/>
  <c r="D51" i="19"/>
  <c r="O50" i="19"/>
  <c r="L50" i="19"/>
  <c r="M50" i="19" s="1"/>
  <c r="F50" i="19"/>
  <c r="D50" i="19"/>
  <c r="O49" i="19"/>
  <c r="L49" i="19"/>
  <c r="M49" i="19" s="1"/>
  <c r="F49" i="19"/>
  <c r="D49" i="19"/>
  <c r="O48" i="19"/>
  <c r="L48" i="19"/>
  <c r="M48" i="19" s="1"/>
  <c r="F48" i="19"/>
  <c r="D48" i="19"/>
  <c r="O47" i="19"/>
  <c r="L47" i="19"/>
  <c r="M47" i="19" s="1"/>
  <c r="F47" i="19"/>
  <c r="D47" i="19"/>
  <c r="O46" i="19"/>
  <c r="L46" i="19"/>
  <c r="M46" i="19" s="1"/>
  <c r="F46" i="19"/>
  <c r="D46" i="19"/>
  <c r="O45" i="19"/>
  <c r="L45" i="19"/>
  <c r="M45" i="19" s="1"/>
  <c r="F45" i="19"/>
  <c r="D45" i="19"/>
  <c r="O44" i="19"/>
  <c r="L44" i="19"/>
  <c r="M44" i="19" s="1"/>
  <c r="F44" i="19"/>
  <c r="D44" i="19"/>
  <c r="O43" i="19"/>
  <c r="L43" i="19"/>
  <c r="M43" i="19" s="1"/>
  <c r="F43" i="19"/>
  <c r="D43" i="19"/>
  <c r="O42" i="19"/>
  <c r="L42" i="19"/>
  <c r="M42" i="19" s="1"/>
  <c r="F42" i="19"/>
  <c r="D42" i="19"/>
  <c r="O41" i="19"/>
  <c r="L41" i="19"/>
  <c r="M41" i="19" s="1"/>
  <c r="F41" i="19"/>
  <c r="D41" i="19"/>
  <c r="O40" i="19"/>
  <c r="L40" i="19"/>
  <c r="M40" i="19" s="1"/>
  <c r="F40" i="19"/>
  <c r="D40" i="19"/>
  <c r="O39" i="19"/>
  <c r="L39" i="19"/>
  <c r="M39" i="19" s="1"/>
  <c r="F39" i="19"/>
  <c r="D39" i="19"/>
  <c r="O38" i="19"/>
  <c r="L38" i="19"/>
  <c r="M38" i="19" s="1"/>
  <c r="F38" i="19"/>
  <c r="D38" i="19"/>
  <c r="O37" i="19"/>
  <c r="L37" i="19"/>
  <c r="M37" i="19" s="1"/>
  <c r="F37" i="19"/>
  <c r="D37" i="19"/>
  <c r="O36" i="19"/>
  <c r="L36" i="19"/>
  <c r="M36" i="19" s="1"/>
  <c r="F36" i="19"/>
  <c r="D36" i="19"/>
  <c r="O35" i="19"/>
  <c r="L35" i="19"/>
  <c r="M35" i="19" s="1"/>
  <c r="F35" i="19"/>
  <c r="D35" i="19"/>
  <c r="O34" i="19"/>
  <c r="L34" i="19"/>
  <c r="M34" i="19" s="1"/>
  <c r="F34" i="19"/>
  <c r="D34" i="19"/>
  <c r="O28" i="19"/>
  <c r="L28" i="19"/>
  <c r="M28" i="19" s="1"/>
  <c r="F28" i="19"/>
  <c r="D28" i="19"/>
  <c r="O27" i="19"/>
  <c r="D27" i="19" s="1"/>
  <c r="L27" i="19"/>
  <c r="M27" i="19" s="1"/>
  <c r="F27" i="19"/>
  <c r="O26" i="19"/>
  <c r="D26" i="19" s="1"/>
  <c r="L26" i="19"/>
  <c r="M26" i="19" s="1"/>
  <c r="F26" i="19"/>
  <c r="O25" i="19"/>
  <c r="D25" i="19" s="1"/>
  <c r="L25" i="19"/>
  <c r="M25" i="19" s="1"/>
  <c r="F25" i="19"/>
  <c r="O24" i="19"/>
  <c r="L24" i="19"/>
  <c r="M24" i="19" s="1"/>
  <c r="F24" i="19"/>
  <c r="D24" i="19"/>
  <c r="O23" i="19"/>
  <c r="L23" i="19"/>
  <c r="M23" i="19" s="1"/>
  <c r="F23" i="19"/>
  <c r="D23" i="19"/>
  <c r="O22" i="19"/>
  <c r="D22" i="19" s="1"/>
  <c r="L22" i="19"/>
  <c r="M22" i="19" s="1"/>
  <c r="F22" i="19"/>
  <c r="O21" i="19"/>
  <c r="D21" i="19" s="1"/>
  <c r="L21" i="19"/>
  <c r="M21" i="19" s="1"/>
  <c r="F21" i="19"/>
  <c r="O20" i="19"/>
  <c r="D20" i="19" s="1"/>
  <c r="L20" i="19"/>
  <c r="M20" i="19" s="1"/>
  <c r="F20" i="19"/>
  <c r="O19" i="19"/>
  <c r="L19" i="19"/>
  <c r="M19" i="19" s="1"/>
  <c r="F19" i="19"/>
  <c r="D19" i="19"/>
  <c r="O18" i="19"/>
  <c r="L18" i="19"/>
  <c r="M18" i="19" s="1"/>
  <c r="F18" i="19"/>
  <c r="D18" i="19"/>
  <c r="O17" i="19"/>
  <c r="D17" i="19" s="1"/>
  <c r="L17" i="19"/>
  <c r="M17" i="19" s="1"/>
  <c r="F17" i="19"/>
  <c r="O16" i="19"/>
  <c r="L16" i="19"/>
  <c r="M16" i="19" s="1"/>
  <c r="F16" i="19"/>
  <c r="D16" i="19"/>
  <c r="O15" i="19"/>
  <c r="L15" i="19"/>
  <c r="M15" i="19" s="1"/>
  <c r="F15" i="19"/>
  <c r="D15" i="19"/>
  <c r="O14" i="19"/>
  <c r="L14" i="19"/>
  <c r="M14" i="19" s="1"/>
  <c r="F14" i="19"/>
  <c r="D14" i="19"/>
  <c r="O13" i="19"/>
  <c r="D13" i="19" s="1"/>
  <c r="L13" i="19"/>
  <c r="M13" i="19" s="1"/>
  <c r="F13" i="19"/>
  <c r="O12" i="19"/>
  <c r="D12" i="19" s="1"/>
  <c r="L12" i="19"/>
  <c r="M12" i="19" s="1"/>
  <c r="F12" i="19"/>
  <c r="O11" i="19"/>
  <c r="L11" i="19"/>
  <c r="M11" i="19" s="1"/>
  <c r="F11" i="19"/>
  <c r="D11" i="19"/>
  <c r="O10" i="19"/>
  <c r="L10" i="19"/>
  <c r="M10" i="19" s="1"/>
  <c r="F10" i="19"/>
  <c r="D10" i="19"/>
  <c r="O9" i="19"/>
  <c r="L9" i="19"/>
  <c r="M9" i="19" s="1"/>
  <c r="F9" i="19"/>
  <c r="D9" i="19"/>
  <c r="O8" i="19"/>
  <c r="D8" i="19" s="1"/>
  <c r="L8" i="19"/>
  <c r="M8" i="19" s="1"/>
  <c r="F8" i="19"/>
  <c r="O7" i="19"/>
  <c r="D7" i="19" s="1"/>
  <c r="L7" i="19"/>
  <c r="M7" i="19" s="1"/>
  <c r="F7" i="19"/>
  <c r="O6" i="19"/>
  <c r="D6" i="19" s="1"/>
  <c r="L6" i="19"/>
  <c r="M6" i="19" s="1"/>
  <c r="F6" i="19"/>
  <c r="O5" i="19"/>
  <c r="D5" i="19" s="1"/>
  <c r="F5" i="19"/>
  <c r="O4" i="19"/>
  <c r="D4" i="19" s="1"/>
  <c r="L4" i="19"/>
  <c r="M4" i="19" s="1"/>
  <c r="F4" i="19"/>
  <c r="O3" i="19"/>
  <c r="D3" i="19" s="1"/>
  <c r="F3" i="19"/>
  <c r="O90" i="21"/>
  <c r="L90" i="21"/>
  <c r="M90" i="21" s="1"/>
  <c r="F90" i="21"/>
  <c r="D90" i="21"/>
  <c r="O89" i="21"/>
  <c r="L89" i="21"/>
  <c r="M89" i="21" s="1"/>
  <c r="F89" i="21"/>
  <c r="D89" i="21"/>
  <c r="O88" i="21"/>
  <c r="L88" i="21"/>
  <c r="M88" i="21" s="1"/>
  <c r="F88" i="21"/>
  <c r="D88" i="21"/>
  <c r="O87" i="21"/>
  <c r="L87" i="21"/>
  <c r="M87" i="21" s="1"/>
  <c r="F87" i="21"/>
  <c r="D87" i="21"/>
  <c r="O86" i="21"/>
  <c r="L86" i="21"/>
  <c r="M86" i="21" s="1"/>
  <c r="F86" i="21"/>
  <c r="D86" i="21"/>
  <c r="O85" i="21"/>
  <c r="L85" i="21"/>
  <c r="M85" i="21" s="1"/>
  <c r="F85" i="21"/>
  <c r="D85" i="21"/>
  <c r="O84" i="21"/>
  <c r="L84" i="21"/>
  <c r="M84" i="21" s="1"/>
  <c r="F84" i="21"/>
  <c r="D84" i="21"/>
  <c r="O83" i="21"/>
  <c r="L83" i="21"/>
  <c r="M83" i="21" s="1"/>
  <c r="F83" i="21"/>
  <c r="D83" i="21"/>
  <c r="O82" i="21"/>
  <c r="L82" i="21"/>
  <c r="M82" i="21" s="1"/>
  <c r="F82" i="21"/>
  <c r="D82" i="21"/>
  <c r="O81" i="21"/>
  <c r="L81" i="21"/>
  <c r="M81" i="21" s="1"/>
  <c r="F81" i="21"/>
  <c r="D81" i="21"/>
  <c r="O80" i="21"/>
  <c r="L80" i="21"/>
  <c r="M80" i="21" s="1"/>
  <c r="F80" i="21"/>
  <c r="D80" i="21"/>
  <c r="O79" i="21"/>
  <c r="L79" i="21"/>
  <c r="M79" i="21" s="1"/>
  <c r="F79" i="21"/>
  <c r="D79" i="21"/>
  <c r="O78" i="21"/>
  <c r="L78" i="21"/>
  <c r="M78" i="21" s="1"/>
  <c r="F78" i="21"/>
  <c r="D78" i="21"/>
  <c r="O77" i="21"/>
  <c r="L77" i="21"/>
  <c r="M77" i="21" s="1"/>
  <c r="F77" i="21"/>
  <c r="D77" i="21"/>
  <c r="O76" i="21"/>
  <c r="L76" i="21"/>
  <c r="M76" i="21" s="1"/>
  <c r="F76" i="21"/>
  <c r="D76" i="21"/>
  <c r="O75" i="21"/>
  <c r="L75" i="21"/>
  <c r="M75" i="21" s="1"/>
  <c r="F75" i="21"/>
  <c r="D75" i="21"/>
  <c r="O74" i="21"/>
  <c r="L74" i="21"/>
  <c r="M74" i="21" s="1"/>
  <c r="F74" i="21"/>
  <c r="D74" i="21"/>
  <c r="O73" i="21"/>
  <c r="L73" i="21"/>
  <c r="M73" i="21" s="1"/>
  <c r="F73" i="21"/>
  <c r="D73" i="21"/>
  <c r="O72" i="21"/>
  <c r="L72" i="21"/>
  <c r="M72" i="21" s="1"/>
  <c r="F72" i="21"/>
  <c r="D72" i="21"/>
  <c r="O71" i="21"/>
  <c r="L71" i="21"/>
  <c r="M71" i="21" s="1"/>
  <c r="F71" i="21"/>
  <c r="D71" i="21"/>
  <c r="O70" i="21"/>
  <c r="L70" i="21"/>
  <c r="M70" i="21" s="1"/>
  <c r="F70" i="21"/>
  <c r="D70" i="21"/>
  <c r="O69" i="21"/>
  <c r="L69" i="21"/>
  <c r="M69" i="21" s="1"/>
  <c r="F69" i="21"/>
  <c r="D69" i="21"/>
  <c r="O68" i="21"/>
  <c r="L68" i="21"/>
  <c r="M68" i="21" s="1"/>
  <c r="F68" i="21"/>
  <c r="D68" i="21"/>
  <c r="O67" i="21"/>
  <c r="L67" i="21"/>
  <c r="M67" i="21" s="1"/>
  <c r="F67" i="21"/>
  <c r="D67" i="21"/>
  <c r="O66" i="21"/>
  <c r="L66" i="21"/>
  <c r="M66" i="21" s="1"/>
  <c r="F66" i="21"/>
  <c r="D66" i="21"/>
  <c r="O65" i="21"/>
  <c r="L65" i="21"/>
  <c r="M65" i="21" s="1"/>
  <c r="F65" i="21"/>
  <c r="D65" i="21"/>
  <c r="O59" i="21"/>
  <c r="L59" i="21"/>
  <c r="M59" i="21" s="1"/>
  <c r="F59" i="21"/>
  <c r="D59" i="21"/>
  <c r="O58" i="21"/>
  <c r="L58" i="21"/>
  <c r="M58" i="21" s="1"/>
  <c r="F58" i="21"/>
  <c r="D58" i="21"/>
  <c r="O57" i="21"/>
  <c r="L57" i="21"/>
  <c r="M57" i="21" s="1"/>
  <c r="F57" i="21"/>
  <c r="D57" i="21"/>
  <c r="O56" i="21"/>
  <c r="L56" i="21"/>
  <c r="M56" i="21" s="1"/>
  <c r="F56" i="21"/>
  <c r="D56" i="21"/>
  <c r="O55" i="21"/>
  <c r="L55" i="21"/>
  <c r="M55" i="21" s="1"/>
  <c r="F55" i="21"/>
  <c r="D55" i="21"/>
  <c r="O54" i="21"/>
  <c r="L54" i="21"/>
  <c r="M54" i="21" s="1"/>
  <c r="F54" i="21"/>
  <c r="D54" i="21"/>
  <c r="O53" i="21"/>
  <c r="L53" i="21"/>
  <c r="M53" i="21" s="1"/>
  <c r="F53" i="21"/>
  <c r="D53" i="21"/>
  <c r="O52" i="21"/>
  <c r="L52" i="21"/>
  <c r="M52" i="21" s="1"/>
  <c r="F52" i="21"/>
  <c r="D52" i="21"/>
  <c r="O51" i="21"/>
  <c r="L51" i="21"/>
  <c r="M51" i="21" s="1"/>
  <c r="F51" i="21"/>
  <c r="D51" i="21"/>
  <c r="O50" i="21"/>
  <c r="L50" i="21"/>
  <c r="M50" i="21" s="1"/>
  <c r="F50" i="21"/>
  <c r="D50" i="21"/>
  <c r="O49" i="21"/>
  <c r="L49" i="21"/>
  <c r="M49" i="21" s="1"/>
  <c r="F49" i="21"/>
  <c r="D49" i="21"/>
  <c r="O48" i="21"/>
  <c r="L48" i="21"/>
  <c r="M48" i="21" s="1"/>
  <c r="F48" i="21"/>
  <c r="D48" i="21"/>
  <c r="O47" i="21"/>
  <c r="L47" i="21"/>
  <c r="M47" i="21" s="1"/>
  <c r="F47" i="21"/>
  <c r="D47" i="21"/>
  <c r="O46" i="21"/>
  <c r="L46" i="21"/>
  <c r="M46" i="21" s="1"/>
  <c r="F46" i="21"/>
  <c r="D46" i="21"/>
  <c r="O45" i="21"/>
  <c r="L45" i="21"/>
  <c r="M45" i="21" s="1"/>
  <c r="F45" i="21"/>
  <c r="D45" i="21"/>
  <c r="O44" i="21"/>
  <c r="L44" i="21"/>
  <c r="M44" i="21" s="1"/>
  <c r="F44" i="21"/>
  <c r="D44" i="21"/>
  <c r="O43" i="21"/>
  <c r="L43" i="21"/>
  <c r="M43" i="21" s="1"/>
  <c r="F43" i="21"/>
  <c r="D43" i="21"/>
  <c r="O42" i="21"/>
  <c r="L42" i="21"/>
  <c r="M42" i="21" s="1"/>
  <c r="F42" i="21"/>
  <c r="D42" i="21"/>
  <c r="O41" i="21"/>
  <c r="L41" i="21"/>
  <c r="M41" i="21" s="1"/>
  <c r="F41" i="21"/>
  <c r="D41" i="21"/>
  <c r="O40" i="21"/>
  <c r="L40" i="21"/>
  <c r="M40" i="21" s="1"/>
  <c r="F40" i="21"/>
  <c r="D40" i="21"/>
  <c r="O39" i="21"/>
  <c r="L39" i="21"/>
  <c r="M39" i="21" s="1"/>
  <c r="F39" i="21"/>
  <c r="D39" i="21"/>
  <c r="O38" i="21"/>
  <c r="L38" i="21"/>
  <c r="M38" i="21" s="1"/>
  <c r="F38" i="21"/>
  <c r="D38" i="21"/>
  <c r="O37" i="21"/>
  <c r="L37" i="21"/>
  <c r="M37" i="21" s="1"/>
  <c r="F37" i="21"/>
  <c r="D37" i="21"/>
  <c r="O36" i="21"/>
  <c r="L36" i="21"/>
  <c r="M36" i="21" s="1"/>
  <c r="F36" i="21"/>
  <c r="D36" i="21"/>
  <c r="O35" i="21"/>
  <c r="L35" i="21"/>
  <c r="M35" i="21" s="1"/>
  <c r="F35" i="21"/>
  <c r="D35" i="21"/>
  <c r="O34" i="21"/>
  <c r="L34" i="21"/>
  <c r="M34" i="21" s="1"/>
  <c r="F34" i="21"/>
  <c r="D34" i="21"/>
  <c r="O28" i="21"/>
  <c r="D28" i="21" s="1"/>
  <c r="L28" i="21"/>
  <c r="M28" i="21" s="1"/>
  <c r="F28" i="21"/>
  <c r="O27" i="21"/>
  <c r="D27" i="21" s="1"/>
  <c r="L27" i="21"/>
  <c r="M27" i="21" s="1"/>
  <c r="F27" i="21"/>
  <c r="O26" i="21"/>
  <c r="L26" i="21"/>
  <c r="M26" i="21" s="1"/>
  <c r="F26" i="21"/>
  <c r="D26" i="21"/>
  <c r="O25" i="21"/>
  <c r="D25" i="21" s="1"/>
  <c r="L25" i="21"/>
  <c r="M25" i="21" s="1"/>
  <c r="F25" i="21"/>
  <c r="O24" i="21"/>
  <c r="D24" i="21" s="1"/>
  <c r="L24" i="21"/>
  <c r="M24" i="21" s="1"/>
  <c r="F24" i="21"/>
  <c r="O23" i="21"/>
  <c r="D23" i="21" s="1"/>
  <c r="L23" i="21"/>
  <c r="M23" i="21" s="1"/>
  <c r="F23" i="21"/>
  <c r="O22" i="21"/>
  <c r="L22" i="21"/>
  <c r="M22" i="21" s="1"/>
  <c r="F22" i="21"/>
  <c r="D22" i="21"/>
  <c r="O21" i="21"/>
  <c r="D21" i="21" s="1"/>
  <c r="L21" i="21"/>
  <c r="M21" i="21" s="1"/>
  <c r="F21" i="21"/>
  <c r="O20" i="21"/>
  <c r="L20" i="21"/>
  <c r="M20" i="21" s="1"/>
  <c r="F20" i="21"/>
  <c r="D20" i="21"/>
  <c r="O19" i="21"/>
  <c r="D19" i="21" s="1"/>
  <c r="L19" i="21"/>
  <c r="M19" i="21" s="1"/>
  <c r="F19" i="21"/>
  <c r="O18" i="21"/>
  <c r="L18" i="21"/>
  <c r="M18" i="21" s="1"/>
  <c r="F18" i="21"/>
  <c r="D18" i="21"/>
  <c r="O17" i="21"/>
  <c r="D17" i="21" s="1"/>
  <c r="L17" i="21"/>
  <c r="M17" i="21" s="1"/>
  <c r="F17" i="21"/>
  <c r="O16" i="21"/>
  <c r="D16" i="21" s="1"/>
  <c r="L16" i="21"/>
  <c r="M16" i="21" s="1"/>
  <c r="F16" i="21"/>
  <c r="O15" i="21"/>
  <c r="D15" i="21" s="1"/>
  <c r="L15" i="21"/>
  <c r="M15" i="21" s="1"/>
  <c r="F15" i="21"/>
  <c r="O14" i="21"/>
  <c r="L14" i="21"/>
  <c r="M14" i="21" s="1"/>
  <c r="F14" i="21"/>
  <c r="D14" i="21"/>
  <c r="O13" i="21"/>
  <c r="D13" i="21" s="1"/>
  <c r="L13" i="21"/>
  <c r="M13" i="21" s="1"/>
  <c r="F13" i="21"/>
  <c r="O12" i="21"/>
  <c r="L12" i="21"/>
  <c r="M12" i="21" s="1"/>
  <c r="F12" i="21"/>
  <c r="D12" i="21"/>
  <c r="O11" i="21"/>
  <c r="D11" i="21" s="1"/>
  <c r="L11" i="21"/>
  <c r="M11" i="21" s="1"/>
  <c r="F11" i="21"/>
  <c r="O10" i="21"/>
  <c r="L10" i="21"/>
  <c r="M10" i="21" s="1"/>
  <c r="F10" i="21"/>
  <c r="D10" i="21"/>
  <c r="O9" i="21"/>
  <c r="L9" i="21"/>
  <c r="M9" i="21" s="1"/>
  <c r="F9" i="21"/>
  <c r="D9" i="21"/>
  <c r="O8" i="21"/>
  <c r="D8" i="21" s="1"/>
  <c r="L8" i="21"/>
  <c r="M8" i="21" s="1"/>
  <c r="F8" i="21"/>
  <c r="O7" i="21"/>
  <c r="D7" i="21" s="1"/>
  <c r="F7" i="21"/>
  <c r="O6" i="21"/>
  <c r="D6" i="21" s="1"/>
  <c r="L6" i="21"/>
  <c r="M6" i="21" s="1"/>
  <c r="F6" i="21"/>
  <c r="O5" i="21"/>
  <c r="D5" i="21" s="1"/>
  <c r="L5" i="21"/>
  <c r="M5" i="21" s="1"/>
  <c r="F5" i="21"/>
  <c r="O4" i="21"/>
  <c r="D4" i="21" s="1"/>
  <c r="L4" i="21"/>
  <c r="M4" i="21" s="1"/>
  <c r="F4" i="21"/>
  <c r="O3" i="21"/>
  <c r="D3" i="21" s="1"/>
  <c r="F3" i="21"/>
  <c r="P90" i="8"/>
  <c r="Q90" i="8" s="1"/>
  <c r="N90" i="8"/>
  <c r="O90" i="8" s="1"/>
  <c r="H90" i="8"/>
  <c r="F90" i="8"/>
  <c r="D90" i="8"/>
  <c r="P89" i="8"/>
  <c r="Q89" i="8" s="1"/>
  <c r="N89" i="8"/>
  <c r="O89" i="8" s="1"/>
  <c r="H89" i="8"/>
  <c r="F89" i="8"/>
  <c r="D89" i="8"/>
  <c r="P88" i="8"/>
  <c r="Q88" i="8" s="1"/>
  <c r="N88" i="8"/>
  <c r="O88" i="8" s="1"/>
  <c r="H88" i="8"/>
  <c r="F88" i="8"/>
  <c r="D88" i="8"/>
  <c r="P87" i="8"/>
  <c r="Q87" i="8" s="1"/>
  <c r="N87" i="8"/>
  <c r="O87" i="8" s="1"/>
  <c r="H87" i="8"/>
  <c r="F87" i="8"/>
  <c r="D87" i="8"/>
  <c r="P86" i="8"/>
  <c r="Q86" i="8" s="1"/>
  <c r="N86" i="8"/>
  <c r="O86" i="8" s="1"/>
  <c r="H86" i="8"/>
  <c r="F86" i="8"/>
  <c r="D86" i="8"/>
  <c r="P85" i="8"/>
  <c r="Q85" i="8" s="1"/>
  <c r="N85" i="8"/>
  <c r="O85" i="8" s="1"/>
  <c r="H85" i="8"/>
  <c r="F85" i="8"/>
  <c r="D85" i="8"/>
  <c r="P84" i="8"/>
  <c r="Q84" i="8" s="1"/>
  <c r="N84" i="8"/>
  <c r="O84" i="8" s="1"/>
  <c r="H84" i="8"/>
  <c r="F84" i="8"/>
  <c r="D84" i="8"/>
  <c r="P83" i="8"/>
  <c r="Q83" i="8" s="1"/>
  <c r="N83" i="8"/>
  <c r="O83" i="8" s="1"/>
  <c r="H83" i="8"/>
  <c r="F83" i="8"/>
  <c r="D83" i="8"/>
  <c r="P82" i="8"/>
  <c r="Q82" i="8" s="1"/>
  <c r="N82" i="8"/>
  <c r="O82" i="8" s="1"/>
  <c r="H82" i="8"/>
  <c r="F82" i="8"/>
  <c r="D82" i="8"/>
  <c r="P81" i="8"/>
  <c r="Q81" i="8" s="1"/>
  <c r="N81" i="8"/>
  <c r="O81" i="8" s="1"/>
  <c r="H81" i="8"/>
  <c r="F81" i="8"/>
  <c r="D81" i="8"/>
  <c r="P80" i="8"/>
  <c r="Q80" i="8" s="1"/>
  <c r="N80" i="8"/>
  <c r="O80" i="8" s="1"/>
  <c r="H80" i="8"/>
  <c r="F80" i="8"/>
  <c r="D80" i="8"/>
  <c r="P79" i="8"/>
  <c r="Q79" i="8" s="1"/>
  <c r="N79" i="8"/>
  <c r="O79" i="8" s="1"/>
  <c r="H79" i="8"/>
  <c r="F79" i="8"/>
  <c r="D79" i="8"/>
  <c r="P78" i="8"/>
  <c r="Q78" i="8" s="1"/>
  <c r="N78" i="8"/>
  <c r="O78" i="8" s="1"/>
  <c r="H78" i="8"/>
  <c r="F78" i="8"/>
  <c r="D78" i="8"/>
  <c r="P77" i="8"/>
  <c r="Q77" i="8" s="1"/>
  <c r="N77" i="8"/>
  <c r="O77" i="8" s="1"/>
  <c r="H77" i="8"/>
  <c r="F77" i="8"/>
  <c r="D77" i="8"/>
  <c r="P76" i="8"/>
  <c r="Q76" i="8" s="1"/>
  <c r="N76" i="8"/>
  <c r="O76" i="8" s="1"/>
  <c r="H76" i="8"/>
  <c r="F76" i="8"/>
  <c r="D76" i="8"/>
  <c r="P75" i="8"/>
  <c r="Q75" i="8" s="1"/>
  <c r="N75" i="8"/>
  <c r="O75" i="8" s="1"/>
  <c r="H75" i="8"/>
  <c r="F75" i="8"/>
  <c r="D75" i="8"/>
  <c r="P74" i="8"/>
  <c r="Q74" i="8" s="1"/>
  <c r="N74" i="8"/>
  <c r="O74" i="8" s="1"/>
  <c r="H74" i="8"/>
  <c r="F74" i="8"/>
  <c r="D74" i="8"/>
  <c r="P73" i="8"/>
  <c r="Q73" i="8" s="1"/>
  <c r="N73" i="8"/>
  <c r="O73" i="8" s="1"/>
  <c r="H73" i="8"/>
  <c r="F73" i="8"/>
  <c r="D73" i="8"/>
  <c r="P72" i="8"/>
  <c r="Q72" i="8" s="1"/>
  <c r="N72" i="8"/>
  <c r="O72" i="8" s="1"/>
  <c r="H72" i="8"/>
  <c r="F72" i="8"/>
  <c r="D72" i="8"/>
  <c r="P71" i="8"/>
  <c r="Q71" i="8" s="1"/>
  <c r="N71" i="8"/>
  <c r="O71" i="8" s="1"/>
  <c r="H71" i="8"/>
  <c r="F71" i="8"/>
  <c r="D71" i="8"/>
  <c r="P70" i="8"/>
  <c r="Q70" i="8" s="1"/>
  <c r="N70" i="8"/>
  <c r="O70" i="8" s="1"/>
  <c r="H70" i="8"/>
  <c r="F70" i="8"/>
  <c r="D70" i="8"/>
  <c r="P69" i="8"/>
  <c r="Q69" i="8" s="1"/>
  <c r="N69" i="8"/>
  <c r="O69" i="8" s="1"/>
  <c r="H69" i="8"/>
  <c r="F69" i="8"/>
  <c r="D69" i="8"/>
  <c r="P68" i="8"/>
  <c r="Q68" i="8" s="1"/>
  <c r="N68" i="8"/>
  <c r="O68" i="8" s="1"/>
  <c r="H68" i="8"/>
  <c r="F68" i="8"/>
  <c r="D68" i="8"/>
  <c r="P67" i="8"/>
  <c r="Q67" i="8" s="1"/>
  <c r="N67" i="8"/>
  <c r="O67" i="8" s="1"/>
  <c r="H67" i="8"/>
  <c r="F67" i="8"/>
  <c r="D67" i="8"/>
  <c r="P66" i="8"/>
  <c r="Q66" i="8" s="1"/>
  <c r="N66" i="8"/>
  <c r="O66" i="8" s="1"/>
  <c r="H66" i="8"/>
  <c r="F66" i="8"/>
  <c r="D66" i="8"/>
  <c r="P65" i="8"/>
  <c r="Q65" i="8" s="1"/>
  <c r="N65" i="8"/>
  <c r="O65" i="8" s="1"/>
  <c r="H65" i="8"/>
  <c r="F65" i="8"/>
  <c r="D65" i="8"/>
  <c r="P59" i="8"/>
  <c r="Q59" i="8" s="1"/>
  <c r="N59" i="8"/>
  <c r="O59" i="8" s="1"/>
  <c r="H59" i="8"/>
  <c r="F59" i="8"/>
  <c r="D59" i="8"/>
  <c r="P58" i="8"/>
  <c r="Q58" i="8" s="1"/>
  <c r="N58" i="8"/>
  <c r="O58" i="8" s="1"/>
  <c r="H58" i="8"/>
  <c r="F58" i="8"/>
  <c r="D58" i="8"/>
  <c r="P57" i="8"/>
  <c r="Q57" i="8" s="1"/>
  <c r="N57" i="8"/>
  <c r="O57" i="8" s="1"/>
  <c r="H57" i="8"/>
  <c r="F57" i="8"/>
  <c r="D57" i="8"/>
  <c r="P56" i="8"/>
  <c r="Q56" i="8" s="1"/>
  <c r="N56" i="8"/>
  <c r="O56" i="8" s="1"/>
  <c r="H56" i="8"/>
  <c r="F56" i="8"/>
  <c r="D56" i="8"/>
  <c r="P55" i="8"/>
  <c r="Q55" i="8" s="1"/>
  <c r="N55" i="8"/>
  <c r="O55" i="8" s="1"/>
  <c r="H55" i="8"/>
  <c r="F55" i="8"/>
  <c r="D55" i="8"/>
  <c r="P54" i="8"/>
  <c r="Q54" i="8" s="1"/>
  <c r="N54" i="8"/>
  <c r="O54" i="8" s="1"/>
  <c r="H54" i="8"/>
  <c r="F54" i="8"/>
  <c r="D54" i="8"/>
  <c r="P53" i="8"/>
  <c r="Q53" i="8" s="1"/>
  <c r="N53" i="8"/>
  <c r="O53" i="8" s="1"/>
  <c r="H53" i="8"/>
  <c r="F53" i="8"/>
  <c r="D53" i="8"/>
  <c r="P52" i="8"/>
  <c r="Q52" i="8" s="1"/>
  <c r="N52" i="8"/>
  <c r="O52" i="8" s="1"/>
  <c r="H52" i="8"/>
  <c r="F52" i="8"/>
  <c r="D52" i="8"/>
  <c r="P51" i="8"/>
  <c r="Q51" i="8" s="1"/>
  <c r="N51" i="8"/>
  <c r="O51" i="8" s="1"/>
  <c r="H51" i="8"/>
  <c r="F51" i="8"/>
  <c r="D51" i="8"/>
  <c r="P50" i="8"/>
  <c r="Q50" i="8" s="1"/>
  <c r="N50" i="8"/>
  <c r="O50" i="8" s="1"/>
  <c r="H50" i="8"/>
  <c r="F50" i="8"/>
  <c r="D50" i="8"/>
  <c r="P49" i="8"/>
  <c r="Q49" i="8" s="1"/>
  <c r="N49" i="8"/>
  <c r="O49" i="8" s="1"/>
  <c r="H49" i="8"/>
  <c r="F49" i="8"/>
  <c r="D49" i="8"/>
  <c r="P48" i="8"/>
  <c r="Q48" i="8" s="1"/>
  <c r="N48" i="8"/>
  <c r="O48" i="8" s="1"/>
  <c r="H48" i="8"/>
  <c r="F48" i="8"/>
  <c r="D48" i="8"/>
  <c r="P47" i="8"/>
  <c r="Q47" i="8" s="1"/>
  <c r="N47" i="8"/>
  <c r="O47" i="8" s="1"/>
  <c r="H47" i="8"/>
  <c r="F47" i="8"/>
  <c r="D47" i="8"/>
  <c r="P46" i="8"/>
  <c r="Q46" i="8" s="1"/>
  <c r="N46" i="8"/>
  <c r="O46" i="8" s="1"/>
  <c r="H46" i="8"/>
  <c r="F46" i="8"/>
  <c r="D46" i="8"/>
  <c r="P45" i="8"/>
  <c r="Q45" i="8" s="1"/>
  <c r="N45" i="8"/>
  <c r="O45" i="8" s="1"/>
  <c r="H45" i="8"/>
  <c r="F45" i="8"/>
  <c r="D45" i="8"/>
  <c r="P44" i="8"/>
  <c r="Q44" i="8" s="1"/>
  <c r="N44" i="8"/>
  <c r="O44" i="8" s="1"/>
  <c r="H44" i="8"/>
  <c r="F44" i="8"/>
  <c r="D44" i="8"/>
  <c r="P43" i="8"/>
  <c r="Q43" i="8" s="1"/>
  <c r="N43" i="8"/>
  <c r="O43" i="8" s="1"/>
  <c r="H43" i="8"/>
  <c r="F43" i="8"/>
  <c r="D43" i="8"/>
  <c r="P42" i="8"/>
  <c r="Q42" i="8" s="1"/>
  <c r="N42" i="8"/>
  <c r="O42" i="8" s="1"/>
  <c r="H42" i="8"/>
  <c r="F42" i="8"/>
  <c r="D42" i="8"/>
  <c r="P41" i="8"/>
  <c r="Q41" i="8" s="1"/>
  <c r="N41" i="8"/>
  <c r="O41" i="8" s="1"/>
  <c r="H41" i="8"/>
  <c r="F41" i="8"/>
  <c r="D41" i="8"/>
  <c r="P40" i="8"/>
  <c r="Q40" i="8" s="1"/>
  <c r="N40" i="8"/>
  <c r="O40" i="8" s="1"/>
  <c r="H40" i="8"/>
  <c r="F40" i="8"/>
  <c r="D40" i="8"/>
  <c r="P39" i="8"/>
  <c r="Q39" i="8" s="1"/>
  <c r="N39" i="8"/>
  <c r="O39" i="8" s="1"/>
  <c r="H39" i="8"/>
  <c r="F39" i="8"/>
  <c r="D39" i="8"/>
  <c r="P38" i="8"/>
  <c r="Q38" i="8" s="1"/>
  <c r="N38" i="8"/>
  <c r="O38" i="8" s="1"/>
  <c r="H38" i="8"/>
  <c r="F38" i="8"/>
  <c r="D38" i="8"/>
  <c r="P37" i="8"/>
  <c r="Q37" i="8" s="1"/>
  <c r="N37" i="8"/>
  <c r="O37" i="8" s="1"/>
  <c r="H37" i="8"/>
  <c r="F37" i="8"/>
  <c r="D37" i="8"/>
  <c r="P36" i="8"/>
  <c r="Q36" i="8" s="1"/>
  <c r="N36" i="8"/>
  <c r="O36" i="8" s="1"/>
  <c r="H36" i="8"/>
  <c r="F36" i="8"/>
  <c r="D36" i="8"/>
  <c r="P35" i="8"/>
  <c r="Q35" i="8" s="1"/>
  <c r="N35" i="8"/>
  <c r="O35" i="8" s="1"/>
  <c r="H35" i="8"/>
  <c r="F35" i="8"/>
  <c r="D35" i="8"/>
  <c r="P34" i="8"/>
  <c r="Q34" i="8" s="1"/>
  <c r="N34" i="8"/>
  <c r="O34" i="8" s="1"/>
  <c r="H34" i="8"/>
  <c r="F34" i="8"/>
  <c r="D34" i="8"/>
  <c r="P28" i="8"/>
  <c r="Q28" i="8" s="1"/>
  <c r="N28" i="8"/>
  <c r="O28" i="8" s="1"/>
  <c r="H28" i="8"/>
  <c r="F28" i="8"/>
  <c r="D28" i="8"/>
  <c r="P27" i="8"/>
  <c r="Q27" i="8" s="1"/>
  <c r="N27" i="8"/>
  <c r="O27" i="8" s="1"/>
  <c r="H27" i="8"/>
  <c r="F27" i="8"/>
  <c r="D27" i="8"/>
  <c r="P26" i="8"/>
  <c r="Q26" i="8" s="1"/>
  <c r="N26" i="8"/>
  <c r="O26" i="8" s="1"/>
  <c r="H26" i="8"/>
  <c r="F26" i="8"/>
  <c r="D26" i="8"/>
  <c r="P25" i="8"/>
  <c r="Q25" i="8" s="1"/>
  <c r="N25" i="8"/>
  <c r="O25" i="8" s="1"/>
  <c r="H25" i="8"/>
  <c r="F25" i="8"/>
  <c r="D25" i="8"/>
  <c r="P24" i="8"/>
  <c r="Q24" i="8" s="1"/>
  <c r="N24" i="8"/>
  <c r="O24" i="8" s="1"/>
  <c r="H24" i="8"/>
  <c r="F24" i="8"/>
  <c r="D24" i="8"/>
  <c r="P23" i="8"/>
  <c r="Q23" i="8" s="1"/>
  <c r="N23" i="8"/>
  <c r="O23" i="8" s="1"/>
  <c r="H23" i="8"/>
  <c r="F23" i="8"/>
  <c r="D23" i="8"/>
  <c r="P22" i="8"/>
  <c r="Q22" i="8" s="1"/>
  <c r="N22" i="8"/>
  <c r="O22" i="8" s="1"/>
  <c r="H22" i="8"/>
  <c r="F22" i="8"/>
  <c r="D22" i="8"/>
  <c r="P21" i="8"/>
  <c r="Q21" i="8" s="1"/>
  <c r="N21" i="8"/>
  <c r="O21" i="8" s="1"/>
  <c r="H21" i="8"/>
  <c r="F21" i="8"/>
  <c r="D21" i="8"/>
  <c r="P20" i="8"/>
  <c r="Q20" i="8" s="1"/>
  <c r="N20" i="8"/>
  <c r="O20" i="8" s="1"/>
  <c r="H20" i="8"/>
  <c r="F20" i="8"/>
  <c r="D20" i="8"/>
  <c r="P19" i="8"/>
  <c r="Q19" i="8" s="1"/>
  <c r="N19" i="8"/>
  <c r="O19" i="8" s="1"/>
  <c r="H19" i="8"/>
  <c r="F19" i="8"/>
  <c r="D19" i="8"/>
  <c r="P18" i="8"/>
  <c r="Q18" i="8" s="1"/>
  <c r="N18" i="8"/>
  <c r="O18" i="8" s="1"/>
  <c r="H18" i="8"/>
  <c r="F18" i="8"/>
  <c r="D18" i="8"/>
  <c r="P17" i="8"/>
  <c r="Q17" i="8" s="1"/>
  <c r="N17" i="8"/>
  <c r="O17" i="8" s="1"/>
  <c r="H17" i="8"/>
  <c r="F17" i="8"/>
  <c r="D17" i="8"/>
  <c r="P16" i="8"/>
  <c r="Q16" i="8" s="1"/>
  <c r="N16" i="8"/>
  <c r="O16" i="8" s="1"/>
  <c r="H16" i="8"/>
  <c r="F16" i="8"/>
  <c r="D16" i="8"/>
  <c r="P15" i="8"/>
  <c r="Q15" i="8" s="1"/>
  <c r="N15" i="8"/>
  <c r="O15" i="8" s="1"/>
  <c r="H15" i="8"/>
  <c r="F15" i="8"/>
  <c r="D15" i="8"/>
  <c r="P14" i="8"/>
  <c r="Q14" i="8" s="1"/>
  <c r="N14" i="8"/>
  <c r="O14" i="8" s="1"/>
  <c r="H14" i="8"/>
  <c r="F14" i="8"/>
  <c r="D14" i="8"/>
  <c r="P13" i="8"/>
  <c r="Q13" i="8" s="1"/>
  <c r="N13" i="8"/>
  <c r="O13" i="8" s="1"/>
  <c r="H13" i="8"/>
  <c r="F13" i="8"/>
  <c r="D13" i="8"/>
  <c r="P12" i="8"/>
  <c r="Q12" i="8" s="1"/>
  <c r="N12" i="8"/>
  <c r="O12" i="8" s="1"/>
  <c r="H12" i="8"/>
  <c r="F12" i="8"/>
  <c r="D12" i="8"/>
  <c r="P11" i="8"/>
  <c r="Q11" i="8" s="1"/>
  <c r="N11" i="8"/>
  <c r="O11" i="8" s="1"/>
  <c r="H11" i="8"/>
  <c r="F11" i="8"/>
  <c r="D11" i="8"/>
  <c r="P10" i="8"/>
  <c r="Q10" i="8" s="1"/>
  <c r="N10" i="8"/>
  <c r="O10" i="8" s="1"/>
  <c r="H10" i="8"/>
  <c r="F10" i="8"/>
  <c r="D10" i="8"/>
  <c r="P9" i="8"/>
  <c r="Q9" i="8" s="1"/>
  <c r="N9" i="8"/>
  <c r="O9" i="8" s="1"/>
  <c r="H9" i="8"/>
  <c r="F9" i="8"/>
  <c r="D9" i="8"/>
  <c r="P8" i="8"/>
  <c r="Q8" i="8" s="1"/>
  <c r="N8" i="8"/>
  <c r="O8" i="8" s="1"/>
  <c r="H8" i="8"/>
  <c r="F8" i="8"/>
  <c r="D8" i="8"/>
  <c r="H7" i="8"/>
  <c r="F7" i="8"/>
  <c r="N7" i="8" s="1"/>
  <c r="O7" i="8" s="1"/>
  <c r="D7" i="8"/>
  <c r="P7" i="8" s="1"/>
  <c r="Q7" i="8" s="1"/>
  <c r="P6" i="8"/>
  <c r="Q6" i="8" s="1"/>
  <c r="N6" i="8"/>
  <c r="O6" i="8" s="1"/>
  <c r="H6" i="8"/>
  <c r="F6" i="8"/>
  <c r="D6" i="8"/>
  <c r="P5" i="8"/>
  <c r="Q5" i="8" s="1"/>
  <c r="N5" i="8"/>
  <c r="O5" i="8" s="1"/>
  <c r="H5" i="8"/>
  <c r="F5" i="8"/>
  <c r="D5" i="8"/>
  <c r="P4" i="8"/>
  <c r="Q4" i="8" s="1"/>
  <c r="N4" i="8"/>
  <c r="O4" i="8" s="1"/>
  <c r="H4" i="8"/>
  <c r="F4" i="8"/>
  <c r="D4" i="8"/>
  <c r="P3" i="8"/>
  <c r="Q3" i="8" s="1"/>
  <c r="N3" i="8"/>
  <c r="O3" i="8" s="1"/>
  <c r="H3" i="8"/>
  <c r="F3" i="8"/>
  <c r="D3" i="8"/>
  <c r="A124" i="5"/>
  <c r="D92" i="4" s="1"/>
  <c r="D111" i="5"/>
  <c r="P17" i="13" s="1"/>
  <c r="I22" i="13" s="1"/>
  <c r="D104" i="5"/>
  <c r="H94" i="5"/>
  <c r="F91" i="5"/>
  <c r="F69" i="4" s="1"/>
  <c r="H69" i="4" s="1"/>
  <c r="F89" i="5"/>
  <c r="F67" i="4" s="1"/>
  <c r="H67" i="4" s="1"/>
  <c r="F87" i="5"/>
  <c r="F65" i="4" s="1"/>
  <c r="H65" i="4" s="1"/>
  <c r="D43" i="5"/>
  <c r="F74" i="4" s="1"/>
  <c r="H74" i="4" s="1"/>
  <c r="F90" i="4"/>
  <c r="H90" i="4" s="1"/>
  <c r="F89" i="4"/>
  <c r="H89" i="4" s="1"/>
  <c r="F88" i="4"/>
  <c r="H88" i="4" s="1"/>
  <c r="D87" i="4"/>
  <c r="C87" i="4"/>
  <c r="D86" i="4"/>
  <c r="C86" i="4"/>
  <c r="F85" i="4"/>
  <c r="H85" i="4" s="1"/>
  <c r="F82" i="4"/>
  <c r="H82" i="4" s="1"/>
  <c r="D80" i="4"/>
  <c r="C80" i="4"/>
  <c r="D78" i="4"/>
  <c r="C78" i="4"/>
  <c r="D75" i="4"/>
  <c r="C75" i="4"/>
  <c r="D73" i="4"/>
  <c r="C73" i="4"/>
  <c r="E69" i="4"/>
  <c r="D69" i="4"/>
  <c r="C69" i="4"/>
  <c r="B69" i="4"/>
  <c r="A69" i="4"/>
  <c r="E68" i="4"/>
  <c r="D68" i="4"/>
  <c r="C68" i="4"/>
  <c r="B68" i="4"/>
  <c r="A68" i="4"/>
  <c r="E67" i="4"/>
  <c r="D67" i="4"/>
  <c r="C67" i="4"/>
  <c r="B67" i="4"/>
  <c r="A67" i="4"/>
  <c r="E66" i="4"/>
  <c r="D66" i="4"/>
  <c r="C66" i="4"/>
  <c r="B66" i="4"/>
  <c r="A66" i="4"/>
  <c r="E65" i="4"/>
  <c r="D65" i="4"/>
  <c r="C65" i="4"/>
  <c r="B65" i="4"/>
  <c r="A65" i="4"/>
  <c r="E64" i="4"/>
  <c r="D64" i="4"/>
  <c r="C64" i="4"/>
  <c r="B64" i="4"/>
  <c r="A64" i="4"/>
  <c r="E63" i="4"/>
  <c r="A63" i="4"/>
  <c r="E62" i="4"/>
  <c r="D62" i="4"/>
  <c r="C62" i="4"/>
  <c r="A62" i="4"/>
  <c r="E61" i="4"/>
  <c r="A61" i="4"/>
  <c r="E60" i="4"/>
  <c r="D60" i="4"/>
  <c r="C60" i="4"/>
  <c r="A60" i="4"/>
  <c r="E59" i="4"/>
  <c r="A59" i="4"/>
  <c r="E58" i="4"/>
  <c r="D58" i="4"/>
  <c r="C58"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B23" i="4"/>
  <c r="H23" i="4" s="1"/>
  <c r="B22" i="4"/>
  <c r="H22" i="4" s="1"/>
  <c r="B21" i="4"/>
  <c r="H21" i="4" s="1"/>
  <c r="B20" i="4"/>
  <c r="H20" i="4" s="1"/>
  <c r="B19" i="4"/>
  <c r="H19" i="4" s="1"/>
  <c r="B18" i="4"/>
  <c r="H18" i="4" s="1"/>
  <c r="B17" i="4"/>
  <c r="B15" i="4"/>
  <c r="B14" i="4"/>
  <c r="B13" i="4"/>
  <c r="B12" i="4"/>
  <c r="B11" i="4"/>
  <c r="B10" i="4"/>
  <c r="B9" i="4"/>
  <c r="F4" i="4"/>
  <c r="D39" i="9"/>
  <c r="F11" i="9"/>
  <c r="C40" i="12"/>
  <c r="B27" i="12"/>
  <c r="B18" i="12"/>
  <c r="B17" i="12"/>
  <c r="B15" i="12"/>
  <c r="B13" i="12"/>
  <c r="B11" i="12"/>
  <c r="C9" i="12"/>
  <c r="W156" i="15" l="1"/>
  <c r="F35" i="15"/>
  <c r="H35" i="15" s="1"/>
  <c r="I35" i="15" s="1"/>
  <c r="F43" i="15"/>
  <c r="V258" i="15"/>
  <c r="V72" i="15"/>
  <c r="V93" i="15"/>
  <c r="G402" i="15"/>
  <c r="E398" i="17" s="1"/>
  <c r="F141" i="15"/>
  <c r="R68" i="15"/>
  <c r="V115" i="15"/>
  <c r="V242" i="15"/>
  <c r="B320" i="16"/>
  <c r="W79" i="15"/>
  <c r="G139" i="15"/>
  <c r="E135" i="17" s="1"/>
  <c r="F137" i="15"/>
  <c r="G137" i="15" s="1"/>
  <c r="E133" i="17" s="1"/>
  <c r="H95" i="15"/>
  <c r="I95" i="15" s="1"/>
  <c r="G229" i="15"/>
  <c r="E225" i="17" s="1"/>
  <c r="F34" i="15"/>
  <c r="H34" i="15" s="1"/>
  <c r="V105" i="15"/>
  <c r="F138" i="15"/>
  <c r="H138" i="15" s="1"/>
  <c r="I138" i="15" s="1"/>
  <c r="F356" i="15"/>
  <c r="V95" i="15"/>
  <c r="F134" i="15"/>
  <c r="H134" i="15" s="1"/>
  <c r="B130" i="16" s="1"/>
  <c r="R48" i="15"/>
  <c r="R77" i="15"/>
  <c r="G11" i="15"/>
  <c r="E7" i="17" s="1"/>
  <c r="H585" i="15"/>
  <c r="B581" i="16" s="1"/>
  <c r="V70" i="15"/>
  <c r="H376" i="15"/>
  <c r="G162" i="15"/>
  <c r="E158" i="17" s="1"/>
  <c r="H209" i="15"/>
  <c r="B205" i="16" s="1"/>
  <c r="I313" i="15"/>
  <c r="G552" i="15"/>
  <c r="E548" i="17" s="1"/>
  <c r="G171" i="15"/>
  <c r="E167" i="17" s="1"/>
  <c r="G217" i="15"/>
  <c r="E213" i="17" s="1"/>
  <c r="G202" i="15"/>
  <c r="E198" i="17" s="1"/>
  <c r="F121" i="15"/>
  <c r="H121" i="15" s="1"/>
  <c r="B117" i="16" s="1"/>
  <c r="H384" i="15"/>
  <c r="B380" i="16" s="1"/>
  <c r="G261" i="15"/>
  <c r="E257" i="17" s="1"/>
  <c r="H819" i="15"/>
  <c r="B815" i="16" s="1"/>
  <c r="B890" i="16"/>
  <c r="R53" i="15"/>
  <c r="G704" i="15"/>
  <c r="E700" i="17" s="1"/>
  <c r="G802" i="15"/>
  <c r="E798" i="17" s="1"/>
  <c r="H454" i="15"/>
  <c r="I454" i="15" s="1"/>
  <c r="G492" i="15"/>
  <c r="E488" i="17" s="1"/>
  <c r="H861" i="15"/>
  <c r="I861" i="15" s="1"/>
  <c r="V78" i="15"/>
  <c r="W171" i="15"/>
  <c r="H179" i="15"/>
  <c r="H225" i="15"/>
  <c r="I225" i="15" s="1"/>
  <c r="R49" i="15"/>
  <c r="G862" i="15"/>
  <c r="E858" i="17" s="1"/>
  <c r="W232" i="15"/>
  <c r="G315" i="15"/>
  <c r="E311" i="17" s="1"/>
  <c r="I464" i="15"/>
  <c r="R40" i="15"/>
  <c r="V117" i="15"/>
  <c r="V131" i="15"/>
  <c r="H368" i="15"/>
  <c r="I368" i="15" s="1"/>
  <c r="G659" i="15"/>
  <c r="E655" i="17" s="1"/>
  <c r="H928" i="15"/>
  <c r="B924" i="16" s="1"/>
  <c r="V235" i="15"/>
  <c r="R55" i="15"/>
  <c r="H848" i="15"/>
  <c r="B844" i="16" s="1"/>
  <c r="G885" i="15"/>
  <c r="E881" i="17" s="1"/>
  <c r="F21" i="15"/>
  <c r="G21" i="15" s="1"/>
  <c r="E17" i="17" s="1"/>
  <c r="R51" i="15"/>
  <c r="W81" i="15"/>
  <c r="H379" i="15"/>
  <c r="I379" i="15" s="1"/>
  <c r="V52" i="15"/>
  <c r="I190" i="15"/>
  <c r="G873" i="15"/>
  <c r="E869" i="17" s="1"/>
  <c r="H348" i="15"/>
  <c r="I348" i="15" s="1"/>
  <c r="G348" i="15"/>
  <c r="E344" i="17" s="1"/>
  <c r="H944" i="15"/>
  <c r="B940" i="16" s="1"/>
  <c r="G944" i="15"/>
  <c r="E940" i="17" s="1"/>
  <c r="G617" i="15"/>
  <c r="E613" i="17" s="1"/>
  <c r="H617" i="15"/>
  <c r="B613" i="16" s="1"/>
  <c r="H74" i="15"/>
  <c r="B70" i="16" s="1"/>
  <c r="G74" i="15"/>
  <c r="E70" i="17" s="1"/>
  <c r="H158" i="15"/>
  <c r="B154" i="16" s="1"/>
  <c r="I783" i="15"/>
  <c r="B779" i="16"/>
  <c r="P38" i="15"/>
  <c r="W38" i="15" s="1"/>
  <c r="G69" i="15"/>
  <c r="E65" i="17" s="1"/>
  <c r="G485" i="15"/>
  <c r="E481" i="17" s="1"/>
  <c r="H485" i="15"/>
  <c r="I485" i="15" s="1"/>
  <c r="B187" i="16"/>
  <c r="I191" i="15"/>
  <c r="G544" i="15"/>
  <c r="E540" i="17" s="1"/>
  <c r="H544" i="15"/>
  <c r="G781" i="15"/>
  <c r="E777" i="17" s="1"/>
  <c r="H781" i="15"/>
  <c r="B777" i="16" s="1"/>
  <c r="G496" i="15"/>
  <c r="E492" i="17" s="1"/>
  <c r="H496" i="15"/>
  <c r="B492" i="16" s="1"/>
  <c r="P144" i="15"/>
  <c r="Q144" i="15" s="1"/>
  <c r="R144" i="15" s="1"/>
  <c r="F118" i="15"/>
  <c r="H118" i="15" s="1"/>
  <c r="I818" i="15"/>
  <c r="B814" i="16"/>
  <c r="H545" i="15"/>
  <c r="I545" i="15" s="1"/>
  <c r="G850" i="15"/>
  <c r="E846" i="17" s="1"/>
  <c r="H649" i="15"/>
  <c r="I649" i="15" s="1"/>
  <c r="P145" i="15"/>
  <c r="Q145" i="15" s="1"/>
  <c r="R145" i="15" s="1"/>
  <c r="H186" i="15"/>
  <c r="I186" i="15" s="1"/>
  <c r="G487" i="15"/>
  <c r="E483" i="17" s="1"/>
  <c r="G12" i="15"/>
  <c r="E8" i="17" s="1"/>
  <c r="H409" i="15"/>
  <c r="B405" i="16" s="1"/>
  <c r="G663" i="15"/>
  <c r="E659" i="17" s="1"/>
  <c r="H866" i="15"/>
  <c r="B862" i="16" s="1"/>
  <c r="G880" i="15"/>
  <c r="E876" i="17" s="1"/>
  <c r="H892" i="15"/>
  <c r="I892" i="15" s="1"/>
  <c r="P140" i="15"/>
  <c r="Q140" i="15" s="1"/>
  <c r="V140" i="15" s="1"/>
  <c r="P159" i="15"/>
  <c r="Q159" i="15" s="1"/>
  <c r="R159" i="15" s="1"/>
  <c r="G181" i="15"/>
  <c r="E177" i="17" s="1"/>
  <c r="F371" i="15"/>
  <c r="H371" i="15" s="1"/>
  <c r="G547" i="15"/>
  <c r="E543" i="17" s="1"/>
  <c r="H811" i="15"/>
  <c r="B807" i="16" s="1"/>
  <c r="G853" i="15"/>
  <c r="E849" i="17" s="1"/>
  <c r="H352" i="15"/>
  <c r="B348" i="16" s="1"/>
  <c r="H460" i="15"/>
  <c r="B456" i="16" s="1"/>
  <c r="H113" i="15"/>
  <c r="B109" i="16" s="1"/>
  <c r="P200" i="15"/>
  <c r="Q200" i="15" s="1"/>
  <c r="W200" i="15" s="1"/>
  <c r="H893" i="15"/>
  <c r="I893" i="15" s="1"/>
  <c r="G273" i="15"/>
  <c r="E269" i="17" s="1"/>
  <c r="G323" i="15"/>
  <c r="E319" i="17" s="1"/>
  <c r="H338" i="15"/>
  <c r="I503" i="15"/>
  <c r="G563" i="15"/>
  <c r="E559" i="17" s="1"/>
  <c r="G923" i="15"/>
  <c r="E919" i="17" s="1"/>
  <c r="G843" i="15"/>
  <c r="E839" i="17" s="1"/>
  <c r="H774" i="15"/>
  <c r="B770" i="16" s="1"/>
  <c r="H78" i="15"/>
  <c r="B74" i="16" s="1"/>
  <c r="G648" i="15"/>
  <c r="E644" i="17" s="1"/>
  <c r="G660" i="15"/>
  <c r="E656" i="17" s="1"/>
  <c r="H878" i="15"/>
  <c r="I878" i="15" s="1"/>
  <c r="G918" i="15"/>
  <c r="E914" i="17" s="1"/>
  <c r="G191" i="15"/>
  <c r="E187" i="17" s="1"/>
  <c r="G865" i="15"/>
  <c r="E861" i="17" s="1"/>
  <c r="P153" i="15"/>
  <c r="Q153" i="15" s="1"/>
  <c r="R153" i="15" s="1"/>
  <c r="G472" i="15"/>
  <c r="E468" i="17" s="1"/>
  <c r="G699" i="15"/>
  <c r="E695" i="17" s="1"/>
  <c r="H444" i="15"/>
  <c r="B440" i="16" s="1"/>
  <c r="G588" i="15"/>
  <c r="E584" i="17" s="1"/>
  <c r="G650" i="15"/>
  <c r="E646" i="17" s="1"/>
  <c r="H840" i="15"/>
  <c r="B836" i="16" s="1"/>
  <c r="P186" i="15"/>
  <c r="Q186" i="15" s="1"/>
  <c r="P214" i="15"/>
  <c r="Q214" i="15" s="1"/>
  <c r="R214" i="15" s="1"/>
  <c r="G578" i="15"/>
  <c r="E574" i="17" s="1"/>
  <c r="H639" i="15"/>
  <c r="B635" i="16" s="1"/>
  <c r="H194" i="15"/>
  <c r="B190" i="16" s="1"/>
  <c r="H475" i="15"/>
  <c r="B471" i="16" s="1"/>
  <c r="I488" i="15"/>
  <c r="H536" i="15"/>
  <c r="B532" i="16" s="1"/>
  <c r="H842" i="15"/>
  <c r="B838" i="16" s="1"/>
  <c r="G252" i="15"/>
  <c r="E248" i="17" s="1"/>
  <c r="G430" i="15"/>
  <c r="E426" i="17" s="1"/>
  <c r="B694" i="16"/>
  <c r="H22" i="15"/>
  <c r="B18" i="16" s="1"/>
  <c r="G215" i="15"/>
  <c r="E211" i="17" s="1"/>
  <c r="G228" i="15"/>
  <c r="E224" i="17" s="1"/>
  <c r="I323" i="15"/>
  <c r="H476" i="15"/>
  <c r="B472" i="16" s="1"/>
  <c r="G537" i="15"/>
  <c r="E533" i="17" s="1"/>
  <c r="H640" i="15"/>
  <c r="I640" i="15" s="1"/>
  <c r="H855" i="15"/>
  <c r="B851" i="16" s="1"/>
  <c r="G883" i="15"/>
  <c r="E879" i="17" s="1"/>
  <c r="P9" i="15"/>
  <c r="Q9" i="15" s="1"/>
  <c r="G504" i="15"/>
  <c r="E500" i="17" s="1"/>
  <c r="F47" i="15"/>
  <c r="H47" i="15" s="1"/>
  <c r="G161" i="15"/>
  <c r="E157" i="17" s="1"/>
  <c r="G169" i="15"/>
  <c r="E165" i="17" s="1"/>
  <c r="I312" i="15"/>
  <c r="G324" i="15"/>
  <c r="E320" i="17" s="1"/>
  <c r="G463" i="15"/>
  <c r="E459" i="17" s="1"/>
  <c r="H491" i="15"/>
  <c r="I491" i="15" s="1"/>
  <c r="H551" i="15"/>
  <c r="B547" i="16" s="1"/>
  <c r="G565" i="15"/>
  <c r="E561" i="17" s="1"/>
  <c r="G703" i="15"/>
  <c r="E699" i="17" s="1"/>
  <c r="H801" i="15"/>
  <c r="B797" i="16" s="1"/>
  <c r="H884" i="15"/>
  <c r="B880" i="16" s="1"/>
  <c r="G924" i="15"/>
  <c r="E920" i="17" s="1"/>
  <c r="H952" i="15"/>
  <c r="B948" i="16" s="1"/>
  <c r="H10" i="15"/>
  <c r="B6" i="16" s="1"/>
  <c r="W43" i="15"/>
  <c r="G114" i="15"/>
  <c r="E110" i="17" s="1"/>
  <c r="F123" i="15"/>
  <c r="H123" i="15" s="1"/>
  <c r="H196" i="15"/>
  <c r="B192" i="16" s="1"/>
  <c r="H525" i="15"/>
  <c r="I525" i="15" s="1"/>
  <c r="H642" i="15"/>
  <c r="B638" i="16" s="1"/>
  <c r="G788" i="15"/>
  <c r="E784" i="17" s="1"/>
  <c r="G844" i="15"/>
  <c r="E840" i="17" s="1"/>
  <c r="H470" i="15"/>
  <c r="B466" i="16" s="1"/>
  <c r="G558" i="15"/>
  <c r="E554" i="17" s="1"/>
  <c r="G793" i="15"/>
  <c r="E789" i="17" s="1"/>
  <c r="I533" i="15"/>
  <c r="Q81" i="15"/>
  <c r="V81" i="15" s="1"/>
  <c r="H560" i="15"/>
  <c r="B556" i="16" s="1"/>
  <c r="P16" i="15"/>
  <c r="W16" i="15" s="1"/>
  <c r="H732" i="15"/>
  <c r="B728" i="16" s="1"/>
  <c r="G823" i="15"/>
  <c r="E819" i="17" s="1"/>
  <c r="I823" i="15"/>
  <c r="W80" i="15"/>
  <c r="G30" i="15"/>
  <c r="E26" i="17" s="1"/>
  <c r="F46" i="15"/>
  <c r="H46" i="15" s="1"/>
  <c r="I46" i="15" s="1"/>
  <c r="H82" i="15"/>
  <c r="B78" i="16" s="1"/>
  <c r="P206" i="15"/>
  <c r="Q206" i="15" s="1"/>
  <c r="R206" i="15" s="1"/>
  <c r="G363" i="15"/>
  <c r="E359" i="17" s="1"/>
  <c r="G503" i="15"/>
  <c r="E499" i="17" s="1"/>
  <c r="H785" i="15"/>
  <c r="B781" i="16" s="1"/>
  <c r="G812" i="15"/>
  <c r="E808" i="17" s="1"/>
  <c r="G882" i="15"/>
  <c r="E878" i="17" s="1"/>
  <c r="G71" i="15"/>
  <c r="E67" i="17" s="1"/>
  <c r="H532" i="15"/>
  <c r="B528" i="16" s="1"/>
  <c r="H49" i="15"/>
  <c r="B45" i="16" s="1"/>
  <c r="H105" i="15"/>
  <c r="B101" i="16" s="1"/>
  <c r="G110" i="15"/>
  <c r="E106" i="17" s="1"/>
  <c r="I128" i="15"/>
  <c r="H132" i="15"/>
  <c r="B128" i="16" s="1"/>
  <c r="G262" i="15"/>
  <c r="E258" i="17" s="1"/>
  <c r="G314" i="15"/>
  <c r="E310" i="17" s="1"/>
  <c r="H357" i="15"/>
  <c r="I357" i="15" s="1"/>
  <c r="G452" i="15"/>
  <c r="E448" i="17" s="1"/>
  <c r="G568" i="15"/>
  <c r="E564" i="17" s="1"/>
  <c r="G584" i="15"/>
  <c r="E580" i="17" s="1"/>
  <c r="G778" i="15"/>
  <c r="E774" i="17" s="1"/>
  <c r="H803" i="15"/>
  <c r="B799" i="16" s="1"/>
  <c r="G818" i="15"/>
  <c r="E814" i="17" s="1"/>
  <c r="G874" i="15"/>
  <c r="E870" i="17" s="1"/>
  <c r="H898" i="15"/>
  <c r="B894" i="16" s="1"/>
  <c r="G913" i="15"/>
  <c r="E909" i="17" s="1"/>
  <c r="H927" i="15"/>
  <c r="G697" i="15"/>
  <c r="E693" i="17" s="1"/>
  <c r="G902" i="15"/>
  <c r="E898" i="17" s="1"/>
  <c r="P34" i="15"/>
  <c r="Q34" i="15" s="1"/>
  <c r="V34" i="15" s="1"/>
  <c r="R106" i="15"/>
  <c r="G618" i="15"/>
  <c r="E614" i="17" s="1"/>
  <c r="I603" i="15"/>
  <c r="G783" i="15"/>
  <c r="E779" i="17" s="1"/>
  <c r="H930" i="15"/>
  <c r="I930" i="15" s="1"/>
  <c r="G810" i="15"/>
  <c r="E806" i="17" s="1"/>
  <c r="H45" i="15"/>
  <c r="B41" i="16" s="1"/>
  <c r="P136" i="15"/>
  <c r="Q136" i="15" s="1"/>
  <c r="R136" i="15" s="1"/>
  <c r="H172" i="15"/>
  <c r="I172" i="15" s="1"/>
  <c r="P218" i="15"/>
  <c r="Q218" i="15" s="1"/>
  <c r="W218" i="15" s="1"/>
  <c r="H232" i="15"/>
  <c r="B228" i="16" s="1"/>
  <c r="I638" i="15"/>
  <c r="G700" i="15"/>
  <c r="E696" i="17" s="1"/>
  <c r="G784" i="15"/>
  <c r="E780" i="17" s="1"/>
  <c r="H88" i="15"/>
  <c r="B84" i="16" s="1"/>
  <c r="H103" i="15"/>
  <c r="B99" i="16" s="1"/>
  <c r="H322" i="15"/>
  <c r="I322" i="15" s="1"/>
  <c r="G410" i="15"/>
  <c r="E406" i="17" s="1"/>
  <c r="G488" i="15"/>
  <c r="E484" i="17" s="1"/>
  <c r="H562" i="15"/>
  <c r="B558" i="16" s="1"/>
  <c r="G94" i="15"/>
  <c r="E90" i="17" s="1"/>
  <c r="P181" i="15"/>
  <c r="Q181" i="15" s="1"/>
  <c r="V181" i="15" s="1"/>
  <c r="G608" i="15"/>
  <c r="E604" i="17" s="1"/>
  <c r="G908" i="15"/>
  <c r="E904" i="17" s="1"/>
  <c r="G462" i="15"/>
  <c r="E458" i="17" s="1"/>
  <c r="G800" i="15"/>
  <c r="E796" i="17" s="1"/>
  <c r="G894" i="15"/>
  <c r="E890" i="17" s="1"/>
  <c r="G58" i="15"/>
  <c r="E54" i="17" s="1"/>
  <c r="R71" i="15"/>
  <c r="H207" i="15"/>
  <c r="B203" i="16" s="1"/>
  <c r="H385" i="15"/>
  <c r="B381" i="16" s="1"/>
  <c r="G326" i="15"/>
  <c r="E322" i="17" s="1"/>
  <c r="H417" i="15"/>
  <c r="I417" i="15" s="1"/>
  <c r="R24" i="15"/>
  <c r="F57" i="15"/>
  <c r="G57" i="15" s="1"/>
  <c r="E53" i="17" s="1"/>
  <c r="V63" i="15"/>
  <c r="G101" i="15"/>
  <c r="E97" i="17" s="1"/>
  <c r="H163" i="15"/>
  <c r="I163" i="15" s="1"/>
  <c r="G279" i="15"/>
  <c r="E275" i="17" s="1"/>
  <c r="G543" i="15"/>
  <c r="E539" i="17" s="1"/>
  <c r="G645" i="15"/>
  <c r="E641" i="17" s="1"/>
  <c r="G694" i="15"/>
  <c r="E690" i="17" s="1"/>
  <c r="G705" i="15"/>
  <c r="E701" i="17" s="1"/>
  <c r="H791" i="15"/>
  <c r="G943" i="15"/>
  <c r="E939" i="17" s="1"/>
  <c r="H586" i="15"/>
  <c r="B582" i="16" s="1"/>
  <c r="H891" i="15"/>
  <c r="G929" i="15"/>
  <c r="E925" i="17" s="1"/>
  <c r="H86" i="15"/>
  <c r="I86" i="15" s="1"/>
  <c r="H153" i="15"/>
  <c r="B149" i="16" s="1"/>
  <c r="H486" i="15"/>
  <c r="I486" i="15" s="1"/>
  <c r="G603" i="15"/>
  <c r="E599" i="17" s="1"/>
  <c r="G637" i="15"/>
  <c r="E633" i="17" s="1"/>
  <c r="H821" i="15"/>
  <c r="B817" i="16" s="1"/>
  <c r="P102" i="15"/>
  <c r="Q102" i="15" s="1"/>
  <c r="V102" i="15" s="1"/>
  <c r="G120" i="15"/>
  <c r="E116" i="17" s="1"/>
  <c r="G443" i="15"/>
  <c r="E439" i="17" s="1"/>
  <c r="G587" i="15"/>
  <c r="E583" i="17" s="1"/>
  <c r="G903" i="15"/>
  <c r="E899" i="17" s="1"/>
  <c r="G112" i="15"/>
  <c r="E108" i="17" s="1"/>
  <c r="H159" i="15"/>
  <c r="B155" i="16" s="1"/>
  <c r="H546" i="15"/>
  <c r="B542" i="16" s="1"/>
  <c r="G638" i="15"/>
  <c r="E634" i="17" s="1"/>
  <c r="I795" i="15"/>
  <c r="I335" i="15"/>
  <c r="G227" i="15"/>
  <c r="E223" i="17" s="1"/>
  <c r="G535" i="15"/>
  <c r="E531" i="17" s="1"/>
  <c r="I588" i="15"/>
  <c r="R107" i="15"/>
  <c r="G251" i="15"/>
  <c r="E247" i="17" s="1"/>
  <c r="H445" i="15"/>
  <c r="I445" i="15" s="1"/>
  <c r="H772" i="15"/>
  <c r="I772" i="15" s="1"/>
  <c r="G867" i="15"/>
  <c r="E863" i="17" s="1"/>
  <c r="H949" i="15"/>
  <c r="B945" i="16" s="1"/>
  <c r="H353" i="15"/>
  <c r="B349" i="16" s="1"/>
  <c r="G652" i="15"/>
  <c r="E648" i="17" s="1"/>
  <c r="H701" i="15"/>
  <c r="H447" i="15"/>
  <c r="B443" i="16" s="1"/>
  <c r="H550" i="15"/>
  <c r="B546" i="16" s="1"/>
  <c r="H813" i="15"/>
  <c r="B809" i="16" s="1"/>
  <c r="H108" i="15"/>
  <c r="I108" i="15" s="1"/>
  <c r="H581" i="15"/>
  <c r="H609" i="15"/>
  <c r="B605" i="16" s="1"/>
  <c r="G653" i="15"/>
  <c r="E649" i="17" s="1"/>
  <c r="G787" i="15"/>
  <c r="E783" i="17" s="1"/>
  <c r="G909" i="15"/>
  <c r="E905" i="17" s="1"/>
  <c r="H14" i="15"/>
  <c r="I14" i="15" s="1"/>
  <c r="I162" i="15"/>
  <c r="H216" i="15"/>
  <c r="B212" i="16" s="1"/>
  <c r="V254" i="15"/>
  <c r="H761" i="15"/>
  <c r="I761" i="15" s="1"/>
  <c r="G190" i="15"/>
  <c r="E186" i="17" s="1"/>
  <c r="H395" i="15"/>
  <c r="H263" i="15"/>
  <c r="B259" i="16" s="1"/>
  <c r="H377" i="15"/>
  <c r="B373" i="16" s="1"/>
  <c r="I543" i="15"/>
  <c r="H751" i="15"/>
  <c r="H741" i="15"/>
  <c r="B737" i="16" s="1"/>
  <c r="G743" i="15"/>
  <c r="E739" i="17" s="1"/>
  <c r="H737" i="15"/>
  <c r="B733" i="16" s="1"/>
  <c r="H960" i="15"/>
  <c r="B956" i="16" s="1"/>
  <c r="G958" i="15"/>
  <c r="E954" i="17" s="1"/>
  <c r="H959" i="15"/>
  <c r="B955" i="16" s="1"/>
  <c r="G828" i="15"/>
  <c r="E824" i="17" s="1"/>
  <c r="G833" i="15"/>
  <c r="E829" i="17" s="1"/>
  <c r="G832" i="15"/>
  <c r="E828" i="17" s="1"/>
  <c r="G829" i="15"/>
  <c r="E825" i="17" s="1"/>
  <c r="G827" i="15"/>
  <c r="E823" i="17" s="1"/>
  <c r="G830" i="15"/>
  <c r="E826" i="17" s="1"/>
  <c r="G764" i="15"/>
  <c r="E760" i="17" s="1"/>
  <c r="G763" i="15"/>
  <c r="E759" i="17" s="1"/>
  <c r="G760" i="15"/>
  <c r="E756" i="17" s="1"/>
  <c r="G752" i="15"/>
  <c r="E748" i="17" s="1"/>
  <c r="G750" i="15"/>
  <c r="E746" i="17" s="1"/>
  <c r="H744" i="15"/>
  <c r="B740" i="16" s="1"/>
  <c r="G723" i="15"/>
  <c r="E719" i="17" s="1"/>
  <c r="G727" i="15"/>
  <c r="E723" i="17" s="1"/>
  <c r="G728" i="15"/>
  <c r="E724" i="17" s="1"/>
  <c r="G730" i="15"/>
  <c r="E726" i="17" s="1"/>
  <c r="G709" i="15"/>
  <c r="E705" i="17" s="1"/>
  <c r="H687" i="15"/>
  <c r="B683" i="16" s="1"/>
  <c r="G690" i="15"/>
  <c r="E686" i="17" s="1"/>
  <c r="G678" i="15"/>
  <c r="E674" i="17" s="1"/>
  <c r="G677" i="15"/>
  <c r="E673" i="17" s="1"/>
  <c r="G683" i="15"/>
  <c r="E679" i="17" s="1"/>
  <c r="G594" i="15"/>
  <c r="E590" i="17" s="1"/>
  <c r="I594" i="15"/>
  <c r="G593" i="15"/>
  <c r="E589" i="17" s="1"/>
  <c r="H591" i="15"/>
  <c r="G598" i="15"/>
  <c r="E594" i="17" s="1"/>
  <c r="I598" i="15"/>
  <c r="G590" i="15"/>
  <c r="E586" i="17" s="1"/>
  <c r="B589" i="16"/>
  <c r="H599" i="15"/>
  <c r="I599" i="15" s="1"/>
  <c r="H580" i="15"/>
  <c r="B576" i="16" s="1"/>
  <c r="H439" i="15"/>
  <c r="B435" i="16" s="1"/>
  <c r="I438" i="15"/>
  <c r="H421" i="15"/>
  <c r="B417" i="16" s="1"/>
  <c r="H424" i="15"/>
  <c r="I424" i="15" s="1"/>
  <c r="G419" i="15"/>
  <c r="E415" i="17" s="1"/>
  <c r="G302" i="15"/>
  <c r="E298" i="17" s="1"/>
  <c r="G295" i="15"/>
  <c r="E291" i="17" s="1"/>
  <c r="I295" i="15"/>
  <c r="G285" i="15"/>
  <c r="E281" i="17" s="1"/>
  <c r="G287" i="15"/>
  <c r="E283" i="17" s="1"/>
  <c r="G284" i="15"/>
  <c r="E280" i="17" s="1"/>
  <c r="I271" i="15"/>
  <c r="G257" i="15"/>
  <c r="E253" i="17" s="1"/>
  <c r="I236" i="15"/>
  <c r="G236" i="15"/>
  <c r="E232" i="17" s="1"/>
  <c r="B87" i="16"/>
  <c r="I91" i="15"/>
  <c r="G91" i="15"/>
  <c r="E87" i="17" s="1"/>
  <c r="H90" i="15"/>
  <c r="B86" i="16" s="1"/>
  <c r="I88" i="15"/>
  <c r="H79" i="15"/>
  <c r="B75" i="16" s="1"/>
  <c r="G77" i="15"/>
  <c r="E73" i="17" s="1"/>
  <c r="H76" i="15"/>
  <c r="B72" i="16" s="1"/>
  <c r="H75" i="15"/>
  <c r="I75" i="15" s="1"/>
  <c r="I31" i="15"/>
  <c r="G31" i="15"/>
  <c r="E27" i="17" s="1"/>
  <c r="G938" i="15"/>
  <c r="E934" i="17" s="1"/>
  <c r="G933" i="15"/>
  <c r="E929" i="17" s="1"/>
  <c r="H632" i="15"/>
  <c r="B628" i="16" s="1"/>
  <c r="H631" i="15"/>
  <c r="B627" i="16" s="1"/>
  <c r="G628" i="15"/>
  <c r="E624" i="17" s="1"/>
  <c r="H625" i="15"/>
  <c r="B621" i="16" s="1"/>
  <c r="G623" i="15"/>
  <c r="E619" i="17" s="1"/>
  <c r="J55" i="6"/>
  <c r="D70" i="5" s="1"/>
  <c r="D48" i="4" s="1"/>
  <c r="D50" i="4"/>
  <c r="X72" i="5"/>
  <c r="J70" i="6"/>
  <c r="J71" i="6"/>
  <c r="C76" i="5" s="1"/>
  <c r="J72" i="6"/>
  <c r="J73" i="6"/>
  <c r="C72" i="5" s="1"/>
  <c r="H64" i="4"/>
  <c r="F83" i="4"/>
  <c r="H83" i="4" s="1"/>
  <c r="B13" i="22"/>
  <c r="D13" i="22" s="1"/>
  <c r="D15" i="22" s="1"/>
  <c r="H13" i="22"/>
  <c r="J13" i="22" s="1"/>
  <c r="J15" i="22" s="1"/>
  <c r="L7" i="21"/>
  <c r="M7" i="21" s="1"/>
  <c r="B12" i="6"/>
  <c r="J12" i="6" s="1"/>
  <c r="C50" i="5" s="1"/>
  <c r="W50" i="5" s="1"/>
  <c r="B32" i="6"/>
  <c r="J32" i="6" s="1"/>
  <c r="C58" i="5" s="1"/>
  <c r="B50" i="6"/>
  <c r="J50" i="6" s="1"/>
  <c r="C70" i="5" s="1"/>
  <c r="C17" i="6"/>
  <c r="D76" i="5"/>
  <c r="B461" i="16"/>
  <c r="I465" i="15"/>
  <c r="V160" i="15"/>
  <c r="R160" i="15"/>
  <c r="B342" i="16"/>
  <c r="I346" i="15"/>
  <c r="R54" i="15"/>
  <c r="V54" i="15"/>
  <c r="B288" i="16"/>
  <c r="I292" i="15"/>
  <c r="G278" i="15"/>
  <c r="E274" i="17" s="1"/>
  <c r="H278" i="15"/>
  <c r="B274" i="16" s="1"/>
  <c r="G341" i="15"/>
  <c r="E337" i="17" s="1"/>
  <c r="H341" i="15"/>
  <c r="B337" i="16" s="1"/>
  <c r="H548" i="15"/>
  <c r="G548" i="15"/>
  <c r="E544" i="17" s="1"/>
  <c r="V82" i="15"/>
  <c r="R82" i="15"/>
  <c r="H99" i="15"/>
  <c r="B95" i="16" s="1"/>
  <c r="G104" i="15"/>
  <c r="E100" i="17" s="1"/>
  <c r="F399" i="15"/>
  <c r="G399" i="15" s="1"/>
  <c r="E395" i="17" s="1"/>
  <c r="P211" i="15"/>
  <c r="Q211" i="15" s="1"/>
  <c r="V211" i="15" s="1"/>
  <c r="B261" i="16"/>
  <c r="I265" i="15"/>
  <c r="H527" i="15"/>
  <c r="I527" i="15" s="1"/>
  <c r="G766" i="15"/>
  <c r="E762" i="17" s="1"/>
  <c r="H766" i="15"/>
  <c r="B762" i="16" s="1"/>
  <c r="H289" i="15"/>
  <c r="B285" i="16" s="1"/>
  <c r="G343" i="15"/>
  <c r="E339" i="17" s="1"/>
  <c r="H343" i="15"/>
  <c r="B339" i="16" s="1"/>
  <c r="H512" i="15"/>
  <c r="B508" i="16" s="1"/>
  <c r="H7" i="15"/>
  <c r="B3" i="16" s="1"/>
  <c r="G7" i="15"/>
  <c r="E3" i="17" s="1"/>
  <c r="G513" i="15"/>
  <c r="E509" i="17" s="1"/>
  <c r="G904" i="15"/>
  <c r="E900" i="17" s="1"/>
  <c r="V24" i="15"/>
  <c r="V253" i="15"/>
  <c r="R253" i="15"/>
  <c r="I680" i="15"/>
  <c r="I834" i="15"/>
  <c r="B66" i="16"/>
  <c r="I70" i="15"/>
  <c r="I280" i="15"/>
  <c r="G681" i="15"/>
  <c r="E677" i="17" s="1"/>
  <c r="H681" i="15"/>
  <c r="H835" i="15"/>
  <c r="B831" i="16" s="1"/>
  <c r="G835" i="15"/>
  <c r="E831" i="17" s="1"/>
  <c r="H905" i="15"/>
  <c r="H193" i="15"/>
  <c r="B189" i="16" s="1"/>
  <c r="H735" i="15"/>
  <c r="B731" i="16" s="1"/>
  <c r="G735" i="15"/>
  <c r="E731" i="17" s="1"/>
  <c r="P61" i="15"/>
  <c r="Q61" i="15" s="1"/>
  <c r="R61" i="15" s="1"/>
  <c r="F33" i="15"/>
  <c r="H33" i="15" s="1"/>
  <c r="B29" i="16" s="1"/>
  <c r="H173" i="15"/>
  <c r="G173" i="15"/>
  <c r="E169" i="17" s="1"/>
  <c r="H259" i="15"/>
  <c r="B255" i="16" s="1"/>
  <c r="H281" i="15"/>
  <c r="H308" i="15"/>
  <c r="B304" i="16" s="1"/>
  <c r="G308" i="15"/>
  <c r="E304" i="17" s="1"/>
  <c r="G334" i="15"/>
  <c r="E330" i="17" s="1"/>
  <c r="G346" i="15"/>
  <c r="E342" i="17" s="1"/>
  <c r="H630" i="15"/>
  <c r="B664" i="16"/>
  <c r="I668" i="15"/>
  <c r="G736" i="15"/>
  <c r="E732" i="17" s="1"/>
  <c r="H736" i="15"/>
  <c r="B732" i="16" s="1"/>
  <c r="H837" i="15"/>
  <c r="B833" i="16" s="1"/>
  <c r="G837" i="15"/>
  <c r="E833" i="17" s="1"/>
  <c r="H895" i="15"/>
  <c r="D60" i="19"/>
  <c r="V11" i="15"/>
  <c r="G80" i="15"/>
  <c r="E76" i="17" s="1"/>
  <c r="H84" i="15"/>
  <c r="B80" i="16" s="1"/>
  <c r="G93" i="15"/>
  <c r="E89" i="17" s="1"/>
  <c r="P180" i="15"/>
  <c r="Q180" i="15" s="1"/>
  <c r="R180" i="15" s="1"/>
  <c r="G270" i="15"/>
  <c r="E266" i="17" s="1"/>
  <c r="H294" i="15"/>
  <c r="B290" i="16" s="1"/>
  <c r="G294" i="15"/>
  <c r="E290" i="17" s="1"/>
  <c r="H309" i="15"/>
  <c r="B305" i="16" s="1"/>
  <c r="G309" i="15"/>
  <c r="E305" i="17" s="1"/>
  <c r="H440" i="15"/>
  <c r="B436" i="16" s="1"/>
  <c r="G440" i="15"/>
  <c r="E436" i="17" s="1"/>
  <c r="G465" i="15"/>
  <c r="E461" i="17" s="1"/>
  <c r="G668" i="15"/>
  <c r="E664" i="17" s="1"/>
  <c r="G748" i="15"/>
  <c r="E744" i="17" s="1"/>
  <c r="G849" i="15"/>
  <c r="E845" i="17" s="1"/>
  <c r="H849" i="15"/>
  <c r="B845" i="16" s="1"/>
  <c r="H886" i="15"/>
  <c r="I886" i="15" s="1"/>
  <c r="G907" i="15"/>
  <c r="E903" i="17" s="1"/>
  <c r="B954" i="16"/>
  <c r="I958" i="15"/>
  <c r="B33" i="6"/>
  <c r="J33" i="6" s="1"/>
  <c r="C56" i="5" s="1"/>
  <c r="C38" i="6"/>
  <c r="B38" i="6" s="1"/>
  <c r="J38" i="6" s="1"/>
  <c r="D56" i="5" s="1"/>
  <c r="V3" i="15"/>
  <c r="G37" i="15"/>
  <c r="E33" i="17" s="1"/>
  <c r="B48" i="16"/>
  <c r="I52" i="15"/>
  <c r="V84" i="15"/>
  <c r="H195" i="15"/>
  <c r="I195" i="15" s="1"/>
  <c r="G195" i="15"/>
  <c r="E191" i="17" s="1"/>
  <c r="G231" i="15"/>
  <c r="E227" i="17" s="1"/>
  <c r="H231" i="15"/>
  <c r="I231" i="15" s="1"/>
  <c r="H245" i="15"/>
  <c r="B241" i="16" s="1"/>
  <c r="G245" i="15"/>
  <c r="E241" i="17" s="1"/>
  <c r="G282" i="15"/>
  <c r="E278" i="17" s="1"/>
  <c r="H282" i="15"/>
  <c r="B278" i="16" s="1"/>
  <c r="H310" i="15"/>
  <c r="G310" i="15"/>
  <c r="E306" i="17" s="1"/>
  <c r="G335" i="15"/>
  <c r="E331" i="17" s="1"/>
  <c r="I478" i="15"/>
  <c r="H490" i="15"/>
  <c r="I490" i="15" s="1"/>
  <c r="G490" i="15"/>
  <c r="E486" i="17" s="1"/>
  <c r="B514" i="16"/>
  <c r="I518" i="15"/>
  <c r="H749" i="15"/>
  <c r="B745" i="16" s="1"/>
  <c r="G749" i="15"/>
  <c r="E745" i="17" s="1"/>
  <c r="B769" i="16"/>
  <c r="I773" i="15"/>
  <c r="G796" i="15"/>
  <c r="E792" i="17" s="1"/>
  <c r="H796" i="15"/>
  <c r="H806" i="15"/>
  <c r="H876" i="15"/>
  <c r="B872" i="16" s="1"/>
  <c r="G146" i="15"/>
  <c r="E142" i="17" s="1"/>
  <c r="P187" i="15"/>
  <c r="Q187" i="15" s="1"/>
  <c r="V187" i="15" s="1"/>
  <c r="H497" i="15"/>
  <c r="B493" i="16" s="1"/>
  <c r="G497" i="15"/>
  <c r="E493" i="17" s="1"/>
  <c r="G754" i="15"/>
  <c r="E750" i="17" s="1"/>
  <c r="H435" i="15"/>
  <c r="B431" i="16" s="1"/>
  <c r="G435" i="15"/>
  <c r="E431" i="17" s="1"/>
  <c r="H183" i="15"/>
  <c r="B179" i="16" s="1"/>
  <c r="H768" i="15"/>
  <c r="G768" i="15"/>
  <c r="E764" i="17" s="1"/>
  <c r="H188" i="15"/>
  <c r="B184" i="16" s="1"/>
  <c r="G332" i="15"/>
  <c r="E328" i="17" s="1"/>
  <c r="H332" i="15"/>
  <c r="B328" i="16" s="1"/>
  <c r="G680" i="15"/>
  <c r="E676" i="17" s="1"/>
  <c r="G280" i="15"/>
  <c r="E276" i="17" s="1"/>
  <c r="G345" i="15"/>
  <c r="E341" i="17" s="1"/>
  <c r="G540" i="15"/>
  <c r="E536" i="17" s="1"/>
  <c r="H733" i="15"/>
  <c r="B729" i="16" s="1"/>
  <c r="G733" i="15"/>
  <c r="E729" i="17" s="1"/>
  <c r="G89" i="15"/>
  <c r="E85" i="17" s="1"/>
  <c r="H180" i="15"/>
  <c r="B176" i="16" s="1"/>
  <c r="H501" i="15"/>
  <c r="B497" i="16" s="1"/>
  <c r="B914" i="16"/>
  <c r="I918" i="15"/>
  <c r="G189" i="15"/>
  <c r="E185" i="17" s="1"/>
  <c r="H189" i="15"/>
  <c r="B185" i="16" s="1"/>
  <c r="H283" i="15"/>
  <c r="I283" i="15" s="1"/>
  <c r="G283" i="15"/>
  <c r="E279" i="17" s="1"/>
  <c r="G26" i="15"/>
  <c r="E22" i="17" s="1"/>
  <c r="H26" i="15"/>
  <c r="B22" i="16" s="1"/>
  <c r="G56" i="15"/>
  <c r="E52" i="17" s="1"/>
  <c r="H56" i="15"/>
  <c r="I56" i="15" s="1"/>
  <c r="H174" i="15"/>
  <c r="G174" i="15"/>
  <c r="E170" i="17" s="1"/>
  <c r="B734" i="16"/>
  <c r="I738" i="15"/>
  <c r="G888" i="15"/>
  <c r="E884" i="17" s="1"/>
  <c r="H39" i="15"/>
  <c r="B35" i="16" s="1"/>
  <c r="G39" i="15"/>
  <c r="E35" i="17" s="1"/>
  <c r="R62" i="15"/>
  <c r="B177" i="16"/>
  <c r="I181" i="15"/>
  <c r="H237" i="15"/>
  <c r="I237" i="15" s="1"/>
  <c r="G237" i="15"/>
  <c r="E233" i="17" s="1"/>
  <c r="G260" i="15"/>
  <c r="E256" i="17" s="1"/>
  <c r="H296" i="15"/>
  <c r="G296" i="15"/>
  <c r="E292" i="17" s="1"/>
  <c r="G336" i="15"/>
  <c r="E332" i="17" s="1"/>
  <c r="G480" i="15"/>
  <c r="E476" i="17" s="1"/>
  <c r="G605" i="15"/>
  <c r="E601" i="17" s="1"/>
  <c r="H619" i="15"/>
  <c r="B615" i="16" s="1"/>
  <c r="G644" i="15"/>
  <c r="E640" i="17" s="1"/>
  <c r="H644" i="15"/>
  <c r="B640" i="16" s="1"/>
  <c r="H708" i="15"/>
  <c r="I708" i="15" s="1"/>
  <c r="G708" i="15"/>
  <c r="E704" i="17" s="1"/>
  <c r="G738" i="15"/>
  <c r="E734" i="17" s="1"/>
  <c r="G797" i="15"/>
  <c r="E793" i="17" s="1"/>
  <c r="H808" i="15"/>
  <c r="G808" i="15"/>
  <c r="E804" i="17" s="1"/>
  <c r="P203" i="15"/>
  <c r="Q203" i="15" s="1"/>
  <c r="R203" i="15" s="1"/>
  <c r="G223" i="15"/>
  <c r="E219" i="17" s="1"/>
  <c r="H223" i="15"/>
  <c r="I223" i="15" s="1"/>
  <c r="H303" i="15"/>
  <c r="B299" i="16" s="1"/>
  <c r="H363" i="15"/>
  <c r="B359" i="16" s="1"/>
  <c r="G691" i="15"/>
  <c r="E687" i="17" s="1"/>
  <c r="H691" i="15"/>
  <c r="I691" i="15" s="1"/>
  <c r="I754" i="15"/>
  <c r="H824" i="15"/>
  <c r="B820" i="16" s="1"/>
  <c r="H953" i="15"/>
  <c r="I953" i="15" s="1"/>
  <c r="G953" i="15"/>
  <c r="E949" i="17" s="1"/>
  <c r="R69" i="15"/>
  <c r="H92" i="15"/>
  <c r="P104" i="15"/>
  <c r="Q104" i="15" s="1"/>
  <c r="V104" i="15" s="1"/>
  <c r="F42" i="15"/>
  <c r="G42" i="15" s="1"/>
  <c r="E38" i="17" s="1"/>
  <c r="G316" i="15"/>
  <c r="E312" i="17" s="1"/>
  <c r="G436" i="15"/>
  <c r="E432" i="17" s="1"/>
  <c r="H436" i="15"/>
  <c r="B432" i="16" s="1"/>
  <c r="G942" i="15"/>
  <c r="E938" i="17" s="1"/>
  <c r="H942" i="15"/>
  <c r="I942" i="15" s="1"/>
  <c r="P212" i="15"/>
  <c r="Q212" i="15" s="1"/>
  <c r="F400" i="15"/>
  <c r="G400" i="15" s="1"/>
  <c r="E396" i="17" s="1"/>
  <c r="G917" i="15"/>
  <c r="E913" i="17" s="1"/>
  <c r="H68" i="4"/>
  <c r="H199" i="15"/>
  <c r="B195" i="16" s="1"/>
  <c r="W83" i="15"/>
  <c r="G292" i="15"/>
  <c r="E288" i="17" s="1"/>
  <c r="H319" i="15"/>
  <c r="B315" i="16" s="1"/>
  <c r="G319" i="15"/>
  <c r="E315" i="17" s="1"/>
  <c r="I345" i="15"/>
  <c r="H530" i="15"/>
  <c r="I530" i="15" s="1"/>
  <c r="H746" i="15"/>
  <c r="B742" i="16" s="1"/>
  <c r="H515" i="15"/>
  <c r="I515" i="15" s="1"/>
  <c r="W166" i="15"/>
  <c r="G670" i="15"/>
  <c r="E666" i="17" s="1"/>
  <c r="H670" i="15"/>
  <c r="B666" i="16" s="1"/>
  <c r="B67" i="16"/>
  <c r="I71" i="15"/>
  <c r="F97" i="15"/>
  <c r="H97" i="15" s="1"/>
  <c r="F369" i="15"/>
  <c r="P169" i="15"/>
  <c r="Q169" i="15" s="1"/>
  <c r="W169" i="15" s="1"/>
  <c r="H246" i="15"/>
  <c r="B242" i="16" s="1"/>
  <c r="B256" i="16"/>
  <c r="I260" i="15"/>
  <c r="F366" i="15"/>
  <c r="H643" i="15"/>
  <c r="G643" i="15"/>
  <c r="E639" i="17" s="1"/>
  <c r="G698" i="15"/>
  <c r="E694" i="17" s="1"/>
  <c r="G707" i="15"/>
  <c r="E703" i="17" s="1"/>
  <c r="G786" i="15"/>
  <c r="E782" i="17" s="1"/>
  <c r="H786" i="15"/>
  <c r="B782" i="16" s="1"/>
  <c r="G877" i="15"/>
  <c r="E873" i="17" s="1"/>
  <c r="H897" i="15"/>
  <c r="B893" i="16" s="1"/>
  <c r="H17" i="15"/>
  <c r="B13" i="16" s="1"/>
  <c r="V67" i="15"/>
  <c r="B135" i="16"/>
  <c r="I139" i="15"/>
  <c r="F374" i="15"/>
  <c r="H374" i="15" s="1"/>
  <c r="P174" i="15"/>
  <c r="Q174" i="15" s="1"/>
  <c r="W174" i="15" s="1"/>
  <c r="F407" i="15"/>
  <c r="G407" i="15" s="1"/>
  <c r="E403" i="17" s="1"/>
  <c r="P219" i="15"/>
  <c r="Q219" i="15" s="1"/>
  <c r="V219" i="15" s="1"/>
  <c r="H297" i="15"/>
  <c r="B293" i="16" s="1"/>
  <c r="G297" i="15"/>
  <c r="E293" i="17" s="1"/>
  <c r="G337" i="15"/>
  <c r="E333" i="17" s="1"/>
  <c r="H337" i="15"/>
  <c r="B333" i="16" s="1"/>
  <c r="F375" i="15"/>
  <c r="H375" i="15" s="1"/>
  <c r="I375" i="15" s="1"/>
  <c r="I468" i="15"/>
  <c r="B464" i="16"/>
  <c r="I480" i="15"/>
  <c r="H658" i="15"/>
  <c r="B654" i="16" s="1"/>
  <c r="G658" i="15"/>
  <c r="E654" i="17" s="1"/>
  <c r="B705" i="16"/>
  <c r="I709" i="15"/>
  <c r="H809" i="15"/>
  <c r="B805" i="16" s="1"/>
  <c r="G809" i="15"/>
  <c r="E805" i="17" s="1"/>
  <c r="C55" i="5"/>
  <c r="C33" i="4" s="1"/>
  <c r="V171" i="15"/>
  <c r="R171" i="15"/>
  <c r="H222" i="15"/>
  <c r="I222" i="15" s="1"/>
  <c r="H241" i="15"/>
  <c r="B237" i="16" s="1"/>
  <c r="G241" i="15"/>
  <c r="E237" i="17" s="1"/>
  <c r="H940" i="15"/>
  <c r="I940" i="15" s="1"/>
  <c r="G940" i="15"/>
  <c r="E936" i="17" s="1"/>
  <c r="H498" i="15"/>
  <c r="G498" i="15"/>
  <c r="E494" i="17" s="1"/>
  <c r="I833" i="15"/>
  <c r="H20" i="15"/>
  <c r="G20" i="15"/>
  <c r="E16" i="17" s="1"/>
  <c r="P41" i="15"/>
  <c r="Q41" i="15" s="1"/>
  <c r="V41" i="15" s="1"/>
  <c r="F98" i="15"/>
  <c r="H98" i="15" s="1"/>
  <c r="H192" i="15"/>
  <c r="V234" i="15"/>
  <c r="R234" i="15"/>
  <c r="H845" i="15"/>
  <c r="B841" i="16" s="1"/>
  <c r="G845" i="15"/>
  <c r="E841" i="17" s="1"/>
  <c r="G224" i="15"/>
  <c r="E220" i="17" s="1"/>
  <c r="H613" i="15"/>
  <c r="G613" i="15"/>
  <c r="E609" i="17" s="1"/>
  <c r="H664" i="15"/>
  <c r="B660" i="16" s="1"/>
  <c r="G664" i="15"/>
  <c r="E660" i="17" s="1"/>
  <c r="H693" i="15"/>
  <c r="G693" i="15"/>
  <c r="E689" i="17" s="1"/>
  <c r="H745" i="15"/>
  <c r="I745" i="15" s="1"/>
  <c r="F91" i="8"/>
  <c r="P167" i="15"/>
  <c r="Q167" i="15" s="1"/>
  <c r="W167" i="15" s="1"/>
  <c r="F367" i="15"/>
  <c r="G367" i="15" s="1"/>
  <c r="E363" i="17" s="1"/>
  <c r="H267" i="15"/>
  <c r="I267" i="15" s="1"/>
  <c r="H756" i="15"/>
  <c r="B752" i="16" s="1"/>
  <c r="H307" i="15"/>
  <c r="G307" i="15"/>
  <c r="E303" i="17" s="1"/>
  <c r="G333" i="15"/>
  <c r="E329" i="17" s="1"/>
  <c r="H230" i="15"/>
  <c r="I230" i="15" s="1"/>
  <c r="G230" i="15"/>
  <c r="E226" i="17" s="1"/>
  <c r="F364" i="15"/>
  <c r="H364" i="15" s="1"/>
  <c r="G682" i="15"/>
  <c r="E678" i="17" s="1"/>
  <c r="H682" i="15"/>
  <c r="B678" i="16" s="1"/>
  <c r="G771" i="15"/>
  <c r="E767" i="17" s="1"/>
  <c r="H771" i="15"/>
  <c r="H816" i="15"/>
  <c r="H149" i="15"/>
  <c r="I149" i="15" s="1"/>
  <c r="G149" i="15"/>
  <c r="E145" i="17" s="1"/>
  <c r="D91" i="21"/>
  <c r="R237" i="15"/>
  <c r="V237" i="15"/>
  <c r="H633" i="15"/>
  <c r="B629" i="16" s="1"/>
  <c r="G633" i="15"/>
  <c r="E629" i="17" s="1"/>
  <c r="H890" i="15"/>
  <c r="B886" i="16" s="1"/>
  <c r="G890" i="15"/>
  <c r="E886" i="17" s="1"/>
  <c r="H29" i="8"/>
  <c r="G40" i="15"/>
  <c r="E36" i="17" s="1"/>
  <c r="H40" i="15"/>
  <c r="B36" i="16" s="1"/>
  <c r="G63" i="15"/>
  <c r="E59" i="17" s="1"/>
  <c r="V77" i="15"/>
  <c r="I430" i="15"/>
  <c r="B426" i="16"/>
  <c r="G458" i="15"/>
  <c r="E454" i="17" s="1"/>
  <c r="H559" i="15"/>
  <c r="B555" i="16" s="1"/>
  <c r="G559" i="15"/>
  <c r="E555" i="17" s="1"/>
  <c r="G573" i="15"/>
  <c r="E569" i="17" s="1"/>
  <c r="G607" i="15"/>
  <c r="E603" i="17" s="1"/>
  <c r="G688" i="15"/>
  <c r="E684" i="17" s="1"/>
  <c r="H710" i="15"/>
  <c r="I710" i="15" s="1"/>
  <c r="G710" i="15"/>
  <c r="E706" i="17" s="1"/>
  <c r="I763" i="15"/>
  <c r="H776" i="15"/>
  <c r="I776" i="15" s="1"/>
  <c r="G798" i="15"/>
  <c r="E794" i="17" s="1"/>
  <c r="H879" i="15"/>
  <c r="B875" i="16" s="1"/>
  <c r="G879" i="15"/>
  <c r="E875" i="17" s="1"/>
  <c r="F91" i="21"/>
  <c r="B253" i="16"/>
  <c r="I257" i="15"/>
  <c r="H790" i="15"/>
  <c r="B786" i="16" s="1"/>
  <c r="G790" i="15"/>
  <c r="E786" i="17" s="1"/>
  <c r="I538" i="15"/>
  <c r="H234" i="15"/>
  <c r="B230" i="16" s="1"/>
  <c r="G234" i="15"/>
  <c r="E230" i="17" s="1"/>
  <c r="B535" i="16"/>
  <c r="I539" i="15"/>
  <c r="P14" i="15"/>
  <c r="W14" i="15" s="1"/>
  <c r="F27" i="15"/>
  <c r="H27" i="15" s="1"/>
  <c r="B23" i="16" s="1"/>
  <c r="V166" i="15"/>
  <c r="G858" i="15"/>
  <c r="E854" i="17" s="1"/>
  <c r="H499" i="15"/>
  <c r="B495" i="16" s="1"/>
  <c r="H529" i="15"/>
  <c r="I529" i="15" s="1"/>
  <c r="G834" i="15"/>
  <c r="E830" i="17" s="1"/>
  <c r="P183" i="15"/>
  <c r="Q183" i="15" s="1"/>
  <c r="R183" i="15" s="1"/>
  <c r="P188" i="15"/>
  <c r="Q188" i="15" s="1"/>
  <c r="D55" i="5"/>
  <c r="D33" i="4" s="1"/>
  <c r="G347" i="15"/>
  <c r="E343" i="17" s="1"/>
  <c r="H347" i="15"/>
  <c r="B343" i="16" s="1"/>
  <c r="H583" i="15"/>
  <c r="G583" i="15"/>
  <c r="E579" i="17" s="1"/>
  <c r="G724" i="15"/>
  <c r="E720" i="17" s="1"/>
  <c r="H724" i="15"/>
  <c r="B720" i="16" s="1"/>
  <c r="G922" i="15"/>
  <c r="E918" i="17" s="1"/>
  <c r="H922" i="15"/>
  <c r="B918" i="16" s="1"/>
  <c r="R26" i="15"/>
  <c r="V26" i="15"/>
  <c r="B26" i="16"/>
  <c r="I30" i="15"/>
  <c r="V129" i="15"/>
  <c r="R129" i="15"/>
  <c r="G136" i="15"/>
  <c r="E132" i="17" s="1"/>
  <c r="H136" i="15"/>
  <c r="B132" i="16" s="1"/>
  <c r="G109" i="15"/>
  <c r="E105" i="17" s="1"/>
  <c r="H469" i="15"/>
  <c r="G469" i="15"/>
  <c r="E465" i="17" s="1"/>
  <c r="G740" i="15"/>
  <c r="E736" i="17" s="1"/>
  <c r="H740" i="15"/>
  <c r="I740" i="15" s="1"/>
  <c r="B794" i="16"/>
  <c r="I798" i="15"/>
  <c r="I924" i="15"/>
  <c r="B920" i="16"/>
  <c r="B479" i="16"/>
  <c r="I483" i="15"/>
  <c r="H494" i="15"/>
  <c r="B490" i="16" s="1"/>
  <c r="G494" i="15"/>
  <c r="E490" i="17" s="1"/>
  <c r="H647" i="15"/>
  <c r="B643" i="16" s="1"/>
  <c r="G647" i="15"/>
  <c r="E643" i="17" s="1"/>
  <c r="I688" i="15"/>
  <c r="I788" i="15"/>
  <c r="H799" i="15"/>
  <c r="B795" i="16" s="1"/>
  <c r="G799" i="15"/>
  <c r="E795" i="17" s="1"/>
  <c r="H900" i="15"/>
  <c r="G900" i="15"/>
  <c r="E896" i="17" s="1"/>
  <c r="B909" i="16"/>
  <c r="I913" i="15"/>
  <c r="H963" i="15"/>
  <c r="G963" i="15"/>
  <c r="E959" i="17" s="1"/>
  <c r="G240" i="15"/>
  <c r="E236" i="17" s="1"/>
  <c r="H240" i="15"/>
  <c r="B236" i="16" s="1"/>
  <c r="P198" i="15"/>
  <c r="Q198" i="15" s="1"/>
  <c r="V198" i="15" s="1"/>
  <c r="H702" i="15"/>
  <c r="B698" i="16" s="1"/>
  <c r="G702" i="15"/>
  <c r="E698" i="17" s="1"/>
  <c r="B854" i="16"/>
  <c r="I858" i="15"/>
  <c r="G539" i="15"/>
  <c r="E535" i="17" s="1"/>
  <c r="G65" i="15"/>
  <c r="E61" i="17" s="1"/>
  <c r="H65" i="15"/>
  <c r="B61" i="16" s="1"/>
  <c r="I100" i="15"/>
  <c r="H450" i="15"/>
  <c r="G450" i="15"/>
  <c r="E446" i="17" s="1"/>
  <c r="P137" i="15"/>
  <c r="Q137" i="15" s="1"/>
  <c r="R137" i="15" s="1"/>
  <c r="R258" i="15"/>
  <c r="H318" i="15"/>
  <c r="B314" i="16" s="1"/>
  <c r="G318" i="15"/>
  <c r="E314" i="17" s="1"/>
  <c r="G600" i="15"/>
  <c r="E596" i="17" s="1"/>
  <c r="H600" i="15"/>
  <c r="B596" i="16" s="1"/>
  <c r="G758" i="15"/>
  <c r="E754" i="17" s="1"/>
  <c r="H758" i="15"/>
  <c r="R23" i="15"/>
  <c r="G165" i="15"/>
  <c r="E161" i="17" s="1"/>
  <c r="H165" i="15"/>
  <c r="B161" i="16" s="1"/>
  <c r="F396" i="15"/>
  <c r="H396" i="15" s="1"/>
  <c r="H495" i="15"/>
  <c r="B491" i="16" s="1"/>
  <c r="G495" i="15"/>
  <c r="E491" i="17" s="1"/>
  <c r="G712" i="15"/>
  <c r="E708" i="17" s="1"/>
  <c r="H712" i="15"/>
  <c r="I712" i="15" s="1"/>
  <c r="B774" i="16"/>
  <c r="I778" i="15"/>
  <c r="B785" i="16"/>
  <c r="I789" i="15"/>
  <c r="B864" i="16"/>
  <c r="I868" i="15"/>
  <c r="G95" i="15"/>
  <c r="E91" i="17" s="1"/>
  <c r="B167" i="16"/>
  <c r="I171" i="15"/>
  <c r="H221" i="15"/>
  <c r="B217" i="16" s="1"/>
  <c r="G221" i="15"/>
  <c r="E217" i="17" s="1"/>
  <c r="P228" i="15"/>
  <c r="Q228" i="15" s="1"/>
  <c r="W228" i="15" s="1"/>
  <c r="F129" i="15"/>
  <c r="H129" i="15" s="1"/>
  <c r="H327" i="15"/>
  <c r="B323" i="16" s="1"/>
  <c r="G327" i="15"/>
  <c r="E323" i="17" s="1"/>
  <c r="G432" i="15"/>
  <c r="E428" i="17" s="1"/>
  <c r="H432" i="15"/>
  <c r="I432" i="15" s="1"/>
  <c r="G576" i="15"/>
  <c r="E572" i="17" s="1"/>
  <c r="H576" i="15"/>
  <c r="G597" i="15"/>
  <c r="E593" i="17" s="1"/>
  <c r="G789" i="15"/>
  <c r="E785" i="17" s="1"/>
  <c r="G868" i="15"/>
  <c r="E864" i="17" s="1"/>
  <c r="B934" i="16"/>
  <c r="I938" i="15"/>
  <c r="G481" i="15"/>
  <c r="E477" i="17" s="1"/>
  <c r="H481" i="15"/>
  <c r="G531" i="15"/>
  <c r="E527" i="17" s="1"/>
  <c r="H531" i="15"/>
  <c r="H564" i="15"/>
  <c r="B560" i="16" s="1"/>
  <c r="G564" i="15"/>
  <c r="E560" i="17" s="1"/>
  <c r="H635" i="15"/>
  <c r="B631" i="16" s="1"/>
  <c r="G635" i="15"/>
  <c r="E631" i="17" s="1"/>
  <c r="K23" i="6"/>
  <c r="L5" i="19" s="1"/>
  <c r="M5" i="19" s="1"/>
  <c r="J23" i="6"/>
  <c r="V85" i="15"/>
  <c r="H392" i="15"/>
  <c r="I392" i="15" s="1"/>
  <c r="G392" i="15"/>
  <c r="E388" i="17" s="1"/>
  <c r="H459" i="15"/>
  <c r="B455" i="16" s="1"/>
  <c r="H482" i="15"/>
  <c r="I482" i="15" s="1"/>
  <c r="G482" i="15"/>
  <c r="E478" i="17" s="1"/>
  <c r="G636" i="15"/>
  <c r="E632" i="17" s="1"/>
  <c r="H636" i="15"/>
  <c r="I636" i="15" s="1"/>
  <c r="H646" i="15"/>
  <c r="I646" i="15" s="1"/>
  <c r="G713" i="15"/>
  <c r="E709" i="17" s="1"/>
  <c r="H838" i="15"/>
  <c r="B444" i="16"/>
  <c r="I448" i="15"/>
  <c r="P217" i="15"/>
  <c r="Q217" i="15" s="1"/>
  <c r="V217" i="15" s="1"/>
  <c r="F405" i="15"/>
  <c r="H405" i="15" s="1"/>
  <c r="B401" i="16" s="1"/>
  <c r="B258" i="16"/>
  <c r="I262" i="15"/>
  <c r="G448" i="15"/>
  <c r="E444" i="17" s="1"/>
  <c r="G484" i="15"/>
  <c r="E480" i="17" s="1"/>
  <c r="G493" i="15"/>
  <c r="E489" i="17" s="1"/>
  <c r="G519" i="15"/>
  <c r="E515" i="17" s="1"/>
  <c r="B690" i="16"/>
  <c r="I694" i="15"/>
  <c r="H715" i="15"/>
  <c r="I715" i="15" s="1"/>
  <c r="H729" i="15"/>
  <c r="B725" i="16" s="1"/>
  <c r="B746" i="16"/>
  <c r="I750" i="15"/>
  <c r="H860" i="15"/>
  <c r="I860" i="15" s="1"/>
  <c r="H870" i="15"/>
  <c r="I870" i="15" s="1"/>
  <c r="G955" i="15"/>
  <c r="E951" i="17" s="1"/>
  <c r="G964" i="15"/>
  <c r="E960" i="17" s="1"/>
  <c r="B51" i="6"/>
  <c r="J51" i="6" s="1"/>
  <c r="C68" i="5" s="1"/>
  <c r="B709" i="16"/>
  <c r="R65" i="15"/>
  <c r="R78" i="15"/>
  <c r="H142" i="15"/>
  <c r="B138" i="16" s="1"/>
  <c r="G142" i="15"/>
  <c r="E138" i="17" s="1"/>
  <c r="G148" i="15"/>
  <c r="E144" i="17" s="1"/>
  <c r="H148" i="15"/>
  <c r="B144" i="16" s="1"/>
  <c r="G201" i="15"/>
  <c r="E197" i="17" s="1"/>
  <c r="H201" i="15"/>
  <c r="B197" i="16" s="1"/>
  <c r="I493" i="15"/>
  <c r="H612" i="15"/>
  <c r="B608" i="16" s="1"/>
  <c r="G612" i="15"/>
  <c r="E608" i="17" s="1"/>
  <c r="I955" i="15"/>
  <c r="H695" i="15"/>
  <c r="B691" i="16" s="1"/>
  <c r="G695" i="15"/>
  <c r="E691" i="17" s="1"/>
  <c r="F24" i="15"/>
  <c r="H24" i="15" s="1"/>
  <c r="V155" i="15"/>
  <c r="F122" i="15"/>
  <c r="G122" i="15" s="1"/>
  <c r="E118" i="17" s="1"/>
  <c r="P225" i="15"/>
  <c r="Q225" i="15" s="1"/>
  <c r="W225" i="15" s="1"/>
  <c r="F126" i="15"/>
  <c r="G126" i="15" s="1"/>
  <c r="E122" i="17" s="1"/>
  <c r="P230" i="15"/>
  <c r="Q230" i="15" s="1"/>
  <c r="W230" i="15" s="1"/>
  <c r="I251" i="15"/>
  <c r="I410" i="15"/>
  <c r="I568" i="15"/>
  <c r="I659" i="15"/>
  <c r="G673" i="15"/>
  <c r="E669" i="17" s="1"/>
  <c r="G684" i="15"/>
  <c r="E680" i="17" s="1"/>
  <c r="H684" i="15"/>
  <c r="H742" i="15"/>
  <c r="I742" i="15" s="1"/>
  <c r="G742" i="15"/>
  <c r="E738" i="17" s="1"/>
  <c r="G773" i="15"/>
  <c r="E769" i="17" s="1"/>
  <c r="H822" i="15"/>
  <c r="I822" i="15" s="1"/>
  <c r="I902" i="15"/>
  <c r="I923" i="15"/>
  <c r="I933" i="15"/>
  <c r="H967" i="15"/>
  <c r="B963" i="16" s="1"/>
  <c r="G967" i="15"/>
  <c r="E963" i="17" s="1"/>
  <c r="H66" i="4"/>
  <c r="H66" i="15"/>
  <c r="B62" i="16" s="1"/>
  <c r="W155" i="15"/>
  <c r="H402" i="15"/>
  <c r="B398" i="16" s="1"/>
  <c r="G329" i="15"/>
  <c r="E325" i="17" s="1"/>
  <c r="G368" i="15"/>
  <c r="E364" i="17" s="1"/>
  <c r="G425" i="15"/>
  <c r="E421" i="17" s="1"/>
  <c r="H556" i="15"/>
  <c r="B552" i="16" s="1"/>
  <c r="G582" i="15"/>
  <c r="E578" i="17" s="1"/>
  <c r="B656" i="16"/>
  <c r="I660" i="15"/>
  <c r="G685" i="15"/>
  <c r="E681" i="17" s="1"/>
  <c r="H685" i="15"/>
  <c r="B681" i="16" s="1"/>
  <c r="G718" i="15"/>
  <c r="E714" i="17" s="1"/>
  <c r="H731" i="15"/>
  <c r="B727" i="16" s="1"/>
  <c r="B789" i="16"/>
  <c r="I793" i="15"/>
  <c r="H851" i="15"/>
  <c r="B847" i="16" s="1"/>
  <c r="G957" i="15"/>
  <c r="E953" i="17" s="1"/>
  <c r="H852" i="15"/>
  <c r="B848" i="16" s="1"/>
  <c r="G852" i="15"/>
  <c r="E848" i="17" s="1"/>
  <c r="H863" i="15"/>
  <c r="G863" i="15"/>
  <c r="E859" i="17" s="1"/>
  <c r="H62" i="15"/>
  <c r="B58" i="16" s="1"/>
  <c r="G62" i="15"/>
  <c r="E58" i="17" s="1"/>
  <c r="F378" i="15"/>
  <c r="G378" i="15" s="1"/>
  <c r="E374" i="17" s="1"/>
  <c r="P182" i="15"/>
  <c r="Q182" i="15" s="1"/>
  <c r="R182" i="15" s="1"/>
  <c r="R226" i="15"/>
  <c r="V226" i="15"/>
  <c r="H258" i="15"/>
  <c r="B254" i="16" s="1"/>
  <c r="G258" i="15"/>
  <c r="E254" i="17" s="1"/>
  <c r="H331" i="15"/>
  <c r="B327" i="16" s="1"/>
  <c r="G331" i="15"/>
  <c r="E327" i="17" s="1"/>
  <c r="H413" i="15"/>
  <c r="G413" i="15"/>
  <c r="E409" i="17" s="1"/>
  <c r="H509" i="15"/>
  <c r="I509" i="15" s="1"/>
  <c r="G509" i="15"/>
  <c r="E505" i="17" s="1"/>
  <c r="G676" i="15"/>
  <c r="E672" i="17" s="1"/>
  <c r="H676" i="15"/>
  <c r="B672" i="16" s="1"/>
  <c r="I705" i="15"/>
  <c r="H753" i="15"/>
  <c r="B849" i="16"/>
  <c r="I853" i="15"/>
  <c r="H914" i="15"/>
  <c r="G935" i="15"/>
  <c r="E931" i="17" s="1"/>
  <c r="H948" i="15"/>
  <c r="G948" i="15"/>
  <c r="E944" i="17" s="1"/>
  <c r="B928" i="16"/>
  <c r="H6" i="15"/>
  <c r="I6" i="15" s="1"/>
  <c r="H28" i="15"/>
  <c r="B24" i="16" s="1"/>
  <c r="F391" i="15"/>
  <c r="H391" i="15" s="1"/>
  <c r="H147" i="15"/>
  <c r="B143" i="16" s="1"/>
  <c r="G154" i="15"/>
  <c r="E150" i="17" s="1"/>
  <c r="P168" i="15"/>
  <c r="Q168" i="15" s="1"/>
  <c r="V168" i="15" s="1"/>
  <c r="G274" i="15"/>
  <c r="E270" i="17" s="1"/>
  <c r="H304" i="15"/>
  <c r="I304" i="15" s="1"/>
  <c r="G313" i="15"/>
  <c r="E309" i="17" s="1"/>
  <c r="H415" i="15"/>
  <c r="B411" i="16" s="1"/>
  <c r="H489" i="15"/>
  <c r="I489" i="15" s="1"/>
  <c r="G508" i="15"/>
  <c r="E504" i="17" s="1"/>
  <c r="G533" i="15"/>
  <c r="E529" i="17" s="1"/>
  <c r="D67" i="5"/>
  <c r="D45" i="4" s="1"/>
  <c r="V4" i="15"/>
  <c r="H382" i="15"/>
  <c r="B378" i="16" s="1"/>
  <c r="I743" i="15"/>
  <c r="B861" i="16"/>
  <c r="R79" i="15"/>
  <c r="I678" i="15"/>
  <c r="I703" i="15"/>
  <c r="I874" i="15"/>
  <c r="W42" i="15"/>
  <c r="Q42" i="15"/>
  <c r="V60" i="15"/>
  <c r="R60" i="15"/>
  <c r="V92" i="15"/>
  <c r="R92" i="15"/>
  <c r="O1" i="8"/>
  <c r="R152" i="15"/>
  <c r="V152" i="15"/>
  <c r="B287" i="16"/>
  <c r="I291" i="15"/>
  <c r="R80" i="15"/>
  <c r="V80" i="15"/>
  <c r="R114" i="15"/>
  <c r="V114" i="15"/>
  <c r="W35" i="15"/>
  <c r="Q35" i="15"/>
  <c r="V128" i="15"/>
  <c r="R128" i="15"/>
  <c r="R184" i="15"/>
  <c r="V184" i="15"/>
  <c r="B81" i="16"/>
  <c r="I85" i="15"/>
  <c r="V124" i="15"/>
  <c r="R124" i="15"/>
  <c r="R50" i="15"/>
  <c r="V50" i="15"/>
  <c r="V12" i="15"/>
  <c r="R12" i="15"/>
  <c r="V25" i="15"/>
  <c r="R25" i="15"/>
  <c r="V138" i="15"/>
  <c r="R138" i="15"/>
  <c r="R248" i="15"/>
  <c r="V248" i="15"/>
  <c r="V96" i="15"/>
  <c r="R96" i="15"/>
  <c r="W112" i="15"/>
  <c r="Q112" i="15"/>
  <c r="V66" i="15"/>
  <c r="R66" i="15"/>
  <c r="V125" i="15"/>
  <c r="R125" i="15"/>
  <c r="Q1" i="8"/>
  <c r="M45" i="6" s="1"/>
  <c r="V172" i="15"/>
  <c r="R172" i="15"/>
  <c r="W172" i="15"/>
  <c r="V28" i="15"/>
  <c r="R28" i="15"/>
  <c r="B40" i="16"/>
  <c r="I44" i="15"/>
  <c r="V130" i="15"/>
  <c r="R130" i="15"/>
  <c r="V8" i="15"/>
  <c r="R8" i="15"/>
  <c r="B322" i="16"/>
  <c r="I326" i="15"/>
  <c r="V90" i="15"/>
  <c r="R90" i="15"/>
  <c r="V116" i="15"/>
  <c r="R116" i="15"/>
  <c r="V91" i="15"/>
  <c r="R91" i="15"/>
  <c r="V94" i="15"/>
  <c r="R94" i="15"/>
  <c r="V126" i="15"/>
  <c r="R126" i="15"/>
  <c r="W179" i="15"/>
  <c r="V179" i="15"/>
  <c r="R179" i="15"/>
  <c r="H15" i="15"/>
  <c r="W60" i="15"/>
  <c r="F107" i="15"/>
  <c r="G107" i="15" s="1"/>
  <c r="E103" i="17" s="1"/>
  <c r="W140" i="15"/>
  <c r="V118" i="15"/>
  <c r="P143" i="15"/>
  <c r="Q143" i="15" s="1"/>
  <c r="W143" i="15" s="1"/>
  <c r="F116" i="15"/>
  <c r="H116" i="15" s="1"/>
  <c r="G198" i="15"/>
  <c r="E194" i="17" s="1"/>
  <c r="H198" i="15"/>
  <c r="B206" i="16"/>
  <c r="I210" i="15"/>
  <c r="G226" i="15"/>
  <c r="E222" i="17" s="1"/>
  <c r="H226" i="15"/>
  <c r="G244" i="15"/>
  <c r="E240" i="17" s="1"/>
  <c r="B270" i="16"/>
  <c r="I274" i="15"/>
  <c r="H317" i="15"/>
  <c r="H325" i="15"/>
  <c r="G325" i="15"/>
  <c r="E321" i="17" s="1"/>
  <c r="H342" i="15"/>
  <c r="H351" i="15"/>
  <c r="G351" i="15"/>
  <c r="E347" i="17" s="1"/>
  <c r="G412" i="15"/>
  <c r="E408" i="17" s="1"/>
  <c r="H412" i="15"/>
  <c r="H474" i="15"/>
  <c r="B568" i="16"/>
  <c r="I572" i="15"/>
  <c r="H654" i="15"/>
  <c r="G654" i="15"/>
  <c r="E650" i="17" s="1"/>
  <c r="H759" i="15"/>
  <c r="D29" i="8"/>
  <c r="F32" i="15"/>
  <c r="G32" i="15" s="1"/>
  <c r="E28" i="17" s="1"/>
  <c r="P37" i="15"/>
  <c r="Q37" i="15" s="1"/>
  <c r="V51" i="15"/>
  <c r="R67" i="15"/>
  <c r="G70" i="15"/>
  <c r="E66" i="17" s="1"/>
  <c r="V79" i="15"/>
  <c r="P189" i="15"/>
  <c r="Q189" i="15" s="1"/>
  <c r="V204" i="15"/>
  <c r="G210" i="15"/>
  <c r="E206" i="17" s="1"/>
  <c r="I402" i="15"/>
  <c r="H220" i="15"/>
  <c r="G220" i="15"/>
  <c r="E216" i="17" s="1"/>
  <c r="R232" i="15"/>
  <c r="R235" i="15"/>
  <c r="I244" i="15"/>
  <c r="G265" i="15"/>
  <c r="E261" i="17" s="1"/>
  <c r="F372" i="15"/>
  <c r="G572" i="15"/>
  <c r="E568" i="17" s="1"/>
  <c r="B748" i="16"/>
  <c r="I752" i="15"/>
  <c r="G792" i="15"/>
  <c r="E788" i="17" s="1"/>
  <c r="H792" i="15"/>
  <c r="F60" i="19"/>
  <c r="V127" i="15"/>
  <c r="R127" i="15"/>
  <c r="G133" i="15"/>
  <c r="E129" i="17" s="1"/>
  <c r="G155" i="15"/>
  <c r="E151" i="17" s="1"/>
  <c r="B97" i="16"/>
  <c r="I101" i="15"/>
  <c r="B166" i="16"/>
  <c r="I170" i="15"/>
  <c r="H627" i="15"/>
  <c r="G627" i="15"/>
  <c r="E623" i="17" s="1"/>
  <c r="V23" i="15"/>
  <c r="G28" i="15"/>
  <c r="E24" i="17" s="1"/>
  <c r="I48" i="15"/>
  <c r="V71" i="15"/>
  <c r="V106" i="15"/>
  <c r="G213" i="15"/>
  <c r="E209" i="17" s="1"/>
  <c r="V243" i="15"/>
  <c r="G506" i="15"/>
  <c r="E502" i="17" s="1"/>
  <c r="H506" i="15"/>
  <c r="P10" i="15"/>
  <c r="P17" i="15"/>
  <c r="Q17" i="15" s="1"/>
  <c r="V69" i="15"/>
  <c r="G85" i="15"/>
  <c r="E81" i="17" s="1"/>
  <c r="B139" i="16"/>
  <c r="I143" i="15"/>
  <c r="P213" i="15"/>
  <c r="Q213" i="15" s="1"/>
  <c r="F401" i="15"/>
  <c r="H401" i="15" s="1"/>
  <c r="H235" i="15"/>
  <c r="H238" i="15"/>
  <c r="G349" i="15"/>
  <c r="E345" i="17" s="1"/>
  <c r="H434" i="15"/>
  <c r="H54" i="15"/>
  <c r="P64" i="15"/>
  <c r="Q64" i="15" s="1"/>
  <c r="I82" i="15"/>
  <c r="W138" i="15"/>
  <c r="G143" i="15"/>
  <c r="E139" i="17" s="1"/>
  <c r="V146" i="15"/>
  <c r="R146" i="15"/>
  <c r="I177" i="15"/>
  <c r="G571" i="15"/>
  <c r="E567" i="17" s="1"/>
  <c r="H571" i="15"/>
  <c r="B603" i="16"/>
  <c r="I607" i="15"/>
  <c r="B883" i="16"/>
  <c r="I887" i="15"/>
  <c r="F29" i="8"/>
  <c r="F93" i="8" s="1"/>
  <c r="L65" i="6" s="1"/>
  <c r="B152" i="16"/>
  <c r="I156" i="15"/>
  <c r="H205" i="15"/>
  <c r="G205" i="15"/>
  <c r="E201" i="17" s="1"/>
  <c r="F408" i="15"/>
  <c r="H408" i="15" s="1"/>
  <c r="P220" i="15"/>
  <c r="Q220" i="15" s="1"/>
  <c r="B298" i="16"/>
  <c r="I302" i="15"/>
  <c r="W12" i="15"/>
  <c r="P15" i="15"/>
  <c r="Q15" i="15" s="1"/>
  <c r="G22" i="15"/>
  <c r="E18" i="17" s="1"/>
  <c r="R72" i="15"/>
  <c r="H110" i="15"/>
  <c r="H119" i="15"/>
  <c r="G156" i="15"/>
  <c r="E152" i="17" s="1"/>
  <c r="V173" i="15"/>
  <c r="R173" i="15"/>
  <c r="H184" i="15"/>
  <c r="G184" i="15"/>
  <c r="E180" i="17" s="1"/>
  <c r="H187" i="15"/>
  <c r="V232" i="15"/>
  <c r="W235" i="15"/>
  <c r="G275" i="15"/>
  <c r="E271" i="17" s="1"/>
  <c r="W173" i="15"/>
  <c r="B536" i="16"/>
  <c r="I540" i="15"/>
  <c r="D91" i="19"/>
  <c r="V151" i="15"/>
  <c r="W151" i="15"/>
  <c r="R151" i="15"/>
  <c r="R84" i="15"/>
  <c r="B429" i="16"/>
  <c r="I433" i="15"/>
  <c r="H12" i="15"/>
  <c r="G44" i="15"/>
  <c r="E40" i="17" s="1"/>
  <c r="B57" i="16"/>
  <c r="I61" i="15"/>
  <c r="H109" i="15"/>
  <c r="R115" i="15"/>
  <c r="I155" i="15"/>
  <c r="H219" i="15"/>
  <c r="H517" i="15"/>
  <c r="I764" i="15"/>
  <c r="H51" i="15"/>
  <c r="G51" i="15"/>
  <c r="E47" i="17" s="1"/>
  <c r="H125" i="15"/>
  <c r="G125" i="15"/>
  <c r="E121" i="17" s="1"/>
  <c r="B142" i="16"/>
  <c r="I146" i="15"/>
  <c r="G170" i="15"/>
  <c r="E166" i="17" s="1"/>
  <c r="G291" i="15"/>
  <c r="E287" i="17" s="1"/>
  <c r="B345" i="16"/>
  <c r="I349" i="15"/>
  <c r="H569" i="15"/>
  <c r="G569" i="15"/>
  <c r="E565" i="17" s="1"/>
  <c r="H167" i="15"/>
  <c r="G177" i="15"/>
  <c r="E173" i="17" s="1"/>
  <c r="B246" i="16"/>
  <c r="I250" i="15"/>
  <c r="G264" i="15"/>
  <c r="E260" i="17" s="1"/>
  <c r="H453" i="15"/>
  <c r="G453" i="15"/>
  <c r="E449" i="17" s="1"/>
  <c r="G570" i="15"/>
  <c r="E566" i="17" s="1"/>
  <c r="H570" i="15"/>
  <c r="G765" i="15"/>
  <c r="E761" i="17" s="1"/>
  <c r="B780" i="16"/>
  <c r="I784" i="15"/>
  <c r="P1" i="8"/>
  <c r="N45" i="6" s="1"/>
  <c r="W11" i="15"/>
  <c r="H72" i="15"/>
  <c r="G72" i="15"/>
  <c r="E68" i="17" s="1"/>
  <c r="H102" i="15"/>
  <c r="G102" i="15"/>
  <c r="E98" i="17" s="1"/>
  <c r="V197" i="15"/>
  <c r="G250" i="15"/>
  <c r="E246" i="17" s="1"/>
  <c r="I264" i="15"/>
  <c r="G411" i="15"/>
  <c r="E407" i="17" s="1"/>
  <c r="H411" i="15"/>
  <c r="I765" i="15"/>
  <c r="B73" i="16"/>
  <c r="I77" i="15"/>
  <c r="Q113" i="15"/>
  <c r="W113" i="15"/>
  <c r="B271" i="16"/>
  <c r="I275" i="15"/>
  <c r="H589" i="15"/>
  <c r="G589" i="15"/>
  <c r="E585" i="17" s="1"/>
  <c r="G725" i="15"/>
  <c r="E721" i="17" s="1"/>
  <c r="H725" i="15"/>
  <c r="H11" i="15"/>
  <c r="W82" i="15"/>
  <c r="W84" i="15"/>
  <c r="F18" i="15"/>
  <c r="H18" i="15" s="1"/>
  <c r="G52" i="15"/>
  <c r="E48" i="17" s="1"/>
  <c r="W242" i="15"/>
  <c r="V156" i="15"/>
  <c r="R156" i="15"/>
  <c r="H164" i="15"/>
  <c r="H168" i="15"/>
  <c r="G168" i="15"/>
  <c r="E164" i="17" s="1"/>
  <c r="B198" i="16"/>
  <c r="I202" i="15"/>
  <c r="F397" i="15"/>
  <c r="G397" i="15" s="1"/>
  <c r="E393" i="17" s="1"/>
  <c r="P205" i="15"/>
  <c r="Q205" i="15" s="1"/>
  <c r="B213" i="16"/>
  <c r="I217" i="15"/>
  <c r="V256" i="15"/>
  <c r="R259" i="15"/>
  <c r="H276" i="15"/>
  <c r="G276" i="15"/>
  <c r="E272" i="17" s="1"/>
  <c r="H344" i="15"/>
  <c r="F373" i="15"/>
  <c r="G373" i="15" s="1"/>
  <c r="E369" i="17" s="1"/>
  <c r="W184" i="15"/>
  <c r="I425" i="15"/>
  <c r="H437" i="15"/>
  <c r="G437" i="15"/>
  <c r="E433" i="17" s="1"/>
  <c r="H521" i="15"/>
  <c r="G541" i="15"/>
  <c r="E537" i="17" s="1"/>
  <c r="H541" i="15"/>
  <c r="B756" i="16"/>
  <c r="I760" i="15"/>
  <c r="H55" i="15"/>
  <c r="G55" i="15"/>
  <c r="E51" i="17" s="1"/>
  <c r="G6" i="15"/>
  <c r="E2" i="17" s="1"/>
  <c r="G9" i="15"/>
  <c r="E5" i="17" s="1"/>
  <c r="H16" i="15"/>
  <c r="F25" i="15"/>
  <c r="G25" i="15" s="1"/>
  <c r="E21" i="17" s="1"/>
  <c r="V29" i="15"/>
  <c r="R29" i="15"/>
  <c r="G36" i="15"/>
  <c r="E32" i="17" s="1"/>
  <c r="V49" i="15"/>
  <c r="R52" i="15"/>
  <c r="V62" i="15"/>
  <c r="W77" i="15"/>
  <c r="H87" i="15"/>
  <c r="G87" i="15"/>
  <c r="E83" i="17" s="1"/>
  <c r="P103" i="15"/>
  <c r="F41" i="15"/>
  <c r="V107" i="15"/>
  <c r="V119" i="15"/>
  <c r="B150" i="16"/>
  <c r="I154" i="15"/>
  <c r="H157" i="15"/>
  <c r="I160" i="15"/>
  <c r="P165" i="15"/>
  <c r="Q165" i="15" s="1"/>
  <c r="F365" i="15"/>
  <c r="G365" i="15" s="1"/>
  <c r="E361" i="17" s="1"/>
  <c r="R199" i="15"/>
  <c r="V199" i="15"/>
  <c r="I227" i="15"/>
  <c r="H247" i="15"/>
  <c r="G247" i="15"/>
  <c r="E243" i="17" s="1"/>
  <c r="G268" i="15"/>
  <c r="E264" i="17" s="1"/>
  <c r="B332" i="16"/>
  <c r="I336" i="15"/>
  <c r="H388" i="15"/>
  <c r="G388" i="15"/>
  <c r="E384" i="17" s="1"/>
  <c r="B509" i="16"/>
  <c r="I513" i="15"/>
  <c r="H524" i="15"/>
  <c r="G671" i="15"/>
  <c r="E667" i="17" s="1"/>
  <c r="H671" i="15"/>
  <c r="H762" i="15"/>
  <c r="G762" i="15"/>
  <c r="E758" i="17" s="1"/>
  <c r="H175" i="15"/>
  <c r="G175" i="15"/>
  <c r="E171" i="17" s="1"/>
  <c r="W204" i="15"/>
  <c r="F91" i="19"/>
  <c r="H208" i="15"/>
  <c r="G208" i="15"/>
  <c r="E204" i="17" s="1"/>
  <c r="H272" i="15"/>
  <c r="G505" i="15"/>
  <c r="E501" i="17" s="1"/>
  <c r="P39" i="15"/>
  <c r="Q39" i="15" s="1"/>
  <c r="W226" i="15"/>
  <c r="F135" i="15"/>
  <c r="G135" i="15" s="1"/>
  <c r="E131" i="17" s="1"/>
  <c r="P233" i="15"/>
  <c r="Q233" i="15" s="1"/>
  <c r="B273" i="16"/>
  <c r="I277" i="15"/>
  <c r="G311" i="15"/>
  <c r="E307" i="17" s="1"/>
  <c r="H311" i="15"/>
  <c r="F380" i="15"/>
  <c r="G511" i="15"/>
  <c r="E507" i="17" s="1"/>
  <c r="H511" i="15"/>
  <c r="G522" i="15"/>
  <c r="E518" i="17" s="1"/>
  <c r="H522" i="15"/>
  <c r="H542" i="15"/>
  <c r="G542" i="15"/>
  <c r="E538" i="17" s="1"/>
  <c r="H936" i="15"/>
  <c r="G936" i="15"/>
  <c r="E932" i="17" s="1"/>
  <c r="H29" i="15"/>
  <c r="G29" i="15"/>
  <c r="E25" i="17" s="1"/>
  <c r="B69" i="16"/>
  <c r="I73" i="15"/>
  <c r="G83" i="15"/>
  <c r="E79" i="17" s="1"/>
  <c r="H937" i="15"/>
  <c r="G937" i="15"/>
  <c r="E933" i="17" s="1"/>
  <c r="V65" i="15"/>
  <c r="R95" i="15"/>
  <c r="R105" i="15"/>
  <c r="P190" i="15"/>
  <c r="Q190" i="15" s="1"/>
  <c r="W190" i="15" s="1"/>
  <c r="F386" i="15"/>
  <c r="B264" i="16"/>
  <c r="I268" i="15"/>
  <c r="H9" i="15"/>
  <c r="V40" i="15"/>
  <c r="F361" i="15"/>
  <c r="H361" i="15" s="1"/>
  <c r="P157" i="15"/>
  <c r="Q157" i="15" s="1"/>
  <c r="G182" i="15"/>
  <c r="E178" i="17" s="1"/>
  <c r="H182" i="15"/>
  <c r="P227" i="15"/>
  <c r="Q227" i="15" s="1"/>
  <c r="W227" i="15" s="1"/>
  <c r="F124" i="15"/>
  <c r="G124" i="15" s="1"/>
  <c r="E120" i="17" s="1"/>
  <c r="B283" i="16"/>
  <c r="I287" i="15"/>
  <c r="F362" i="15"/>
  <c r="F60" i="21"/>
  <c r="H36" i="15"/>
  <c r="W40" i="15"/>
  <c r="B46" i="16"/>
  <c r="I50" i="15"/>
  <c r="G60" i="15"/>
  <c r="E56" i="17" s="1"/>
  <c r="H81" i="15"/>
  <c r="G81" i="15"/>
  <c r="E77" i="17" s="1"/>
  <c r="R93" i="15"/>
  <c r="W105" i="15"/>
  <c r="R117" i="15"/>
  <c r="H145" i="15"/>
  <c r="P196" i="15"/>
  <c r="Q196" i="15" s="1"/>
  <c r="B196" i="16"/>
  <c r="I200" i="15"/>
  <c r="H203" i="15"/>
  <c r="B219" i="16"/>
  <c r="R242" i="15"/>
  <c r="I329" i="15"/>
  <c r="B325" i="16"/>
  <c r="W152" i="15"/>
  <c r="W197" i="15"/>
  <c r="H449" i="15"/>
  <c r="G449" i="15"/>
  <c r="E445" i="17" s="1"/>
  <c r="H624" i="15"/>
  <c r="I829" i="15"/>
  <c r="B825" i="16"/>
  <c r="G846" i="15"/>
  <c r="E842" i="17" s="1"/>
  <c r="H846" i="15"/>
  <c r="B810" i="16"/>
  <c r="F115" i="15"/>
  <c r="G115" i="15" s="1"/>
  <c r="E111" i="17" s="1"/>
  <c r="P142" i="15"/>
  <c r="Q142" i="15" s="1"/>
  <c r="F127" i="15"/>
  <c r="G127" i="15" s="1"/>
  <c r="E123" i="17" s="1"/>
  <c r="P231" i="15"/>
  <c r="Q231" i="15" s="1"/>
  <c r="W231" i="15" s="1"/>
  <c r="H675" i="15"/>
  <c r="G675" i="15"/>
  <c r="E671" i="17" s="1"/>
  <c r="W160" i="15"/>
  <c r="G377" i="15"/>
  <c r="E373" i="17" s="1"/>
  <c r="G604" i="15"/>
  <c r="E600" i="17" s="1"/>
  <c r="H604" i="15"/>
  <c r="B659" i="16"/>
  <c r="I663" i="15"/>
  <c r="V158" i="15"/>
  <c r="W158" i="15"/>
  <c r="R158" i="15"/>
  <c r="H298" i="15"/>
  <c r="G298" i="15"/>
  <c r="E294" i="17" s="1"/>
  <c r="G433" i="15"/>
  <c r="E429" i="17" s="1"/>
  <c r="B468" i="16"/>
  <c r="I472" i="15"/>
  <c r="H595" i="15"/>
  <c r="G595" i="15"/>
  <c r="E591" i="17" s="1"/>
  <c r="H64" i="15"/>
  <c r="W8" i="15"/>
  <c r="H38" i="15"/>
  <c r="G38" i="15"/>
  <c r="E34" i="17" s="1"/>
  <c r="B55" i="16"/>
  <c r="I59" i="15"/>
  <c r="B76" i="16"/>
  <c r="I80" i="15"/>
  <c r="B110" i="16"/>
  <c r="I114" i="15"/>
  <c r="F387" i="15"/>
  <c r="H387" i="15" s="1"/>
  <c r="P195" i="15"/>
  <c r="Q195" i="15" s="1"/>
  <c r="W195" i="15" s="1"/>
  <c r="H956" i="15"/>
  <c r="G956" i="15"/>
  <c r="E952" i="17" s="1"/>
  <c r="G68" i="15"/>
  <c r="E64" i="17" s="1"/>
  <c r="H947" i="15"/>
  <c r="G947" i="15"/>
  <c r="E943" i="17" s="1"/>
  <c r="I68" i="15"/>
  <c r="V83" i="15"/>
  <c r="R83" i="15"/>
  <c r="G416" i="15"/>
  <c r="E412" i="17" s="1"/>
  <c r="H416" i="15"/>
  <c r="D60" i="8"/>
  <c r="D60" i="21"/>
  <c r="G23" i="15"/>
  <c r="E19" i="17" s="1"/>
  <c r="I63" i="15"/>
  <c r="B59" i="16"/>
  <c r="G185" i="15"/>
  <c r="E181" i="17" s="1"/>
  <c r="H185" i="15"/>
  <c r="G212" i="15"/>
  <c r="E208" i="17" s="1"/>
  <c r="H212" i="15"/>
  <c r="B211" i="16"/>
  <c r="I215" i="15"/>
  <c r="H305" i="15"/>
  <c r="G305" i="15"/>
  <c r="E301" i="17" s="1"/>
  <c r="H502" i="15"/>
  <c r="G502" i="15"/>
  <c r="E498" i="17" s="1"/>
  <c r="B878" i="16"/>
  <c r="I882" i="15"/>
  <c r="H95" i="5"/>
  <c r="F60" i="8"/>
  <c r="H60" i="8"/>
  <c r="W78" i="15"/>
  <c r="H23" i="15"/>
  <c r="W62" i="15"/>
  <c r="G50" i="15"/>
  <c r="E46" i="17" s="1"/>
  <c r="V55" i="15"/>
  <c r="I60" i="15"/>
  <c r="R63" i="15"/>
  <c r="G66" i="15"/>
  <c r="E62" i="17" s="1"/>
  <c r="G100" i="15"/>
  <c r="E96" i="17" s="1"/>
  <c r="G106" i="15"/>
  <c r="E102" i="17" s="1"/>
  <c r="H106" i="15"/>
  <c r="H150" i="15"/>
  <c r="H166" i="15"/>
  <c r="G166" i="15"/>
  <c r="E162" i="17" s="1"/>
  <c r="P185" i="15"/>
  <c r="Q185" i="15" s="1"/>
  <c r="F381" i="15"/>
  <c r="H381" i="15" s="1"/>
  <c r="G200" i="15"/>
  <c r="E196" i="17" s="1"/>
  <c r="H218" i="15"/>
  <c r="B220" i="16"/>
  <c r="I224" i="15"/>
  <c r="H288" i="15"/>
  <c r="G382" i="15"/>
  <c r="E378" i="17" s="1"/>
  <c r="F389" i="15"/>
  <c r="H389" i="15" s="1"/>
  <c r="H602" i="15"/>
  <c r="G602" i="15"/>
  <c r="E598" i="17" s="1"/>
  <c r="B714" i="16"/>
  <c r="I718" i="15"/>
  <c r="B826" i="16"/>
  <c r="I830" i="15"/>
  <c r="H920" i="15"/>
  <c r="G920" i="15"/>
  <c r="E916" i="17" s="1"/>
  <c r="P139" i="15"/>
  <c r="Q139" i="15" s="1"/>
  <c r="H204" i="15"/>
  <c r="B501" i="16"/>
  <c r="I505" i="15"/>
  <c r="G615" i="15"/>
  <c r="E611" i="17" s="1"/>
  <c r="H615" i="15"/>
  <c r="G48" i="15"/>
  <c r="E44" i="17" s="1"/>
  <c r="V53" i="15"/>
  <c r="I133" i="15"/>
  <c r="G176" i="15"/>
  <c r="E172" i="17" s="1"/>
  <c r="H176" i="15"/>
  <c r="B209" i="16"/>
  <c r="I213" i="15"/>
  <c r="H255" i="15"/>
  <c r="G255" i="15"/>
  <c r="E251" i="17" s="1"/>
  <c r="W199" i="15"/>
  <c r="H13" i="15"/>
  <c r="G13" i="15"/>
  <c r="E9" i="17" s="1"/>
  <c r="B79" i="16"/>
  <c r="I83" i="15"/>
  <c r="R22" i="15"/>
  <c r="V22" i="15"/>
  <c r="G59" i="15"/>
  <c r="E55" i="17" s="1"/>
  <c r="R70" i="15"/>
  <c r="H427" i="15"/>
  <c r="G427" i="15"/>
  <c r="E423" i="17" s="1"/>
  <c r="G534" i="15"/>
  <c r="E530" i="17" s="1"/>
  <c r="H534" i="15"/>
  <c r="C56" i="6"/>
  <c r="B56" i="6" s="1"/>
  <c r="J56" i="6" s="1"/>
  <c r="D68" i="5" s="1"/>
  <c r="B53" i="6"/>
  <c r="J53" i="6" s="1"/>
  <c r="C64" i="5" s="1"/>
  <c r="B52" i="6"/>
  <c r="J52" i="6" s="1"/>
  <c r="C66" i="5" s="1"/>
  <c r="B89" i="16"/>
  <c r="I93" i="15"/>
  <c r="G117" i="15"/>
  <c r="E113" i="17" s="1"/>
  <c r="H117" i="15"/>
  <c r="G160" i="15"/>
  <c r="E156" i="17" s="1"/>
  <c r="P236" i="15"/>
  <c r="Q236" i="15" s="1"/>
  <c r="F140" i="15"/>
  <c r="H253" i="15"/>
  <c r="G328" i="15"/>
  <c r="E324" i="17" s="1"/>
  <c r="H328" i="15"/>
  <c r="W85" i="15"/>
  <c r="G14" i="15"/>
  <c r="E10" i="17" s="1"/>
  <c r="V43" i="15"/>
  <c r="R43" i="15"/>
  <c r="H53" i="15"/>
  <c r="G53" i="15"/>
  <c r="E49" i="17" s="1"/>
  <c r="I151" i="15"/>
  <c r="B147" i="16"/>
  <c r="G461" i="15"/>
  <c r="E457" i="17" s="1"/>
  <c r="H461" i="15"/>
  <c r="B483" i="16"/>
  <c r="I487" i="15"/>
  <c r="G554" i="15"/>
  <c r="E550" i="17" s="1"/>
  <c r="H554" i="15"/>
  <c r="B879" i="16"/>
  <c r="I883" i="15"/>
  <c r="F29" i="19"/>
  <c r="V27" i="15"/>
  <c r="R27" i="15"/>
  <c r="B100" i="16"/>
  <c r="I104" i="15"/>
  <c r="W234" i="15"/>
  <c r="G151" i="15"/>
  <c r="E147" i="17" s="1"/>
  <c r="G243" i="15"/>
  <c r="E239" i="17" s="1"/>
  <c r="H243" i="15"/>
  <c r="H441" i="15"/>
  <c r="H804" i="15"/>
  <c r="G804" i="15"/>
  <c r="E800" i="17" s="1"/>
  <c r="F370" i="15"/>
  <c r="G370" i="15" s="1"/>
  <c r="E366" i="17" s="1"/>
  <c r="P170" i="15"/>
  <c r="Q170" i="15" s="1"/>
  <c r="G197" i="15"/>
  <c r="E193" i="17" s="1"/>
  <c r="H197" i="15"/>
  <c r="P202" i="15"/>
  <c r="Q202" i="15" s="1"/>
  <c r="F394" i="15"/>
  <c r="G233" i="15"/>
  <c r="E229" i="17" s="1"/>
  <c r="H233" i="15"/>
  <c r="H254" i="15"/>
  <c r="G254" i="15"/>
  <c r="E250" i="17" s="1"/>
  <c r="G266" i="15"/>
  <c r="E262" i="17" s="1"/>
  <c r="H266" i="15"/>
  <c r="B448" i="16"/>
  <c r="I452" i="15"/>
  <c r="H514" i="15"/>
  <c r="G514" i="15"/>
  <c r="E510" i="17" s="1"/>
  <c r="G561" i="15"/>
  <c r="E557" i="17" s="1"/>
  <c r="H561" i="15"/>
  <c r="G616" i="15"/>
  <c r="E612" i="17" s="1"/>
  <c r="H616" i="15"/>
  <c r="B646" i="16"/>
  <c r="I650" i="15"/>
  <c r="H689" i="15"/>
  <c r="G689" i="15"/>
  <c r="E685" i="17" s="1"/>
  <c r="B771" i="16"/>
  <c r="I775" i="15"/>
  <c r="H807" i="15"/>
  <c r="G807" i="15"/>
  <c r="E803" i="17" s="1"/>
  <c r="B224" i="16"/>
  <c r="I228" i="15"/>
  <c r="H350" i="15"/>
  <c r="G350" i="15"/>
  <c r="E346" i="17" s="1"/>
  <c r="H406" i="15"/>
  <c r="G406" i="15"/>
  <c r="E402" i="17" s="1"/>
  <c r="H414" i="15"/>
  <c r="G414" i="15"/>
  <c r="E410" i="17" s="1"/>
  <c r="B569" i="16"/>
  <c r="I573" i="15"/>
  <c r="H596" i="15"/>
  <c r="G606" i="15"/>
  <c r="E602" i="17" s="1"/>
  <c r="H606" i="15"/>
  <c r="B669" i="16"/>
  <c r="I673" i="15"/>
  <c r="V48" i="15"/>
  <c r="F403" i="15"/>
  <c r="P215" i="15"/>
  <c r="Q215" i="15" s="1"/>
  <c r="G249" i="15"/>
  <c r="E245" i="17" s="1"/>
  <c r="H249" i="15"/>
  <c r="V257" i="15"/>
  <c r="R257" i="15"/>
  <c r="H473" i="15"/>
  <c r="G473" i="15"/>
  <c r="E469" i="17" s="1"/>
  <c r="G516" i="15"/>
  <c r="E512" i="17" s="1"/>
  <c r="H516" i="15"/>
  <c r="H574" i="15"/>
  <c r="G574" i="15"/>
  <c r="E570" i="17" s="1"/>
  <c r="B614" i="16"/>
  <c r="I618" i="15"/>
  <c r="B624" i="16"/>
  <c r="I628" i="15"/>
  <c r="B670" i="16"/>
  <c r="I674" i="15"/>
  <c r="B723" i="16"/>
  <c r="I727" i="15"/>
  <c r="B773" i="16"/>
  <c r="I777" i="15"/>
  <c r="H825" i="15"/>
  <c r="G825" i="15"/>
  <c r="E821" i="17" s="1"/>
  <c r="B846" i="16"/>
  <c r="I850" i="15"/>
  <c r="B855" i="16"/>
  <c r="I859" i="15"/>
  <c r="I867" i="15"/>
  <c r="I877" i="15"/>
  <c r="B873" i="16"/>
  <c r="B578" i="16"/>
  <c r="I582" i="15"/>
  <c r="B586" i="16"/>
  <c r="I590" i="15"/>
  <c r="B604" i="16"/>
  <c r="I608" i="15"/>
  <c r="H662" i="15"/>
  <c r="G674" i="15"/>
  <c r="E670" i="17" s="1"/>
  <c r="B686" i="16"/>
  <c r="I690" i="15"/>
  <c r="B724" i="16"/>
  <c r="I728" i="15"/>
  <c r="G777" i="15"/>
  <c r="E773" i="17" s="1"/>
  <c r="H817" i="15"/>
  <c r="G859" i="15"/>
  <c r="E855" i="17" s="1"/>
  <c r="H939" i="15"/>
  <c r="G939" i="15"/>
  <c r="E935" i="17" s="1"/>
  <c r="D29" i="19"/>
  <c r="F19" i="15"/>
  <c r="H19" i="15" s="1"/>
  <c r="F111" i="15"/>
  <c r="H111" i="15" s="1"/>
  <c r="P141" i="15"/>
  <c r="Q141" i="15" s="1"/>
  <c r="G178" i="15"/>
  <c r="E174" i="17" s="1"/>
  <c r="H178" i="15"/>
  <c r="F359" i="15"/>
  <c r="G359" i="15" s="1"/>
  <c r="E355" i="17" s="1"/>
  <c r="B451" i="16"/>
  <c r="I455" i="15"/>
  <c r="H747" i="15"/>
  <c r="G747" i="15"/>
  <c r="E743" i="17" s="1"/>
  <c r="G770" i="15"/>
  <c r="E766" i="17" s="1"/>
  <c r="H770" i="15"/>
  <c r="C18" i="6"/>
  <c r="B13" i="6"/>
  <c r="J13" i="6" s="1"/>
  <c r="C48" i="5" s="1"/>
  <c r="W48" i="5" s="1"/>
  <c r="B10" i="6"/>
  <c r="J10" i="6" s="1"/>
  <c r="C54" i="5" s="1"/>
  <c r="W54" i="5" s="1"/>
  <c r="F29" i="21"/>
  <c r="P36" i="15"/>
  <c r="Q36" i="15" s="1"/>
  <c r="R131" i="15"/>
  <c r="B157" i="16"/>
  <c r="I161" i="15"/>
  <c r="G211" i="15"/>
  <c r="E207" i="17" s="1"/>
  <c r="H211" i="15"/>
  <c r="I261" i="15"/>
  <c r="G269" i="15"/>
  <c r="E265" i="17" s="1"/>
  <c r="G277" i="15"/>
  <c r="E273" i="17" s="1"/>
  <c r="B280" i="16"/>
  <c r="I284" i="15"/>
  <c r="H299" i="15"/>
  <c r="G299" i="15"/>
  <c r="E295" i="17" s="1"/>
  <c r="I314" i="15"/>
  <c r="B310" i="16"/>
  <c r="G330" i="15"/>
  <c r="E326" i="17" s="1"/>
  <c r="G418" i="15"/>
  <c r="E414" i="17" s="1"/>
  <c r="H428" i="15"/>
  <c r="G428" i="15"/>
  <c r="E424" i="17" s="1"/>
  <c r="G455" i="15"/>
  <c r="E451" i="17" s="1"/>
  <c r="H507" i="15"/>
  <c r="B561" i="16"/>
  <c r="I565" i="15"/>
  <c r="B580" i="16"/>
  <c r="I584" i="15"/>
  <c r="H719" i="15"/>
  <c r="G719" i="15"/>
  <c r="E715" i="17" s="1"/>
  <c r="B726" i="16"/>
  <c r="I730" i="15"/>
  <c r="H739" i="15"/>
  <c r="G739" i="15"/>
  <c r="E735" i="17" s="1"/>
  <c r="B744" i="16"/>
  <c r="I748" i="15"/>
  <c r="H755" i="15"/>
  <c r="G755" i="15"/>
  <c r="E751" i="17" s="1"/>
  <c r="B783" i="16"/>
  <c r="I787" i="15"/>
  <c r="H794" i="15"/>
  <c r="G794" i="15"/>
  <c r="E790" i="17" s="1"/>
  <c r="H869" i="15"/>
  <c r="G869" i="15"/>
  <c r="E865" i="17" s="1"/>
  <c r="D29" i="21"/>
  <c r="D93" i="21" s="1"/>
  <c r="L5" i="6" s="1"/>
  <c r="I269" i="15"/>
  <c r="B296" i="16"/>
  <c r="I300" i="15"/>
  <c r="B318" i="16"/>
  <c r="I330" i="15"/>
  <c r="G354" i="15"/>
  <c r="E350" i="17" s="1"/>
  <c r="H354" i="15"/>
  <c r="I418" i="15"/>
  <c r="G456" i="15"/>
  <c r="E452" i="17" s="1"/>
  <c r="H456" i="15"/>
  <c r="B551" i="16"/>
  <c r="I555" i="15"/>
  <c r="B573" i="16"/>
  <c r="I577" i="15"/>
  <c r="H610" i="15"/>
  <c r="G610" i="15"/>
  <c r="E606" i="17" s="1"/>
  <c r="B651" i="16"/>
  <c r="I655" i="15"/>
  <c r="G665" i="15"/>
  <c r="E661" i="17" s="1"/>
  <c r="H665" i="15"/>
  <c r="H720" i="15"/>
  <c r="G720" i="15"/>
  <c r="E716" i="17" s="1"/>
  <c r="B884" i="16"/>
  <c r="I888" i="15"/>
  <c r="G896" i="15"/>
  <c r="E892" i="17" s="1"/>
  <c r="H896" i="15"/>
  <c r="B202" i="16"/>
  <c r="I206" i="15"/>
  <c r="E22" i="13"/>
  <c r="A22" i="13"/>
  <c r="D91" i="8"/>
  <c r="G35" i="15"/>
  <c r="E31" i="17" s="1"/>
  <c r="H58" i="15"/>
  <c r="G61" i="15"/>
  <c r="E57" i="17" s="1"/>
  <c r="H67" i="15"/>
  <c r="I69" i="15"/>
  <c r="G73" i="15"/>
  <c r="E69" i="17" s="1"/>
  <c r="I79" i="15"/>
  <c r="R85" i="15"/>
  <c r="I89" i="15"/>
  <c r="G96" i="15"/>
  <c r="E92" i="17" s="1"/>
  <c r="H144" i="15"/>
  <c r="G206" i="15"/>
  <c r="E202" i="17" s="1"/>
  <c r="I229" i="15"/>
  <c r="H242" i="15"/>
  <c r="I285" i="15"/>
  <c r="B281" i="16"/>
  <c r="G300" i="15"/>
  <c r="E296" i="17" s="1"/>
  <c r="B415" i="16"/>
  <c r="I419" i="15"/>
  <c r="H457" i="15"/>
  <c r="G457" i="15"/>
  <c r="E453" i="17" s="1"/>
  <c r="G466" i="15"/>
  <c r="E462" i="17" s="1"/>
  <c r="H466" i="15"/>
  <c r="B480" i="16"/>
  <c r="I484" i="15"/>
  <c r="G555" i="15"/>
  <c r="E551" i="17" s="1"/>
  <c r="G566" i="15"/>
  <c r="E562" i="17" s="1"/>
  <c r="H566" i="15"/>
  <c r="G577" i="15"/>
  <c r="E573" i="17" s="1"/>
  <c r="H592" i="15"/>
  <c r="H621" i="15"/>
  <c r="G655" i="15"/>
  <c r="E651" i="17" s="1"/>
  <c r="G666" i="15"/>
  <c r="E662" i="17" s="1"/>
  <c r="H666" i="15"/>
  <c r="B696" i="16"/>
  <c r="I700" i="15"/>
  <c r="G780" i="15"/>
  <c r="E776" i="17" s="1"/>
  <c r="H780" i="15"/>
  <c r="B806" i="16"/>
  <c r="I810" i="15"/>
  <c r="B839" i="16"/>
  <c r="I843" i="15"/>
  <c r="I904" i="15"/>
  <c r="G10" i="15"/>
  <c r="E6" i="17" s="1"/>
  <c r="G15" i="15"/>
  <c r="E11" i="17" s="1"/>
  <c r="H96" i="15"/>
  <c r="B165" i="16"/>
  <c r="I169" i="15"/>
  <c r="P229" i="15"/>
  <c r="Q229" i="15" s="1"/>
  <c r="W229" i="15" s="1"/>
  <c r="F131" i="15"/>
  <c r="H131" i="15" s="1"/>
  <c r="V255" i="15"/>
  <c r="H301" i="15"/>
  <c r="G301" i="15"/>
  <c r="E297" i="17" s="1"/>
  <c r="F355" i="15"/>
  <c r="H355" i="15" s="1"/>
  <c r="F360" i="15"/>
  <c r="B454" i="16"/>
  <c r="I458" i="15"/>
  <c r="H467" i="15"/>
  <c r="G467" i="15"/>
  <c r="E463" i="17" s="1"/>
  <c r="B515" i="16"/>
  <c r="I519" i="15"/>
  <c r="B574" i="16"/>
  <c r="I578" i="15"/>
  <c r="G721" i="15"/>
  <c r="E717" i="17" s="1"/>
  <c r="H721" i="15"/>
  <c r="H820" i="15"/>
  <c r="G820" i="15"/>
  <c r="E816" i="17" s="1"/>
  <c r="P13" i="15"/>
  <c r="F358" i="15"/>
  <c r="H358" i="15" s="1"/>
  <c r="P154" i="15"/>
  <c r="Q154" i="15" s="1"/>
  <c r="G398" i="15"/>
  <c r="E394" i="17" s="1"/>
  <c r="H398" i="15"/>
  <c r="H420" i="15"/>
  <c r="G420" i="15"/>
  <c r="E416" i="17" s="1"/>
  <c r="B473" i="16"/>
  <c r="I477" i="15"/>
  <c r="B543" i="16"/>
  <c r="I547" i="15"/>
  <c r="B697" i="16"/>
  <c r="I701" i="15"/>
  <c r="G871" i="15"/>
  <c r="E867" i="17" s="1"/>
  <c r="H871" i="15"/>
  <c r="B134" i="5"/>
  <c r="B160" i="5" s="1"/>
  <c r="P16" i="13"/>
  <c r="I28" i="13" s="1"/>
  <c r="H91" i="8"/>
  <c r="H214" i="15"/>
  <c r="G214" i="15"/>
  <c r="E210" i="17" s="1"/>
  <c r="N1" i="8"/>
  <c r="H37" i="15"/>
  <c r="I94" i="15"/>
  <c r="I112" i="15"/>
  <c r="W146" i="15"/>
  <c r="G128" i="15"/>
  <c r="E124" i="17" s="1"/>
  <c r="H130" i="15"/>
  <c r="H152" i="15"/>
  <c r="F393" i="15"/>
  <c r="P201" i="15"/>
  <c r="Q201" i="15" s="1"/>
  <c r="F404" i="15"/>
  <c r="H404" i="15" s="1"/>
  <c r="P216" i="15"/>
  <c r="Q216" i="15" s="1"/>
  <c r="H256" i="15"/>
  <c r="I263" i="15"/>
  <c r="G271" i="15"/>
  <c r="E267" i="17" s="1"/>
  <c r="H286" i="15"/>
  <c r="B312" i="16"/>
  <c r="I316" i="15"/>
  <c r="G339" i="15"/>
  <c r="E335" i="17" s="1"/>
  <c r="H339" i="15"/>
  <c r="G431" i="15"/>
  <c r="E427" i="17" s="1"/>
  <c r="H431" i="15"/>
  <c r="G477" i="15"/>
  <c r="E473" i="17" s="1"/>
  <c r="H500" i="15"/>
  <c r="G601" i="15"/>
  <c r="E597" i="17" s="1"/>
  <c r="H601" i="15"/>
  <c r="B644" i="16"/>
  <c r="I648" i="15"/>
  <c r="H915" i="15"/>
  <c r="G915" i="15"/>
  <c r="E911" i="17" s="1"/>
  <c r="H954" i="15"/>
  <c r="G954" i="15"/>
  <c r="E950" i="17" s="1"/>
  <c r="H442" i="15"/>
  <c r="G442" i="15"/>
  <c r="E438" i="17" s="1"/>
  <c r="B545" i="16"/>
  <c r="I549" i="15"/>
  <c r="B553" i="16"/>
  <c r="I557" i="15"/>
  <c r="G656" i="15"/>
  <c r="E652" i="17" s="1"/>
  <c r="H656" i="15"/>
  <c r="G696" i="15"/>
  <c r="E692" i="17" s="1"/>
  <c r="H696" i="15"/>
  <c r="B793" i="16"/>
  <c r="I797" i="15"/>
  <c r="B915" i="16"/>
  <c r="I919" i="15"/>
  <c r="B531" i="16"/>
  <c r="H239" i="15"/>
  <c r="G239" i="15"/>
  <c r="E235" i="17" s="1"/>
  <c r="G379" i="15"/>
  <c r="E375" i="17" s="1"/>
  <c r="I435" i="15"/>
  <c r="H510" i="15"/>
  <c r="G510" i="15"/>
  <c r="E506" i="17" s="1"/>
  <c r="G549" i="15"/>
  <c r="E545" i="17" s="1"/>
  <c r="G557" i="15"/>
  <c r="E553" i="17" s="1"/>
  <c r="H634" i="15"/>
  <c r="G634" i="15"/>
  <c r="E630" i="17" s="1"/>
  <c r="H641" i="15"/>
  <c r="H657" i="15"/>
  <c r="G657" i="15"/>
  <c r="E653" i="17" s="1"/>
  <c r="H767" i="15"/>
  <c r="G767" i="15"/>
  <c r="E763" i="17" s="1"/>
  <c r="B808" i="16"/>
  <c r="I812" i="15"/>
  <c r="H911" i="15"/>
  <c r="G919" i="15"/>
  <c r="E915" i="17" s="1"/>
  <c r="B960" i="16"/>
  <c r="I964" i="15"/>
  <c r="B275" i="16"/>
  <c r="I279" i="15"/>
  <c r="G384" i="15"/>
  <c r="E380" i="17" s="1"/>
  <c r="I443" i="15"/>
  <c r="H528" i="15"/>
  <c r="G528" i="15"/>
  <c r="E524" i="17" s="1"/>
  <c r="H567" i="15"/>
  <c r="G567" i="15"/>
  <c r="E563" i="17" s="1"/>
  <c r="B679" i="16"/>
  <c r="I683" i="15"/>
  <c r="B693" i="16"/>
  <c r="I697" i="15"/>
  <c r="I704" i="15"/>
  <c r="B700" i="16"/>
  <c r="G836" i="15"/>
  <c r="E832" i="17" s="1"/>
  <c r="H836" i="15"/>
  <c r="I844" i="15"/>
  <c r="B840" i="16"/>
  <c r="B858" i="16"/>
  <c r="I862" i="15"/>
  <c r="H912" i="15"/>
  <c r="G912" i="15"/>
  <c r="E908" i="17" s="1"/>
  <c r="B953" i="16"/>
  <c r="I957" i="15"/>
  <c r="D53" i="5"/>
  <c r="D31" i="4" s="1"/>
  <c r="H248" i="15"/>
  <c r="I252" i="15"/>
  <c r="B269" i="16"/>
  <c r="I273" i="15"/>
  <c r="H293" i="15"/>
  <c r="H306" i="15"/>
  <c r="G312" i="15"/>
  <c r="E308" i="17" s="1"/>
  <c r="G357" i="15"/>
  <c r="E353" i="17" s="1"/>
  <c r="G429" i="15"/>
  <c r="E425" i="17" s="1"/>
  <c r="H429" i="15"/>
  <c r="H451" i="15"/>
  <c r="G468" i="15"/>
  <c r="E464" i="17" s="1"/>
  <c r="G483" i="15"/>
  <c r="E479" i="17" s="1"/>
  <c r="B500" i="16"/>
  <c r="I504" i="15"/>
  <c r="H520" i="15"/>
  <c r="G520" i="15"/>
  <c r="E516" i="17" s="1"/>
  <c r="G611" i="15"/>
  <c r="E607" i="17" s="1"/>
  <c r="H611" i="15"/>
  <c r="H620" i="15"/>
  <c r="G620" i="15"/>
  <c r="E616" i="17" s="1"/>
  <c r="H667" i="15"/>
  <c r="G667" i="15"/>
  <c r="E663" i="17" s="1"/>
  <c r="B899" i="16"/>
  <c r="I903" i="15"/>
  <c r="C15" i="6"/>
  <c r="B11" i="6"/>
  <c r="J11" i="6" s="1"/>
  <c r="C52" i="5" s="1"/>
  <c r="W52" i="5" s="1"/>
  <c r="H320" i="15"/>
  <c r="G320" i="15"/>
  <c r="E316" i="17" s="1"/>
  <c r="H340" i="15"/>
  <c r="G340" i="15"/>
  <c r="E336" i="17" s="1"/>
  <c r="G385" i="15"/>
  <c r="E381" i="17" s="1"/>
  <c r="H423" i="15"/>
  <c r="G423" i="15"/>
  <c r="E419" i="17" s="1"/>
  <c r="H669" i="15"/>
  <c r="G669" i="15"/>
  <c r="E665" i="17" s="1"/>
  <c r="H815" i="15"/>
  <c r="G815" i="15"/>
  <c r="E811" i="17" s="1"/>
  <c r="B673" i="16"/>
  <c r="I677" i="15"/>
  <c r="H692" i="15"/>
  <c r="G692" i="15"/>
  <c r="E688" i="17" s="1"/>
  <c r="B695" i="16"/>
  <c r="I699" i="15"/>
  <c r="G716" i="15"/>
  <c r="E712" i="17" s="1"/>
  <c r="H716" i="15"/>
  <c r="B329" i="16"/>
  <c r="I333" i="15"/>
  <c r="G376" i="15"/>
  <c r="E372" i="17" s="1"/>
  <c r="B458" i="16"/>
  <c r="I462" i="15"/>
  <c r="B488" i="16"/>
  <c r="I492" i="15"/>
  <c r="H523" i="15"/>
  <c r="G523" i="15"/>
  <c r="E519" i="17" s="1"/>
  <c r="B533" i="16"/>
  <c r="I537" i="15"/>
  <c r="H553" i="15"/>
  <c r="G553" i="15"/>
  <c r="E549" i="17" s="1"/>
  <c r="B633" i="16"/>
  <c r="I637" i="15"/>
  <c r="H651" i="15"/>
  <c r="G831" i="15"/>
  <c r="E827" i="17" s="1"/>
  <c r="H831" i="15"/>
  <c r="G906" i="15"/>
  <c r="E902" i="17" s="1"/>
  <c r="H906" i="15"/>
  <c r="H950" i="15"/>
  <c r="D49" i="5"/>
  <c r="D27" i="4" s="1"/>
  <c r="G8" i="15"/>
  <c r="E4" i="17" s="1"/>
  <c r="H321" i="15"/>
  <c r="I334" i="15"/>
  <c r="B330" i="16"/>
  <c r="H390" i="15"/>
  <c r="G390" i="15"/>
  <c r="E386" i="17" s="1"/>
  <c r="H446" i="15"/>
  <c r="B459" i="16"/>
  <c r="I463" i="15"/>
  <c r="B541" i="16"/>
  <c r="H579" i="15"/>
  <c r="G579" i="15"/>
  <c r="E575" i="17" s="1"/>
  <c r="I605" i="15"/>
  <c r="I623" i="15"/>
  <c r="B648" i="16"/>
  <c r="I652" i="15"/>
  <c r="H717" i="15"/>
  <c r="H779" i="15"/>
  <c r="G779" i="15"/>
  <c r="E775" i="17" s="1"/>
  <c r="B828" i="16"/>
  <c r="I832" i="15"/>
  <c r="G856" i="15"/>
  <c r="E852" i="17" s="1"/>
  <c r="H856" i="15"/>
  <c r="H8" i="15"/>
  <c r="B266" i="16"/>
  <c r="I270" i="15"/>
  <c r="H290" i="15"/>
  <c r="G290" i="15"/>
  <c r="E286" i="17" s="1"/>
  <c r="B311" i="16"/>
  <c r="I315" i="15"/>
  <c r="B559" i="16"/>
  <c r="I563" i="15"/>
  <c r="B641" i="16"/>
  <c r="I645" i="15"/>
  <c r="B649" i="16"/>
  <c r="I653" i="15"/>
  <c r="H679" i="15"/>
  <c r="G679" i="15"/>
  <c r="E675" i="17" s="1"/>
  <c r="B798" i="16"/>
  <c r="I802" i="15"/>
  <c r="H899" i="15"/>
  <c r="G899" i="15"/>
  <c r="E895" i="17" s="1"/>
  <c r="H916" i="15"/>
  <c r="G916" i="15"/>
  <c r="E912" i="17" s="1"/>
  <c r="H805" i="15"/>
  <c r="G805" i="15"/>
  <c r="E801" i="17" s="1"/>
  <c r="I824" i="15"/>
  <c r="H962" i="15"/>
  <c r="G962" i="15"/>
  <c r="E958" i="17" s="1"/>
  <c r="B504" i="16"/>
  <c r="I508" i="15"/>
  <c r="B593" i="16"/>
  <c r="I597" i="15"/>
  <c r="G661" i="15"/>
  <c r="E657" i="17" s="1"/>
  <c r="H661" i="15"/>
  <c r="G711" i="15"/>
  <c r="E707" i="17" s="1"/>
  <c r="H711" i="15"/>
  <c r="H734" i="15"/>
  <c r="G734" i="15"/>
  <c r="E730" i="17" s="1"/>
  <c r="H847" i="15"/>
  <c r="G847" i="15"/>
  <c r="E843" i="17" s="1"/>
  <c r="G839" i="15"/>
  <c r="E835" i="17" s="1"/>
  <c r="H839" i="15"/>
  <c r="I885" i="15"/>
  <c r="B881" i="16"/>
  <c r="H931" i="15"/>
  <c r="G931" i="15"/>
  <c r="E927" i="17" s="1"/>
  <c r="B913" i="16"/>
  <c r="I917" i="15"/>
  <c r="H965" i="15"/>
  <c r="G965" i="15"/>
  <c r="E961" i="17" s="1"/>
  <c r="G775" i="15"/>
  <c r="E771" i="17" s="1"/>
  <c r="H782" i="15"/>
  <c r="I800" i="15"/>
  <c r="G814" i="15"/>
  <c r="E810" i="17" s="1"/>
  <c r="G841" i="15"/>
  <c r="E837" i="17" s="1"/>
  <c r="H841" i="15"/>
  <c r="H864" i="15"/>
  <c r="G864" i="15"/>
  <c r="E860" i="17" s="1"/>
  <c r="H872" i="15"/>
  <c r="G872" i="15"/>
  <c r="E868" i="17" s="1"/>
  <c r="G887" i="15"/>
  <c r="E883" i="17" s="1"/>
  <c r="G901" i="15"/>
  <c r="E897" i="17" s="1"/>
  <c r="H901" i="15"/>
  <c r="H925" i="15"/>
  <c r="G925" i="15"/>
  <c r="E921" i="17" s="1"/>
  <c r="G383" i="15"/>
  <c r="E379" i="17" s="1"/>
  <c r="B548" i="16"/>
  <c r="I552" i="15"/>
  <c r="B610" i="16"/>
  <c r="I614" i="15"/>
  <c r="B710" i="16"/>
  <c r="I714" i="15"/>
  <c r="H722" i="15"/>
  <c r="G722" i="15"/>
  <c r="E718" i="17" s="1"/>
  <c r="H769" i="15"/>
  <c r="G795" i="15"/>
  <c r="E791" i="17" s="1"/>
  <c r="B823" i="16"/>
  <c r="I827" i="15"/>
  <c r="H857" i="15"/>
  <c r="G857" i="15"/>
  <c r="E853" i="17" s="1"/>
  <c r="I908" i="15"/>
  <c r="H383" i="15"/>
  <c r="H422" i="15"/>
  <c r="G464" i="15"/>
  <c r="E460" i="17" s="1"/>
  <c r="H471" i="15"/>
  <c r="G478" i="15"/>
  <c r="E474" i="17" s="1"/>
  <c r="G518" i="15"/>
  <c r="E514" i="17" s="1"/>
  <c r="B583" i="16"/>
  <c r="I587" i="15"/>
  <c r="G614" i="15"/>
  <c r="E610" i="17" s="1"/>
  <c r="H622" i="15"/>
  <c r="G622" i="15"/>
  <c r="E618" i="17" s="1"/>
  <c r="H629" i="15"/>
  <c r="H672" i="15"/>
  <c r="H686" i="15"/>
  <c r="H706" i="15"/>
  <c r="G714" i="15"/>
  <c r="E710" i="17" s="1"/>
  <c r="H757" i="15"/>
  <c r="G757" i="15"/>
  <c r="E753" i="17" s="1"/>
  <c r="I880" i="15"/>
  <c r="B876" i="16"/>
  <c r="B905" i="16"/>
  <c r="I909" i="15"/>
  <c r="H934" i="15"/>
  <c r="G934" i="15"/>
  <c r="E930" i="17" s="1"/>
  <c r="H479" i="15"/>
  <c r="G479" i="15"/>
  <c r="E475" i="17" s="1"/>
  <c r="H575" i="15"/>
  <c r="G575" i="15"/>
  <c r="E571" i="17" s="1"/>
  <c r="B703" i="16"/>
  <c r="I707" i="15"/>
  <c r="I723" i="15"/>
  <c r="B824" i="16"/>
  <c r="I828" i="15"/>
  <c r="G881" i="15"/>
  <c r="E877" i="17" s="1"/>
  <c r="H881" i="15"/>
  <c r="H910" i="15"/>
  <c r="G910" i="15"/>
  <c r="E906" i="17" s="1"/>
  <c r="H875" i="15"/>
  <c r="G875" i="15"/>
  <c r="E871" i="17" s="1"/>
  <c r="G932" i="15"/>
  <c r="E928" i="17" s="1"/>
  <c r="H945" i="15"/>
  <c r="G945" i="15"/>
  <c r="E941" i="17" s="1"/>
  <c r="B903" i="16"/>
  <c r="I907" i="15"/>
  <c r="H926" i="15"/>
  <c r="G926" i="15"/>
  <c r="E922" i="17" s="1"/>
  <c r="B31" i="6"/>
  <c r="J31" i="6" s="1"/>
  <c r="C60" i="5" s="1"/>
  <c r="B30" i="6"/>
  <c r="J30" i="6" s="1"/>
  <c r="H426" i="15"/>
  <c r="G438" i="15"/>
  <c r="E434" i="17" s="1"/>
  <c r="H526" i="15"/>
  <c r="G538" i="15"/>
  <c r="E534" i="17" s="1"/>
  <c r="H626" i="15"/>
  <c r="H726" i="15"/>
  <c r="H889" i="15"/>
  <c r="G889" i="15"/>
  <c r="E885" i="17" s="1"/>
  <c r="H966" i="15"/>
  <c r="G966" i="15"/>
  <c r="E962" i="17" s="1"/>
  <c r="H941" i="15"/>
  <c r="G941" i="15"/>
  <c r="E937" i="17" s="1"/>
  <c r="G395" i="15"/>
  <c r="E391" i="17" s="1"/>
  <c r="H854" i="15"/>
  <c r="G854" i="15"/>
  <c r="E850" i="17" s="1"/>
  <c r="H961" i="15"/>
  <c r="G961" i="15"/>
  <c r="E957" i="17" s="1"/>
  <c r="I935" i="15"/>
  <c r="H120" i="15"/>
  <c r="I558" i="15"/>
  <c r="I929" i="15"/>
  <c r="H921" i="15"/>
  <c r="G921" i="15"/>
  <c r="E917" i="17" s="1"/>
  <c r="H826" i="15"/>
  <c r="I873" i="15"/>
  <c r="I943" i="15"/>
  <c r="H951" i="15"/>
  <c r="G951" i="15"/>
  <c r="E947" i="17" s="1"/>
  <c r="H946" i="15"/>
  <c r="G946" i="15"/>
  <c r="E942" i="17" s="1"/>
  <c r="L23" i="6"/>
  <c r="L3" i="21"/>
  <c r="D44" i="5"/>
  <c r="B130" i="5"/>
  <c r="P15" i="13"/>
  <c r="I27" i="13" s="1"/>
  <c r="D83" i="5"/>
  <c r="D61" i="4" s="1"/>
  <c r="B85" i="5"/>
  <c r="C69" i="5"/>
  <c r="C47" i="4" s="1"/>
  <c r="R60" i="5"/>
  <c r="R59" i="5"/>
  <c r="Q67" i="5"/>
  <c r="C83" i="5"/>
  <c r="C61" i="4" s="1"/>
  <c r="D105" i="5"/>
  <c r="F80" i="4" s="1"/>
  <c r="H80" i="4" s="1"/>
  <c r="F79" i="4"/>
  <c r="H79" i="4" s="1"/>
  <c r="L3" i="19"/>
  <c r="F75" i="4" l="1"/>
  <c r="H75" i="4" s="1"/>
  <c r="D45" i="5"/>
  <c r="H43" i="15"/>
  <c r="G43" i="15"/>
  <c r="E39" i="17" s="1"/>
  <c r="H141" i="15"/>
  <c r="G141" i="15"/>
  <c r="E137" i="17" s="1"/>
  <c r="H356" i="15"/>
  <c r="I356" i="15" s="1"/>
  <c r="G356" i="15"/>
  <c r="E352" i="17" s="1"/>
  <c r="B372" i="16"/>
  <c r="I376" i="15"/>
  <c r="B175" i="16"/>
  <c r="I179" i="15"/>
  <c r="I544" i="15"/>
  <c r="B540" i="16"/>
  <c r="W186" i="15"/>
  <c r="R186" i="15"/>
  <c r="V186" i="15"/>
  <c r="B923" i="16"/>
  <c r="I927" i="15"/>
  <c r="I751" i="15"/>
  <c r="B747" i="16"/>
  <c r="H366" i="15"/>
  <c r="G366" i="15"/>
  <c r="E362" i="17" s="1"/>
  <c r="I209" i="15"/>
  <c r="I781" i="15"/>
  <c r="I439" i="15"/>
  <c r="B104" i="16"/>
  <c r="B344" i="16"/>
  <c r="R140" i="15"/>
  <c r="H57" i="15"/>
  <c r="B53" i="16" s="1"/>
  <c r="G371" i="15"/>
  <c r="E367" i="17" s="1"/>
  <c r="G121" i="15"/>
  <c r="E117" i="17" s="1"/>
  <c r="R181" i="15"/>
  <c r="B353" i="16"/>
  <c r="B420" i="16"/>
  <c r="H137" i="15"/>
  <c r="I137" i="15" s="1"/>
  <c r="B487" i="16"/>
  <c r="B874" i="16"/>
  <c r="W144" i="15"/>
  <c r="B91" i="16"/>
  <c r="V144" i="15"/>
  <c r="I944" i="15"/>
  <c r="G34" i="15"/>
  <c r="E30" i="17" s="1"/>
  <c r="I384" i="15"/>
  <c r="I556" i="15"/>
  <c r="I564" i="15"/>
  <c r="W159" i="15"/>
  <c r="I687" i="15"/>
  <c r="I76" i="15"/>
  <c r="G361" i="15"/>
  <c r="E357" i="17" s="1"/>
  <c r="I560" i="15"/>
  <c r="I617" i="15"/>
  <c r="I536" i="15"/>
  <c r="G118" i="15"/>
  <c r="E114" i="17" s="1"/>
  <c r="I632" i="15"/>
  <c r="I421" i="15"/>
  <c r="V159" i="15"/>
  <c r="I928" i="15"/>
  <c r="I884" i="15"/>
  <c r="B882" i="16"/>
  <c r="B736" i="16"/>
  <c r="B364" i="16"/>
  <c r="I819" i="15"/>
  <c r="B263" i="16"/>
  <c r="B221" i="16"/>
  <c r="I497" i="15"/>
  <c r="B485" i="16"/>
  <c r="I382" i="15"/>
  <c r="B159" i="16"/>
  <c r="I585" i="15"/>
  <c r="I551" i="15"/>
  <c r="I741" i="15"/>
  <c r="I447" i="15"/>
  <c r="H399" i="15"/>
  <c r="B395" i="16" s="1"/>
  <c r="B71" i="16"/>
  <c r="I318" i="15"/>
  <c r="G138" i="15"/>
  <c r="E134" i="17" s="1"/>
  <c r="I201" i="15"/>
  <c r="I737" i="15"/>
  <c r="B428" i="16"/>
  <c r="G387" i="15"/>
  <c r="E383" i="17" s="1"/>
  <c r="I562" i="15"/>
  <c r="I619" i="15"/>
  <c r="I550" i="15"/>
  <c r="I337" i="15"/>
  <c r="B2" i="16"/>
  <c r="G134" i="15"/>
  <c r="E130" i="17" s="1"/>
  <c r="I813" i="15"/>
  <c r="B818" i="16"/>
  <c r="B191" i="16"/>
  <c r="I327" i="15"/>
  <c r="B375" i="16"/>
  <c r="I733" i="15"/>
  <c r="R102" i="15"/>
  <c r="H365" i="15"/>
  <c r="B361" i="16" s="1"/>
  <c r="B413" i="16"/>
  <c r="I103" i="15"/>
  <c r="I695" i="15"/>
  <c r="W102" i="15"/>
  <c r="I785" i="15"/>
  <c r="I949" i="15"/>
  <c r="I377" i="15"/>
  <c r="B704" i="16"/>
  <c r="B526" i="16"/>
  <c r="I90" i="15"/>
  <c r="I744" i="15"/>
  <c r="I774" i="15"/>
  <c r="B936" i="16"/>
  <c r="B134" i="16"/>
  <c r="V167" i="15"/>
  <c r="I897" i="15"/>
  <c r="B145" i="16"/>
  <c r="I756" i="15"/>
  <c r="I78" i="15"/>
  <c r="I319" i="15"/>
  <c r="I147" i="15"/>
  <c r="I642" i="15"/>
  <c r="G18" i="15"/>
  <c r="E14" i="17" s="1"/>
  <c r="I729" i="15"/>
  <c r="I803" i="15"/>
  <c r="Q16" i="15"/>
  <c r="V16" i="15" s="1"/>
  <c r="B645" i="16"/>
  <c r="H21" i="15"/>
  <c r="I21" i="15" s="1"/>
  <c r="V61" i="15"/>
  <c r="B227" i="16"/>
  <c r="I664" i="15"/>
  <c r="G391" i="15"/>
  <c r="E387" i="17" s="1"/>
  <c r="I74" i="15"/>
  <c r="Q38" i="15"/>
  <c r="B888" i="16"/>
  <c r="I848" i="15"/>
  <c r="G24" i="15"/>
  <c r="E20" i="17" s="1"/>
  <c r="R228" i="15"/>
  <c r="I22" i="15"/>
  <c r="B31" i="16"/>
  <c r="B450" i="16"/>
  <c r="B218" i="16"/>
  <c r="I353" i="15"/>
  <c r="I811" i="15"/>
  <c r="I837" i="15"/>
  <c r="I57" i="15"/>
  <c r="B642" i="16"/>
  <c r="I258" i="15"/>
  <c r="W136" i="15"/>
  <c r="I352" i="15"/>
  <c r="B738" i="16"/>
  <c r="V228" i="15"/>
  <c r="I476" i="15"/>
  <c r="I631" i="15"/>
  <c r="W34" i="15"/>
  <c r="R169" i="15"/>
  <c r="I241" i="15"/>
  <c r="B866" i="16"/>
  <c r="I49" i="15"/>
  <c r="R81" i="15"/>
  <c r="H107" i="15"/>
  <c r="I107" i="15" s="1"/>
  <c r="I207" i="15"/>
  <c r="I790" i="15"/>
  <c r="I600" i="15"/>
  <c r="I40" i="15"/>
  <c r="I7" i="15"/>
  <c r="I105" i="15"/>
  <c r="B595" i="16"/>
  <c r="B233" i="16"/>
  <c r="B525" i="16"/>
  <c r="B632" i="16"/>
  <c r="I84" i="15"/>
  <c r="I45" i="15"/>
  <c r="I580" i="15"/>
  <c r="R34" i="15"/>
  <c r="B857" i="16"/>
  <c r="W153" i="15"/>
  <c r="B889" i="16"/>
  <c r="B949" i="16"/>
  <c r="I546" i="15"/>
  <c r="I159" i="15"/>
  <c r="V153" i="15"/>
  <c r="I460" i="15"/>
  <c r="I496" i="15"/>
  <c r="I898" i="15"/>
  <c r="I158" i="15"/>
  <c r="W137" i="15"/>
  <c r="I586" i="15"/>
  <c r="I879" i="15"/>
  <c r="I475" i="15"/>
  <c r="I876" i="15"/>
  <c r="W145" i="15"/>
  <c r="I635" i="15"/>
  <c r="B43" i="16"/>
  <c r="I47" i="15"/>
  <c r="B511" i="16"/>
  <c r="W9" i="15"/>
  <c r="B42" i="16"/>
  <c r="B168" i="16"/>
  <c r="I385" i="15"/>
  <c r="B757" i="16"/>
  <c r="B82" i="16"/>
  <c r="B787" i="16"/>
  <c r="I791" i="15"/>
  <c r="I855" i="15"/>
  <c r="I559" i="15"/>
  <c r="B182" i="16"/>
  <c r="I647" i="15"/>
  <c r="B926" i="16"/>
  <c r="R104" i="15"/>
  <c r="W181" i="15"/>
  <c r="H373" i="15"/>
  <c r="I373" i="15" s="1"/>
  <c r="I922" i="15"/>
  <c r="I27" i="15"/>
  <c r="I960" i="15"/>
  <c r="B577" i="16"/>
  <c r="I581" i="15"/>
  <c r="I99" i="15"/>
  <c r="V230" i="15"/>
  <c r="B887" i="16"/>
  <c r="I891" i="15"/>
  <c r="B768" i="16"/>
  <c r="I494" i="15"/>
  <c r="G123" i="15"/>
  <c r="E119" i="17" s="1"/>
  <c r="V136" i="15"/>
  <c r="G396" i="15"/>
  <c r="E392" i="17" s="1"/>
  <c r="W41" i="15"/>
  <c r="I952" i="15"/>
  <c r="I786" i="15"/>
  <c r="I732" i="15"/>
  <c r="I278" i="15"/>
  <c r="V145" i="15"/>
  <c r="I180" i="15"/>
  <c r="I532" i="15"/>
  <c r="I444" i="15"/>
  <c r="G129" i="15"/>
  <c r="E125" i="17" s="1"/>
  <c r="I801" i="15"/>
  <c r="I735" i="15"/>
  <c r="I17" i="15"/>
  <c r="I639" i="15"/>
  <c r="I470" i="15"/>
  <c r="B636" i="16"/>
  <c r="B371" i="16"/>
  <c r="I341" i="15"/>
  <c r="I625" i="15"/>
  <c r="Q14" i="15"/>
  <c r="V14" i="15" s="1"/>
  <c r="I10" i="15"/>
  <c r="I134" i="15"/>
  <c r="W187" i="15"/>
  <c r="H42" i="15"/>
  <c r="B38" i="16" s="1"/>
  <c r="I702" i="15"/>
  <c r="I142" i="15"/>
  <c r="G46" i="15"/>
  <c r="E42" i="17" s="1"/>
  <c r="R41" i="15"/>
  <c r="I343" i="15"/>
  <c r="B441" i="16"/>
  <c r="I194" i="15"/>
  <c r="I405" i="15"/>
  <c r="R187" i="15"/>
  <c r="I821" i="15"/>
  <c r="W61" i="15"/>
  <c r="I196" i="15"/>
  <c r="I670" i="15"/>
  <c r="I409" i="15"/>
  <c r="V206" i="15"/>
  <c r="G47" i="15"/>
  <c r="E43" i="17" s="1"/>
  <c r="B481" i="16"/>
  <c r="H124" i="15"/>
  <c r="B120" i="16" s="1"/>
  <c r="B521" i="16"/>
  <c r="I395" i="15"/>
  <c r="B391" i="16"/>
  <c r="I183" i="15"/>
  <c r="V214" i="15"/>
  <c r="W214" i="15"/>
  <c r="W206" i="15"/>
  <c r="G381" i="15"/>
  <c r="E377" i="17" s="1"/>
  <c r="V218" i="15"/>
  <c r="R218" i="15"/>
  <c r="B741" i="16"/>
  <c r="B352" i="16"/>
  <c r="R217" i="15"/>
  <c r="I153" i="15"/>
  <c r="V200" i="15"/>
  <c r="I28" i="15"/>
  <c r="I232" i="15"/>
  <c r="V203" i="15"/>
  <c r="B10" i="16"/>
  <c r="I459" i="15"/>
  <c r="G19" i="15"/>
  <c r="E15" i="17" s="1"/>
  <c r="H367" i="15"/>
  <c r="I367" i="15" s="1"/>
  <c r="I113" i="15"/>
  <c r="I121" i="15"/>
  <c r="W104" i="15"/>
  <c r="I849" i="15"/>
  <c r="I612" i="15"/>
  <c r="B478" i="16"/>
  <c r="I840" i="15"/>
  <c r="W203" i="15"/>
  <c r="B482" i="16"/>
  <c r="I633" i="15"/>
  <c r="R198" i="15"/>
  <c r="V137" i="15"/>
  <c r="W182" i="15"/>
  <c r="B334" i="16"/>
  <c r="I338" i="15"/>
  <c r="I148" i="15"/>
  <c r="R230" i="15"/>
  <c r="W36" i="15"/>
  <c r="G98" i="15"/>
  <c r="E94" i="17" s="1"/>
  <c r="I866" i="15"/>
  <c r="I959" i="15"/>
  <c r="I644" i="15"/>
  <c r="I512" i="15"/>
  <c r="R200" i="15"/>
  <c r="I851" i="15"/>
  <c r="I415" i="15"/>
  <c r="I216" i="15"/>
  <c r="I132" i="15"/>
  <c r="W198" i="15"/>
  <c r="B486" i="16"/>
  <c r="I609" i="15"/>
  <c r="I842" i="15"/>
  <c r="H378" i="15"/>
  <c r="I835" i="15"/>
  <c r="I736" i="15"/>
  <c r="B711" i="16"/>
  <c r="B708" i="16"/>
  <c r="B687" i="16"/>
  <c r="I682" i="15"/>
  <c r="I676" i="15"/>
  <c r="B587" i="16"/>
  <c r="I591" i="15"/>
  <c r="I436" i="15"/>
  <c r="B300" i="16"/>
  <c r="I297" i="15"/>
  <c r="I289" i="15"/>
  <c r="I282" i="15"/>
  <c r="B279" i="16"/>
  <c r="I245" i="15"/>
  <c r="I240" i="15"/>
  <c r="I62" i="15"/>
  <c r="X70" i="5"/>
  <c r="D46" i="4"/>
  <c r="X68" i="5"/>
  <c r="C42" i="4"/>
  <c r="W64" i="5"/>
  <c r="C48" i="4"/>
  <c r="W70" i="5"/>
  <c r="C44" i="4"/>
  <c r="W66" i="5"/>
  <c r="C54" i="4"/>
  <c r="W76" i="5"/>
  <c r="C50" i="4"/>
  <c r="W72" i="5"/>
  <c r="D54" i="4"/>
  <c r="X76" i="5"/>
  <c r="C46" i="4"/>
  <c r="W68" i="5"/>
  <c r="C36" i="4"/>
  <c r="W58" i="5"/>
  <c r="C38" i="4"/>
  <c r="W60" i="5"/>
  <c r="D34" i="4"/>
  <c r="X56" i="5"/>
  <c r="C34" i="4"/>
  <c r="W56" i="5"/>
  <c r="C32" i="4"/>
  <c r="C26" i="4"/>
  <c r="C28" i="4"/>
  <c r="C30" i="4"/>
  <c r="K70" i="6"/>
  <c r="K65" i="6" s="1"/>
  <c r="C78" i="5"/>
  <c r="J18" i="22"/>
  <c r="J20" i="22" s="1"/>
  <c r="B35" i="6"/>
  <c r="J35" i="6" s="1"/>
  <c r="D62" i="5" s="1"/>
  <c r="B17" i="6"/>
  <c r="J17" i="6" s="1"/>
  <c r="D50" i="5" s="1"/>
  <c r="X50" i="5" s="1"/>
  <c r="B37" i="6"/>
  <c r="J37" i="6" s="1"/>
  <c r="D58" i="5" s="1"/>
  <c r="D51" i="5"/>
  <c r="D29" i="4" s="1"/>
  <c r="D93" i="8"/>
  <c r="P72" i="5" s="1"/>
  <c r="B36" i="6"/>
  <c r="J36" i="6" s="1"/>
  <c r="D60" i="5" s="1"/>
  <c r="B15" i="6"/>
  <c r="J15" i="6" s="1"/>
  <c r="D54" i="5" s="1"/>
  <c r="X54" i="5" s="1"/>
  <c r="N67" i="6"/>
  <c r="N65" i="6"/>
  <c r="N66" i="6"/>
  <c r="N68" i="6"/>
  <c r="M65" i="6"/>
  <c r="M67" i="6"/>
  <c r="E74" i="5" s="1"/>
  <c r="E75" i="5" s="1"/>
  <c r="E53" i="4" s="1"/>
  <c r="M68" i="6"/>
  <c r="E72" i="5" s="1"/>
  <c r="M66" i="6"/>
  <c r="E76" i="5" s="1"/>
  <c r="N47" i="6"/>
  <c r="M47" i="6"/>
  <c r="E66" i="5" s="1"/>
  <c r="R58" i="5"/>
  <c r="B69" i="5"/>
  <c r="B47" i="4" s="1"/>
  <c r="D74" i="5"/>
  <c r="B61" i="5"/>
  <c r="B39" i="4" s="1"/>
  <c r="W168" i="15"/>
  <c r="I66" i="15"/>
  <c r="B572" i="16"/>
  <c r="I576" i="15"/>
  <c r="B292" i="16"/>
  <c r="I296" i="15"/>
  <c r="B626" i="16"/>
  <c r="I630" i="15"/>
  <c r="I246" i="15"/>
  <c r="B388" i="16"/>
  <c r="I440" i="15"/>
  <c r="R225" i="15"/>
  <c r="B772" i="16"/>
  <c r="I363" i="15"/>
  <c r="I967" i="15"/>
  <c r="B52" i="16"/>
  <c r="R168" i="15"/>
  <c r="B523" i="16"/>
  <c r="B188" i="16"/>
  <c r="I192" i="15"/>
  <c r="R211" i="15"/>
  <c r="W211" i="15"/>
  <c r="G27" i="15"/>
  <c r="E23" i="17" s="1"/>
  <c r="V169" i="15"/>
  <c r="I347" i="15"/>
  <c r="G111" i="15"/>
  <c r="E107" i="17" s="1"/>
  <c r="I26" i="15"/>
  <c r="W180" i="15"/>
  <c r="R174" i="15"/>
  <c r="B677" i="16"/>
  <c r="I681" i="15"/>
  <c r="G369" i="15"/>
  <c r="E365" i="17" s="1"/>
  <c r="H369" i="15"/>
  <c r="I766" i="15"/>
  <c r="V225" i="15"/>
  <c r="V212" i="15"/>
  <c r="R212" i="15"/>
  <c r="B505" i="16"/>
  <c r="B303" i="16"/>
  <c r="I307" i="15"/>
  <c r="B764" i="16"/>
  <c r="I768" i="15"/>
  <c r="I136" i="15"/>
  <c r="V174" i="15"/>
  <c r="B169" i="16"/>
  <c r="I173" i="15"/>
  <c r="I746" i="15"/>
  <c r="I165" i="15"/>
  <c r="W217" i="15"/>
  <c r="I501" i="15"/>
  <c r="V180" i="15"/>
  <c r="I332" i="15"/>
  <c r="I724" i="15"/>
  <c r="R167" i="15"/>
  <c r="V183" i="15"/>
  <c r="B804" i="16"/>
  <c r="I808" i="15"/>
  <c r="B802" i="16"/>
  <c r="I806" i="15"/>
  <c r="B446" i="16"/>
  <c r="I450" i="15"/>
  <c r="I852" i="15"/>
  <c r="I845" i="15"/>
  <c r="I749" i="15"/>
  <c r="B856" i="16"/>
  <c r="F93" i="21"/>
  <c r="I294" i="15"/>
  <c r="W219" i="15"/>
  <c r="B910" i="16"/>
  <c r="I914" i="15"/>
  <c r="I531" i="15"/>
  <c r="B527" i="16"/>
  <c r="B891" i="16"/>
  <c r="I895" i="15"/>
  <c r="K30" i="6"/>
  <c r="W212" i="15"/>
  <c r="B226" i="16"/>
  <c r="I890" i="15"/>
  <c r="H397" i="15"/>
  <c r="B393" i="16" s="1"/>
  <c r="G389" i="15"/>
  <c r="E385" i="17" s="1"/>
  <c r="I199" i="15"/>
  <c r="R219" i="15"/>
  <c r="G97" i="15"/>
  <c r="E93" i="17" s="1"/>
  <c r="B579" i="16"/>
  <c r="I583" i="15"/>
  <c r="B494" i="16"/>
  <c r="I498" i="15"/>
  <c r="W183" i="15"/>
  <c r="B306" i="16"/>
  <c r="I310" i="15"/>
  <c r="B544" i="16"/>
  <c r="I548" i="15"/>
  <c r="B409" i="16"/>
  <c r="I413" i="15"/>
  <c r="I303" i="15"/>
  <c r="I499" i="15"/>
  <c r="I731" i="15"/>
  <c r="G405" i="15"/>
  <c r="E401" i="17" s="1"/>
  <c r="H400" i="15"/>
  <c r="I400" i="15" s="1"/>
  <c r="I799" i="15"/>
  <c r="I221" i="15"/>
  <c r="B689" i="16"/>
  <c r="I693" i="15"/>
  <c r="D106" i="5"/>
  <c r="I331" i="15"/>
  <c r="B706" i="16"/>
  <c r="I65" i="15"/>
  <c r="W15" i="15"/>
  <c r="I309" i="15"/>
  <c r="I816" i="15"/>
  <c r="B812" i="16"/>
  <c r="B792" i="16"/>
  <c r="I796" i="15"/>
  <c r="H126" i="15"/>
  <c r="B122" i="16" s="1"/>
  <c r="B944" i="16"/>
  <c r="I948" i="15"/>
  <c r="B754" i="16"/>
  <c r="I758" i="15"/>
  <c r="B680" i="16"/>
  <c r="I684" i="15"/>
  <c r="B834" i="16"/>
  <c r="I838" i="15"/>
  <c r="B477" i="16"/>
  <c r="I481" i="15"/>
  <c r="B88" i="16"/>
  <c r="I92" i="15"/>
  <c r="G375" i="15"/>
  <c r="E371" i="17" s="1"/>
  <c r="G408" i="15"/>
  <c r="E404" i="17" s="1"/>
  <c r="V182" i="15"/>
  <c r="H115" i="15"/>
  <c r="B111" i="16" s="1"/>
  <c r="G374" i="15"/>
  <c r="E370" i="17" s="1"/>
  <c r="I193" i="15"/>
  <c r="I39" i="15"/>
  <c r="G116" i="15"/>
  <c r="E112" i="17" s="1"/>
  <c r="W17" i="15"/>
  <c r="H407" i="15"/>
  <c r="B749" i="16"/>
  <c r="I753" i="15"/>
  <c r="B959" i="16"/>
  <c r="I963" i="15"/>
  <c r="B767" i="16"/>
  <c r="I771" i="15"/>
  <c r="B639" i="16"/>
  <c r="I643" i="15"/>
  <c r="I905" i="15"/>
  <c r="B901" i="16"/>
  <c r="I900" i="15"/>
  <c r="B896" i="16"/>
  <c r="I188" i="15"/>
  <c r="B277" i="16"/>
  <c r="I281" i="15"/>
  <c r="H122" i="15"/>
  <c r="B118" i="16" s="1"/>
  <c r="B16" i="16"/>
  <c r="I20" i="15"/>
  <c r="I658" i="15"/>
  <c r="I685" i="15"/>
  <c r="I308" i="15"/>
  <c r="I234" i="15"/>
  <c r="B938" i="16"/>
  <c r="I33" i="15"/>
  <c r="I495" i="15"/>
  <c r="G364" i="15"/>
  <c r="E360" i="17" s="1"/>
  <c r="I189" i="15"/>
  <c r="I809" i="15"/>
  <c r="I259" i="15"/>
  <c r="B859" i="16"/>
  <c r="I863" i="15"/>
  <c r="H127" i="15"/>
  <c r="B123" i="16" s="1"/>
  <c r="G33" i="15"/>
  <c r="E29" i="17" s="1"/>
  <c r="B465" i="16"/>
  <c r="I469" i="15"/>
  <c r="V188" i="15"/>
  <c r="W188" i="15"/>
  <c r="R188" i="15"/>
  <c r="B609" i="16"/>
  <c r="I613" i="15"/>
  <c r="B170" i="16"/>
  <c r="I174" i="15"/>
  <c r="C49" i="5"/>
  <c r="C27" i="4" s="1"/>
  <c r="B397" i="16"/>
  <c r="I401" i="15"/>
  <c r="B57" i="5"/>
  <c r="B35" i="4" s="1"/>
  <c r="I361" i="15"/>
  <c r="B357" i="16"/>
  <c r="I111" i="15"/>
  <c r="B107" i="16"/>
  <c r="C53" i="5"/>
  <c r="C31" i="4" s="1"/>
  <c r="B718" i="16"/>
  <c r="I722" i="15"/>
  <c r="B675" i="16"/>
  <c r="I679" i="15"/>
  <c r="B19" i="16"/>
  <c r="I23" i="15"/>
  <c r="V157" i="15"/>
  <c r="R157" i="15"/>
  <c r="B524" i="16"/>
  <c r="I528" i="15"/>
  <c r="B557" i="16"/>
  <c r="I561" i="15"/>
  <c r="B34" i="16"/>
  <c r="I38" i="15"/>
  <c r="B852" i="16"/>
  <c r="I856" i="15"/>
  <c r="B377" i="16"/>
  <c r="I381" i="15"/>
  <c r="I451" i="15"/>
  <c r="B447" i="16"/>
  <c r="B496" i="16"/>
  <c r="I500" i="15"/>
  <c r="B351" i="16"/>
  <c r="I355" i="15"/>
  <c r="B892" i="16"/>
  <c r="I896" i="15"/>
  <c r="H403" i="15"/>
  <c r="G403" i="15"/>
  <c r="E399" i="17" s="1"/>
  <c r="B346" i="16"/>
  <c r="I350" i="15"/>
  <c r="B370" i="16"/>
  <c r="I374" i="15"/>
  <c r="B758" i="16"/>
  <c r="I762" i="15"/>
  <c r="H41" i="15"/>
  <c r="G41" i="15"/>
  <c r="E37" i="17" s="1"/>
  <c r="B408" i="16"/>
  <c r="I412" i="15"/>
  <c r="B58" i="6"/>
  <c r="J58" i="6" s="1"/>
  <c r="D64" i="5" s="1"/>
  <c r="B116" i="16"/>
  <c r="I120" i="15"/>
  <c r="B422" i="16"/>
  <c r="I426" i="15"/>
  <c r="I446" i="15"/>
  <c r="B442" i="16"/>
  <c r="B763" i="16"/>
  <c r="I767" i="15"/>
  <c r="B63" i="5"/>
  <c r="B41" i="4" s="1"/>
  <c r="R201" i="15"/>
  <c r="W201" i="15"/>
  <c r="V201" i="15"/>
  <c r="H93" i="8"/>
  <c r="I354" i="15"/>
  <c r="B350" i="16"/>
  <c r="B800" i="16"/>
  <c r="I804" i="15"/>
  <c r="B530" i="16"/>
  <c r="I534" i="15"/>
  <c r="B9" i="16"/>
  <c r="I13" i="15"/>
  <c r="B5" i="16"/>
  <c r="I9" i="15"/>
  <c r="W103" i="15"/>
  <c r="Q103" i="15"/>
  <c r="B272" i="16"/>
  <c r="I276" i="15"/>
  <c r="G131" i="15"/>
  <c r="E127" i="17" s="1"/>
  <c r="V15" i="15"/>
  <c r="R15" i="15"/>
  <c r="B112" i="16"/>
  <c r="I116" i="15"/>
  <c r="B702" i="16"/>
  <c r="I706" i="15"/>
  <c r="B244" i="16"/>
  <c r="I248" i="15"/>
  <c r="B957" i="16"/>
  <c r="I961" i="15"/>
  <c r="B208" i="16"/>
  <c r="I212" i="15"/>
  <c r="B668" i="16"/>
  <c r="I672" i="15"/>
  <c r="B210" i="16"/>
  <c r="I214" i="15"/>
  <c r="W170" i="15"/>
  <c r="V170" i="15"/>
  <c r="R170" i="15"/>
  <c r="B125" i="16"/>
  <c r="I129" i="15"/>
  <c r="B407" i="16"/>
  <c r="I411" i="15"/>
  <c r="B502" i="16"/>
  <c r="I506" i="15"/>
  <c r="B4" i="16"/>
  <c r="I8" i="15"/>
  <c r="B813" i="16"/>
  <c r="I817" i="15"/>
  <c r="B146" i="16"/>
  <c r="I150" i="15"/>
  <c r="W215" i="15"/>
  <c r="V215" i="15"/>
  <c r="R215" i="15"/>
  <c r="B49" i="16"/>
  <c r="I53" i="15"/>
  <c r="B850" i="16"/>
  <c r="I854" i="15"/>
  <c r="B400" i="16"/>
  <c r="I404" i="15"/>
  <c r="B119" i="16"/>
  <c r="I123" i="15"/>
  <c r="I569" i="15"/>
  <c r="B565" i="16"/>
  <c r="B778" i="16"/>
  <c r="I782" i="15"/>
  <c r="I831" i="15"/>
  <c r="B827" i="16"/>
  <c r="B811" i="16"/>
  <c r="I815" i="15"/>
  <c r="B425" i="16"/>
  <c r="I429" i="15"/>
  <c r="H370" i="15"/>
  <c r="B911" i="16"/>
  <c r="I915" i="15"/>
  <c r="B427" i="16"/>
  <c r="I431" i="15"/>
  <c r="H393" i="15"/>
  <c r="G393" i="15"/>
  <c r="E389" i="17" s="1"/>
  <c r="A28" i="13"/>
  <c r="E28" i="13"/>
  <c r="B816" i="16"/>
  <c r="I820" i="15"/>
  <c r="B297" i="16"/>
  <c r="I301" i="15"/>
  <c r="B510" i="16"/>
  <c r="I514" i="15"/>
  <c r="I106" i="15"/>
  <c r="B102" i="16"/>
  <c r="B60" i="16"/>
  <c r="I64" i="15"/>
  <c r="B360" i="16"/>
  <c r="I364" i="15"/>
  <c r="B79" i="5"/>
  <c r="B57" i="4" s="1"/>
  <c r="B105" i="16"/>
  <c r="I109" i="15"/>
  <c r="B234" i="16"/>
  <c r="I238" i="15"/>
  <c r="V143" i="15"/>
  <c r="R143" i="15"/>
  <c r="B286" i="16"/>
  <c r="I290" i="15"/>
  <c r="B193" i="16"/>
  <c r="I197" i="15"/>
  <c r="R142" i="15"/>
  <c r="V142" i="15"/>
  <c r="V64" i="15"/>
  <c r="R64" i="15"/>
  <c r="B788" i="16"/>
  <c r="I792" i="15"/>
  <c r="W142" i="15"/>
  <c r="B20" i="16"/>
  <c r="I24" i="15"/>
  <c r="B860" i="16"/>
  <c r="I864" i="15"/>
  <c r="B503" i="16"/>
  <c r="I507" i="15"/>
  <c r="B215" i="16"/>
  <c r="I219" i="15"/>
  <c r="B902" i="16"/>
  <c r="I906" i="15"/>
  <c r="B140" i="16"/>
  <c r="I144" i="15"/>
  <c r="B181" i="16"/>
  <c r="I185" i="15"/>
  <c r="R189" i="15"/>
  <c r="V189" i="15"/>
  <c r="B618" i="16"/>
  <c r="I622" i="15"/>
  <c r="B958" i="16"/>
  <c r="I962" i="15"/>
  <c r="B462" i="16"/>
  <c r="I466" i="15"/>
  <c r="D65" i="5"/>
  <c r="D43" i="4" s="1"/>
  <c r="B942" i="16"/>
  <c r="I946" i="15"/>
  <c r="B663" i="16"/>
  <c r="I667" i="15"/>
  <c r="B908" i="16"/>
  <c r="I912" i="15"/>
  <c r="B653" i="16"/>
  <c r="I657" i="15"/>
  <c r="B717" i="16"/>
  <c r="I721" i="15"/>
  <c r="B776" i="16"/>
  <c r="I780" i="15"/>
  <c r="B453" i="16"/>
  <c r="I457" i="15"/>
  <c r="B751" i="16"/>
  <c r="I755" i="15"/>
  <c r="B243" i="16"/>
  <c r="I247" i="15"/>
  <c r="B231" i="16"/>
  <c r="I235" i="15"/>
  <c r="H372" i="15"/>
  <c r="G372" i="15"/>
  <c r="E368" i="17" s="1"/>
  <c r="B16" i="6"/>
  <c r="J16" i="6" s="1"/>
  <c r="D52" i="5" s="1"/>
  <c r="X52" i="5" s="1"/>
  <c r="B127" i="16"/>
  <c r="I131" i="15"/>
  <c r="B437" i="16"/>
  <c r="I441" i="15"/>
  <c r="B457" i="16"/>
  <c r="I461" i="15"/>
  <c r="B423" i="16"/>
  <c r="I427" i="15"/>
  <c r="B200" i="16"/>
  <c r="I204" i="15"/>
  <c r="B591" i="16"/>
  <c r="I595" i="15"/>
  <c r="B32" i="16"/>
  <c r="I36" i="15"/>
  <c r="B25" i="16"/>
  <c r="I29" i="15"/>
  <c r="B51" i="16"/>
  <c r="I55" i="15"/>
  <c r="B566" i="16"/>
  <c r="I570" i="15"/>
  <c r="B93" i="16"/>
  <c r="I97" i="15"/>
  <c r="R66" i="5"/>
  <c r="B947" i="16"/>
  <c r="I951" i="15"/>
  <c r="B877" i="16"/>
  <c r="I881" i="15"/>
  <c r="M48" i="6"/>
  <c r="E64" i="5" s="1"/>
  <c r="B775" i="16"/>
  <c r="I779" i="15"/>
  <c r="B647" i="16"/>
  <c r="I651" i="15"/>
  <c r="B335" i="16"/>
  <c r="I339" i="15"/>
  <c r="B126" i="16"/>
  <c r="I130" i="15"/>
  <c r="B867" i="16"/>
  <c r="I871" i="15"/>
  <c r="R229" i="15"/>
  <c r="V229" i="15"/>
  <c r="B716" i="16"/>
  <c r="I720" i="15"/>
  <c r="I118" i="15"/>
  <c r="B114" i="16"/>
  <c r="R9" i="15"/>
  <c r="V9" i="15"/>
  <c r="B387" i="16"/>
  <c r="I391" i="15"/>
  <c r="I846" i="15"/>
  <c r="B842" i="16"/>
  <c r="B83" i="16"/>
  <c r="I87" i="15"/>
  <c r="W37" i="15"/>
  <c r="B183" i="16"/>
  <c r="I187" i="15"/>
  <c r="W213" i="15"/>
  <c r="V213" i="15"/>
  <c r="R213" i="15"/>
  <c r="B347" i="16"/>
  <c r="I351" i="15"/>
  <c r="B516" i="16"/>
  <c r="I520" i="15"/>
  <c r="B933" i="16"/>
  <c r="I937" i="15"/>
  <c r="B106" i="16"/>
  <c r="I110" i="15"/>
  <c r="B682" i="16"/>
  <c r="I686" i="15"/>
  <c r="B50" i="16"/>
  <c r="I54" i="15"/>
  <c r="B402" i="16"/>
  <c r="I406" i="15"/>
  <c r="B15" i="16"/>
  <c r="I19" i="15"/>
  <c r="B611" i="16"/>
  <c r="I615" i="15"/>
  <c r="R233" i="15"/>
  <c r="V233" i="15"/>
  <c r="B12" i="16"/>
  <c r="I16" i="15"/>
  <c r="B59" i="5"/>
  <c r="B37" i="4" s="1"/>
  <c r="V216" i="15"/>
  <c r="R216" i="15"/>
  <c r="W216" i="15"/>
  <c r="H360" i="15"/>
  <c r="G360" i="15"/>
  <c r="E356" i="17" s="1"/>
  <c r="B362" i="16"/>
  <c r="I366" i="15"/>
  <c r="R57" i="5"/>
  <c r="I408" i="15"/>
  <c r="B404" i="16"/>
  <c r="B419" i="16"/>
  <c r="I423" i="15"/>
  <c r="B174" i="16"/>
  <c r="I178" i="15"/>
  <c r="B14" i="16"/>
  <c r="I18" i="15"/>
  <c r="B961" i="16"/>
  <c r="I965" i="15"/>
  <c r="B707" i="16"/>
  <c r="I711" i="15"/>
  <c r="G404" i="15"/>
  <c r="E400" i="17" s="1"/>
  <c r="B713" i="16"/>
  <c r="I717" i="15"/>
  <c r="B386" i="16"/>
  <c r="I390" i="15"/>
  <c r="W189" i="15"/>
  <c r="B662" i="16"/>
  <c r="I666" i="15"/>
  <c r="I739" i="15"/>
  <c r="B735" i="16"/>
  <c r="B512" i="16"/>
  <c r="I516" i="15"/>
  <c r="B262" i="16"/>
  <c r="I266" i="15"/>
  <c r="B239" i="16"/>
  <c r="I243" i="15"/>
  <c r="B251" i="16"/>
  <c r="I255" i="15"/>
  <c r="B498" i="16"/>
  <c r="I502" i="15"/>
  <c r="H386" i="15"/>
  <c r="G386" i="15"/>
  <c r="E382" i="17" s="1"/>
  <c r="B537" i="16"/>
  <c r="I541" i="15"/>
  <c r="B449" i="16"/>
  <c r="I453" i="15"/>
  <c r="B180" i="16"/>
  <c r="I184" i="15"/>
  <c r="V37" i="15"/>
  <c r="R37" i="15"/>
  <c r="B470" i="16"/>
  <c r="I474" i="15"/>
  <c r="D78" i="5"/>
  <c r="B567" i="16"/>
  <c r="I571" i="15"/>
  <c r="R112" i="15"/>
  <c r="V112" i="15"/>
  <c r="B148" i="16"/>
  <c r="I152" i="15"/>
  <c r="P70" i="5"/>
  <c r="V36" i="15"/>
  <c r="R36" i="15"/>
  <c r="I956" i="15"/>
  <c r="B952" i="16"/>
  <c r="B671" i="16"/>
  <c r="I675" i="15"/>
  <c r="B932" i="16"/>
  <c r="I936" i="15"/>
  <c r="B338" i="16"/>
  <c r="I342" i="15"/>
  <c r="B912" i="16"/>
  <c r="I916" i="15"/>
  <c r="B832" i="16"/>
  <c r="I836" i="15"/>
  <c r="I696" i="15"/>
  <c r="B692" i="16"/>
  <c r="B416" i="16"/>
  <c r="I420" i="15"/>
  <c r="B63" i="16"/>
  <c r="I67" i="15"/>
  <c r="V141" i="15"/>
  <c r="R141" i="15"/>
  <c r="B821" i="16"/>
  <c r="I825" i="15"/>
  <c r="B249" i="16"/>
  <c r="I253" i="15"/>
  <c r="H362" i="15"/>
  <c r="G362" i="15"/>
  <c r="E358" i="17" s="1"/>
  <c r="V190" i="15"/>
  <c r="R190" i="15"/>
  <c r="B538" i="16"/>
  <c r="I542" i="15"/>
  <c r="B8" i="16"/>
  <c r="I12" i="15"/>
  <c r="B321" i="16"/>
  <c r="I325" i="15"/>
  <c r="H25" i="15"/>
  <c r="V154" i="15"/>
  <c r="R154" i="15"/>
  <c r="I414" i="15"/>
  <c r="B410" i="16"/>
  <c r="B871" i="16"/>
  <c r="I875" i="15"/>
  <c r="B622" i="16"/>
  <c r="I626" i="15"/>
  <c r="B563" i="16"/>
  <c r="I567" i="15"/>
  <c r="B207" i="16"/>
  <c r="I211" i="15"/>
  <c r="B340" i="16"/>
  <c r="I344" i="15"/>
  <c r="B625" i="16"/>
  <c r="I629" i="15"/>
  <c r="B550" i="16"/>
  <c r="I554" i="15"/>
  <c r="B385" i="16"/>
  <c r="I389" i="15"/>
  <c r="I388" i="15"/>
  <c r="B384" i="16"/>
  <c r="B522" i="16"/>
  <c r="I526" i="15"/>
  <c r="K50" i="6"/>
  <c r="N48" i="6"/>
  <c r="I574" i="15"/>
  <c r="B570" i="16"/>
  <c r="W139" i="15"/>
  <c r="V139" i="15"/>
  <c r="R139" i="15"/>
  <c r="R39" i="15"/>
  <c r="V39" i="15"/>
  <c r="R205" i="15"/>
  <c r="V205" i="15"/>
  <c r="W205" i="15"/>
  <c r="I926" i="15"/>
  <c r="B922" i="16"/>
  <c r="B962" i="16"/>
  <c r="I966" i="15"/>
  <c r="B418" i="16"/>
  <c r="I422" i="15"/>
  <c r="B921" i="16"/>
  <c r="I925" i="15"/>
  <c r="C51" i="5"/>
  <c r="C29" i="4" s="1"/>
  <c r="I901" i="15"/>
  <c r="B897" i="16"/>
  <c r="I661" i="15"/>
  <c r="B657" i="16"/>
  <c r="I716" i="15"/>
  <c r="B712" i="16"/>
  <c r="W154" i="15"/>
  <c r="B616" i="16"/>
  <c r="I620" i="15"/>
  <c r="B282" i="16"/>
  <c r="I286" i="15"/>
  <c r="I398" i="15"/>
  <c r="B394" i="16"/>
  <c r="B602" i="16"/>
  <c r="I606" i="15"/>
  <c r="G140" i="15"/>
  <c r="E136" i="17" s="1"/>
  <c r="H140" i="15"/>
  <c r="W141" i="15"/>
  <c r="B284" i="16"/>
  <c r="I288" i="15"/>
  <c r="B412" i="16"/>
  <c r="I416" i="15"/>
  <c r="B518" i="16"/>
  <c r="I522" i="15"/>
  <c r="B268" i="16"/>
  <c r="I272" i="15"/>
  <c r="B517" i="16"/>
  <c r="I521" i="15"/>
  <c r="B7" i="16"/>
  <c r="I11" i="15"/>
  <c r="W233" i="15"/>
  <c r="W220" i="15"/>
  <c r="R220" i="15"/>
  <c r="V220" i="15"/>
  <c r="B313" i="16"/>
  <c r="I317" i="15"/>
  <c r="B562" i="16"/>
  <c r="I566" i="15"/>
  <c r="W185" i="15"/>
  <c r="V185" i="15"/>
  <c r="R185" i="15"/>
  <c r="B722" i="16"/>
  <c r="I726" i="15"/>
  <c r="B354" i="16"/>
  <c r="I358" i="15"/>
  <c r="B513" i="16"/>
  <c r="I517" i="15"/>
  <c r="P73" i="5"/>
  <c r="I839" i="15"/>
  <c r="B835" i="16"/>
  <c r="B612" i="16"/>
  <c r="I616" i="15"/>
  <c r="B194" i="16"/>
  <c r="I198" i="15"/>
  <c r="B837" i="16"/>
  <c r="I841" i="15"/>
  <c r="B235" i="16"/>
  <c r="I239" i="15"/>
  <c r="Q13" i="15"/>
  <c r="W13" i="15"/>
  <c r="B452" i="16"/>
  <c r="I456" i="15"/>
  <c r="B943" i="16"/>
  <c r="I947" i="15"/>
  <c r="B81" i="5"/>
  <c r="B59" i="4" s="1"/>
  <c r="I634" i="15"/>
  <c r="B630" i="16"/>
  <c r="C62" i="5"/>
  <c r="B895" i="16"/>
  <c r="I899" i="15"/>
  <c r="B549" i="16"/>
  <c r="I553" i="15"/>
  <c r="G358" i="15"/>
  <c r="E354" i="17" s="1"/>
  <c r="B607" i="16"/>
  <c r="I611" i="15"/>
  <c r="B617" i="16"/>
  <c r="I621" i="15"/>
  <c r="B295" i="16"/>
  <c r="I299" i="15"/>
  <c r="B469" i="16"/>
  <c r="I473" i="15"/>
  <c r="B803" i="16"/>
  <c r="I807" i="15"/>
  <c r="I254" i="15"/>
  <c r="B250" i="16"/>
  <c r="W236" i="15"/>
  <c r="V236" i="15"/>
  <c r="R236" i="15"/>
  <c r="V195" i="15"/>
  <c r="R195" i="15"/>
  <c r="B620" i="16"/>
  <c r="I624" i="15"/>
  <c r="B199" i="16"/>
  <c r="I203" i="15"/>
  <c r="B57" i="6"/>
  <c r="J57" i="6" s="1"/>
  <c r="D66" i="5" s="1"/>
  <c r="B98" i="16"/>
  <c r="I102" i="15"/>
  <c r="B885" i="16"/>
  <c r="I889" i="15"/>
  <c r="B941" i="16"/>
  <c r="I945" i="15"/>
  <c r="I383" i="15"/>
  <c r="B379" i="16"/>
  <c r="G355" i="15"/>
  <c r="E351" i="17" s="1"/>
  <c r="B289" i="16"/>
  <c r="I293" i="15"/>
  <c r="B506" i="16"/>
  <c r="I510" i="15"/>
  <c r="B92" i="16"/>
  <c r="I96" i="15"/>
  <c r="B54" i="16"/>
  <c r="I58" i="15"/>
  <c r="I610" i="15"/>
  <c r="B606" i="16"/>
  <c r="B715" i="16"/>
  <c r="I719" i="15"/>
  <c r="B766" i="16"/>
  <c r="I770" i="15"/>
  <c r="D93" i="19"/>
  <c r="B658" i="16"/>
  <c r="I662" i="15"/>
  <c r="G401" i="15"/>
  <c r="E397" i="17" s="1"/>
  <c r="B592" i="16"/>
  <c r="I596" i="15"/>
  <c r="B229" i="16"/>
  <c r="I233" i="15"/>
  <c r="F93" i="19"/>
  <c r="W157" i="15"/>
  <c r="V231" i="15"/>
  <c r="R231" i="15"/>
  <c r="B507" i="16"/>
  <c r="I511" i="15"/>
  <c r="B204" i="16"/>
  <c r="I208" i="15"/>
  <c r="B520" i="16"/>
  <c r="I524" i="15"/>
  <c r="W165" i="15"/>
  <c r="R165" i="15"/>
  <c r="V165" i="15"/>
  <c r="B433" i="16"/>
  <c r="I437" i="15"/>
  <c r="B721" i="16"/>
  <c r="I725" i="15"/>
  <c r="R113" i="15"/>
  <c r="V113" i="15"/>
  <c r="R17" i="15"/>
  <c r="V17" i="15"/>
  <c r="B623" i="16"/>
  <c r="I627" i="15"/>
  <c r="H32" i="15"/>
  <c r="B445" i="16"/>
  <c r="I449" i="15"/>
  <c r="B946" i="16"/>
  <c r="I950" i="15"/>
  <c r="B790" i="16"/>
  <c r="I794" i="15"/>
  <c r="H135" i="15"/>
  <c r="B324" i="16"/>
  <c r="I328" i="15"/>
  <c r="B822" i="16"/>
  <c r="I826" i="15"/>
  <c r="B302" i="16"/>
  <c r="I306" i="15"/>
  <c r="B907" i="16"/>
  <c r="I911" i="15"/>
  <c r="B652" i="16"/>
  <c r="I656" i="15"/>
  <c r="B917" i="16"/>
  <c r="I921" i="15"/>
  <c r="B33" i="16"/>
  <c r="I37" i="15"/>
  <c r="B238" i="16"/>
  <c r="I242" i="15"/>
  <c r="B214" i="16"/>
  <c r="I218" i="15"/>
  <c r="I298" i="15"/>
  <c r="B294" i="16"/>
  <c r="R227" i="15"/>
  <c r="V227" i="15"/>
  <c r="W64" i="15"/>
  <c r="B68" i="16"/>
  <c r="I72" i="15"/>
  <c r="B121" i="16"/>
  <c r="I125" i="15"/>
  <c r="B201" i="16"/>
  <c r="I205" i="15"/>
  <c r="W10" i="15"/>
  <c r="Q10" i="15"/>
  <c r="B216" i="16"/>
  <c r="I220" i="15"/>
  <c r="B755" i="16"/>
  <c r="I759" i="15"/>
  <c r="B571" i="16"/>
  <c r="I575" i="15"/>
  <c r="B597" i="16"/>
  <c r="I601" i="15"/>
  <c r="I654" i="15"/>
  <c r="B650" i="16"/>
  <c r="B245" i="16"/>
  <c r="I249" i="15"/>
  <c r="B367" i="16"/>
  <c r="I371" i="15"/>
  <c r="I81" i="15"/>
  <c r="B77" i="16"/>
  <c r="K10" i="6"/>
  <c r="B937" i="16"/>
  <c r="I941" i="15"/>
  <c r="B930" i="16"/>
  <c r="I934" i="15"/>
  <c r="I734" i="15"/>
  <c r="B730" i="16"/>
  <c r="B661" i="16"/>
  <c r="I665" i="15"/>
  <c r="B765" i="16"/>
  <c r="I769" i="15"/>
  <c r="B18" i="6"/>
  <c r="J18" i="6" s="1"/>
  <c r="D48" i="5" s="1"/>
  <c r="X48" i="5" s="1"/>
  <c r="B172" i="16"/>
  <c r="I176" i="15"/>
  <c r="B916" i="16"/>
  <c r="I920" i="15"/>
  <c r="B753" i="16"/>
  <c r="I757" i="15"/>
  <c r="B317" i="16"/>
  <c r="I321" i="15"/>
  <c r="B336" i="16"/>
  <c r="I340" i="15"/>
  <c r="B463" i="16"/>
  <c r="I467" i="15"/>
  <c r="W39" i="15"/>
  <c r="G394" i="15"/>
  <c r="E390" i="17" s="1"/>
  <c r="H394" i="15"/>
  <c r="B113" i="16"/>
  <c r="I117" i="15"/>
  <c r="B30" i="16"/>
  <c r="I34" i="15"/>
  <c r="B301" i="16"/>
  <c r="I305" i="15"/>
  <c r="V196" i="15"/>
  <c r="R196" i="15"/>
  <c r="W196" i="15"/>
  <c r="H380" i="15"/>
  <c r="G380" i="15"/>
  <c r="E376" i="17" s="1"/>
  <c r="I157" i="15"/>
  <c r="B153" i="16"/>
  <c r="B164" i="16"/>
  <c r="I168" i="15"/>
  <c r="B222" i="16"/>
  <c r="I226" i="15"/>
  <c r="B11" i="16"/>
  <c r="I15" i="15"/>
  <c r="R42" i="15"/>
  <c r="V42" i="15"/>
  <c r="B868" i="16"/>
  <c r="I872" i="15"/>
  <c r="B392" i="16"/>
  <c r="I396" i="15"/>
  <c r="E70" i="5"/>
  <c r="B475" i="16"/>
  <c r="I479" i="15"/>
  <c r="B438" i="16"/>
  <c r="I442" i="15"/>
  <c r="B865" i="16"/>
  <c r="I869" i="15"/>
  <c r="B162" i="16"/>
  <c r="I166" i="15"/>
  <c r="B94" i="16"/>
  <c r="I98" i="15"/>
  <c r="B430" i="16"/>
  <c r="I434" i="15"/>
  <c r="B598" i="16"/>
  <c r="I602" i="15"/>
  <c r="B600" i="16"/>
  <c r="I604" i="15"/>
  <c r="B171" i="16"/>
  <c r="I175" i="15"/>
  <c r="B950" i="16"/>
  <c r="I954" i="15"/>
  <c r="B667" i="16"/>
  <c r="I671" i="15"/>
  <c r="B906" i="16"/>
  <c r="I910" i="15"/>
  <c r="B853" i="16"/>
  <c r="I857" i="15"/>
  <c r="B843" i="16"/>
  <c r="I847" i="15"/>
  <c r="B665" i="16"/>
  <c r="I669" i="15"/>
  <c r="B637" i="16"/>
  <c r="I641" i="15"/>
  <c r="B383" i="16"/>
  <c r="I387" i="15"/>
  <c r="B424" i="16"/>
  <c r="I428" i="15"/>
  <c r="B467" i="16"/>
  <c r="I471" i="15"/>
  <c r="B801" i="16"/>
  <c r="I805" i="15"/>
  <c r="N46" i="6"/>
  <c r="H359" i="15"/>
  <c r="B588" i="16"/>
  <c r="I592" i="15"/>
  <c r="M46" i="6"/>
  <c r="E68" i="5" s="1"/>
  <c r="B927" i="16"/>
  <c r="I931" i="15"/>
  <c r="B575" i="16"/>
  <c r="I579" i="15"/>
  <c r="B519" i="16"/>
  <c r="I523" i="15"/>
  <c r="B688" i="16"/>
  <c r="I692" i="15"/>
  <c r="B316" i="16"/>
  <c r="I320" i="15"/>
  <c r="B252" i="16"/>
  <c r="I256" i="15"/>
  <c r="C74" i="5"/>
  <c r="B743" i="16"/>
  <c r="I747" i="15"/>
  <c r="B935" i="16"/>
  <c r="I939" i="15"/>
  <c r="B685" i="16"/>
  <c r="I689" i="15"/>
  <c r="V202" i="15"/>
  <c r="R202" i="15"/>
  <c r="W202" i="15"/>
  <c r="B141" i="16"/>
  <c r="I145" i="15"/>
  <c r="B178" i="16"/>
  <c r="I182" i="15"/>
  <c r="B307" i="16"/>
  <c r="I311" i="15"/>
  <c r="B160" i="16"/>
  <c r="I164" i="15"/>
  <c r="B585" i="16"/>
  <c r="I589" i="15"/>
  <c r="B163" i="16"/>
  <c r="I167" i="15"/>
  <c r="B47" i="16"/>
  <c r="I51" i="15"/>
  <c r="B115" i="16"/>
  <c r="I119" i="15"/>
  <c r="R35" i="15"/>
  <c r="V35" i="15"/>
  <c r="M3" i="21"/>
  <c r="M1" i="21" s="1"/>
  <c r="L1" i="21"/>
  <c r="E27" i="13"/>
  <c r="A27" i="13"/>
  <c r="C81" i="5"/>
  <c r="C59" i="4" s="1"/>
  <c r="D69" i="5"/>
  <c r="D47" i="4" s="1"/>
  <c r="Q65" i="5"/>
  <c r="C71" i="5"/>
  <c r="C49" i="4" s="1"/>
  <c r="C85" i="5"/>
  <c r="C63" i="4" s="1"/>
  <c r="B65" i="5"/>
  <c r="B43" i="4" s="1"/>
  <c r="B83" i="5"/>
  <c r="B61" i="4" s="1"/>
  <c r="B71" i="5"/>
  <c r="B49" i="4" s="1"/>
  <c r="B67" i="5"/>
  <c r="B45" i="4" s="1"/>
  <c r="D85" i="5"/>
  <c r="D63" i="4" s="1"/>
  <c r="D71" i="5"/>
  <c r="D49" i="4" s="1"/>
  <c r="C67" i="5"/>
  <c r="C45" i="4" s="1"/>
  <c r="D81" i="5"/>
  <c r="D59" i="4" s="1"/>
  <c r="R65" i="5"/>
  <c r="R67" i="5"/>
  <c r="Q66" i="5"/>
  <c r="C65" i="5"/>
  <c r="C43" i="4" s="1"/>
  <c r="B63" i="4"/>
  <c r="L1" i="19"/>
  <c r="M3" i="19"/>
  <c r="M1" i="19" s="1"/>
  <c r="B39" i="16" l="1"/>
  <c r="I43" i="15"/>
  <c r="B137" i="16"/>
  <c r="I141" i="15"/>
  <c r="B133" i="16"/>
  <c r="I397" i="15"/>
  <c r="I399" i="15"/>
  <c r="B103" i="16"/>
  <c r="I365" i="15"/>
  <c r="I124" i="15"/>
  <c r="R16" i="15"/>
  <c r="B17" i="16"/>
  <c r="I42" i="15"/>
  <c r="B396" i="16"/>
  <c r="R38" i="15"/>
  <c r="V38" i="15"/>
  <c r="R14" i="15"/>
  <c r="I122" i="15"/>
  <c r="I378" i="15"/>
  <c r="B374" i="16"/>
  <c r="B369" i="16"/>
  <c r="B363" i="16"/>
  <c r="I126" i="15"/>
  <c r="D52" i="4"/>
  <c r="X74" i="5"/>
  <c r="C56" i="4"/>
  <c r="W78" i="5"/>
  <c r="D56" i="4"/>
  <c r="X78" i="5"/>
  <c r="D42" i="4"/>
  <c r="X64" i="5"/>
  <c r="D44" i="4"/>
  <c r="X66" i="5"/>
  <c r="C52" i="4"/>
  <c r="W74" i="5"/>
  <c r="D40" i="4"/>
  <c r="X62" i="5"/>
  <c r="D36" i="4"/>
  <c r="X58" i="5"/>
  <c r="C40" i="4"/>
  <c r="W62" i="5"/>
  <c r="D38" i="4"/>
  <c r="X60" i="5"/>
  <c r="D28" i="4"/>
  <c r="D30" i="4"/>
  <c r="D32" i="4"/>
  <c r="J67" i="6"/>
  <c r="J65" i="6"/>
  <c r="J68" i="6"/>
  <c r="J66" i="6"/>
  <c r="L45" i="6"/>
  <c r="E67" i="5"/>
  <c r="E45" i="4" s="1"/>
  <c r="K35" i="6"/>
  <c r="M69" i="6"/>
  <c r="E52" i="4"/>
  <c r="E78" i="5"/>
  <c r="E56" i="4" s="1"/>
  <c r="N69" i="6"/>
  <c r="B77" i="5"/>
  <c r="B55" i="4" s="1"/>
  <c r="E44" i="4"/>
  <c r="N49" i="6"/>
  <c r="D75" i="5"/>
  <c r="D53" i="4" s="1"/>
  <c r="B75" i="5"/>
  <c r="B53" i="4" s="1"/>
  <c r="I127" i="15"/>
  <c r="B403" i="16"/>
  <c r="I407" i="15"/>
  <c r="D63" i="5"/>
  <c r="D41" i="4" s="1"/>
  <c r="I369" i="15"/>
  <c r="B365" i="16"/>
  <c r="I115" i="15"/>
  <c r="C61" i="5"/>
  <c r="C39" i="4" s="1"/>
  <c r="D61" i="5"/>
  <c r="D39" i="4" s="1"/>
  <c r="D73" i="5"/>
  <c r="D51" i="4" s="1"/>
  <c r="V13" i="15"/>
  <c r="R13" i="15"/>
  <c r="B355" i="16"/>
  <c r="I359" i="15"/>
  <c r="B21" i="16"/>
  <c r="I25" i="15"/>
  <c r="B28" i="16"/>
  <c r="I32" i="15"/>
  <c r="E65" i="5"/>
  <c r="E43" i="4" s="1"/>
  <c r="E42" i="4"/>
  <c r="K55" i="6"/>
  <c r="B399" i="16"/>
  <c r="I403" i="15"/>
  <c r="D59" i="5"/>
  <c r="D37" i="4" s="1"/>
  <c r="E73" i="5"/>
  <c r="E51" i="4" s="1"/>
  <c r="E50" i="4"/>
  <c r="B390" i="16"/>
  <c r="I394" i="15"/>
  <c r="E69" i="5"/>
  <c r="E47" i="4" s="1"/>
  <c r="E46" i="4"/>
  <c r="E77" i="5"/>
  <c r="E55" i="4" s="1"/>
  <c r="E54" i="4"/>
  <c r="B136" i="16"/>
  <c r="I140" i="15"/>
  <c r="B382" i="16"/>
  <c r="I386" i="15"/>
  <c r="D26" i="4"/>
  <c r="G36" i="12"/>
  <c r="C79" i="5"/>
  <c r="C57" i="4" s="1"/>
  <c r="B358" i="16"/>
  <c r="I362" i="15"/>
  <c r="I41" i="15"/>
  <c r="B37" i="16"/>
  <c r="V103" i="15"/>
  <c r="R103" i="15"/>
  <c r="B131" i="16"/>
  <c r="I135" i="15"/>
  <c r="D77" i="5"/>
  <c r="D55" i="4" s="1"/>
  <c r="B73" i="5"/>
  <c r="B51" i="4" s="1"/>
  <c r="L25" i="6"/>
  <c r="P71" i="5"/>
  <c r="P74" i="5" s="1"/>
  <c r="C63" i="5"/>
  <c r="C41" i="4" s="1"/>
  <c r="B368" i="16"/>
  <c r="I372" i="15"/>
  <c r="B389" i="16"/>
  <c r="I393" i="15"/>
  <c r="B366" i="16"/>
  <c r="I370" i="15"/>
  <c r="E71" i="5"/>
  <c r="E49" i="4" s="1"/>
  <c r="E48" i="4"/>
  <c r="B356" i="16"/>
  <c r="I360" i="15"/>
  <c r="K15" i="6"/>
  <c r="K5" i="6" s="1"/>
  <c r="J5" i="6" s="1"/>
  <c r="B54" i="5" s="1"/>
  <c r="V54" i="5" s="1"/>
  <c r="M49" i="6"/>
  <c r="B376" i="16"/>
  <c r="I380" i="15"/>
  <c r="V10" i="15"/>
  <c r="R10" i="15"/>
  <c r="N8" i="6"/>
  <c r="N7" i="6"/>
  <c r="N5" i="6"/>
  <c r="N6" i="6"/>
  <c r="M6" i="6"/>
  <c r="E52" i="5" s="1"/>
  <c r="M7" i="6"/>
  <c r="M5" i="6"/>
  <c r="M8" i="6"/>
  <c r="E48" i="5" s="1"/>
  <c r="M27" i="6"/>
  <c r="E58" i="5" s="1"/>
  <c r="M25" i="6"/>
  <c r="M26" i="6"/>
  <c r="E60" i="5" s="1"/>
  <c r="M28" i="6"/>
  <c r="E56" i="5" s="1"/>
  <c r="N27" i="6"/>
  <c r="N25" i="6"/>
  <c r="N26" i="6"/>
  <c r="N28" i="6"/>
  <c r="V2" i="15" l="1"/>
  <c r="K45" i="6"/>
  <c r="E79" i="5"/>
  <c r="E57" i="4" s="1"/>
  <c r="K25" i="6"/>
  <c r="J26" i="6" s="1"/>
  <c r="B60" i="5" s="1"/>
  <c r="V60" i="5" s="1"/>
  <c r="E50" i="5"/>
  <c r="E51" i="5" s="1"/>
  <c r="E29" i="4" s="1"/>
  <c r="E59" i="5"/>
  <c r="E37" i="4" s="1"/>
  <c r="E61" i="5"/>
  <c r="E39" i="4" s="1"/>
  <c r="E57" i="5"/>
  <c r="E35" i="4" s="1"/>
  <c r="C73" i="5"/>
  <c r="C51" i="4" s="1"/>
  <c r="D79" i="5"/>
  <c r="D57" i="4" s="1"/>
  <c r="C75" i="5"/>
  <c r="C53" i="4" s="1"/>
  <c r="C77" i="5"/>
  <c r="C55" i="4" s="1"/>
  <c r="C57" i="5"/>
  <c r="C35" i="4" s="1"/>
  <c r="C59" i="5"/>
  <c r="C37" i="4" s="1"/>
  <c r="E49" i="5"/>
  <c r="E27" i="4" s="1"/>
  <c r="I2" i="15"/>
  <c r="E53" i="5"/>
  <c r="E31" i="4" s="1"/>
  <c r="J7" i="6"/>
  <c r="B50" i="5" s="1"/>
  <c r="V50" i="5" s="1"/>
  <c r="D57" i="5"/>
  <c r="D35" i="4" s="1"/>
  <c r="J8" i="6"/>
  <c r="B48" i="5" s="1"/>
  <c r="V48" i="5" s="1"/>
  <c r="J6" i="6"/>
  <c r="B52" i="5" s="1"/>
  <c r="V52" i="5" s="1"/>
  <c r="B72" i="5"/>
  <c r="V72" i="5" s="1"/>
  <c r="B76" i="5"/>
  <c r="V76" i="5" s="1"/>
  <c r="B78" i="5"/>
  <c r="V78" i="5" s="1"/>
  <c r="B74" i="5"/>
  <c r="V74" i="5" s="1"/>
  <c r="E26" i="4"/>
  <c r="E30" i="4"/>
  <c r="M9" i="6"/>
  <c r="E54" i="5"/>
  <c r="E55" i="5" s="1"/>
  <c r="N9" i="6"/>
  <c r="B32" i="4"/>
  <c r="N29" i="6"/>
  <c r="E34" i="4"/>
  <c r="E38" i="4"/>
  <c r="E62" i="5"/>
  <c r="E63" i="5" s="1"/>
  <c r="M29" i="6"/>
  <c r="E36" i="4"/>
  <c r="J45" i="6" l="1"/>
  <c r="B70" i="5" s="1"/>
  <c r="J48" i="6"/>
  <c r="B64" i="5" s="1"/>
  <c r="J46" i="6"/>
  <c r="B68" i="5" s="1"/>
  <c r="D24" i="5"/>
  <c r="D31" i="5" s="1"/>
  <c r="J47" i="6"/>
  <c r="B66" i="5" s="1"/>
  <c r="R7" i="13"/>
  <c r="E28" i="4"/>
  <c r="R4" i="13"/>
  <c r="H12" i="13" s="1"/>
  <c r="B30" i="4"/>
  <c r="H30" i="4" s="1"/>
  <c r="B26" i="4"/>
  <c r="H26" i="4" s="1"/>
  <c r="J25" i="6"/>
  <c r="B62" i="5" s="1"/>
  <c r="J27" i="6"/>
  <c r="B58" i="5" s="1"/>
  <c r="F59" i="5" s="1"/>
  <c r="F37" i="4" s="1"/>
  <c r="H37" i="4" s="1"/>
  <c r="J28" i="6"/>
  <c r="B56" i="5" s="1"/>
  <c r="F57" i="5" s="1"/>
  <c r="F35" i="4" s="1"/>
  <c r="F61" i="5"/>
  <c r="F39" i="4" s="1"/>
  <c r="H39" i="4" s="1"/>
  <c r="B38" i="4"/>
  <c r="H38" i="4" s="1"/>
  <c r="B28" i="4"/>
  <c r="Q70" i="5"/>
  <c r="P4" i="13" s="1"/>
  <c r="G12" i="13" s="1"/>
  <c r="B52" i="4"/>
  <c r="H52" i="4" s="1"/>
  <c r="F75" i="5"/>
  <c r="F53" i="4" s="1"/>
  <c r="H53" i="4" s="1"/>
  <c r="B50" i="4"/>
  <c r="H50" i="4" s="1"/>
  <c r="H89" i="5"/>
  <c r="Q73" i="5"/>
  <c r="P7" i="13" s="1"/>
  <c r="F73" i="5"/>
  <c r="B54" i="4"/>
  <c r="H54" i="4" s="1"/>
  <c r="F77" i="5"/>
  <c r="F55" i="4" s="1"/>
  <c r="H55" i="4" s="1"/>
  <c r="B56" i="4"/>
  <c r="H56" i="4" s="1"/>
  <c r="F79" i="5"/>
  <c r="F57" i="4" s="1"/>
  <c r="H57" i="4" s="1"/>
  <c r="E32" i="4"/>
  <c r="H32" i="4" s="1"/>
  <c r="E40" i="4"/>
  <c r="V70" i="5" l="1"/>
  <c r="B48" i="4"/>
  <c r="H48" i="4" s="1"/>
  <c r="F71" i="5"/>
  <c r="F49" i="4" s="1"/>
  <c r="H49" i="4" s="1"/>
  <c r="V64" i="5"/>
  <c r="F65" i="5"/>
  <c r="F43" i="4" s="1"/>
  <c r="H43" i="4" s="1"/>
  <c r="B42" i="4"/>
  <c r="H42" i="4" s="1"/>
  <c r="V68" i="5"/>
  <c r="F69" i="5"/>
  <c r="F47" i="4" s="1"/>
  <c r="H47" i="4" s="1"/>
  <c r="B46" i="4"/>
  <c r="H46" i="4" s="1"/>
  <c r="G35" i="12"/>
  <c r="F72" i="4"/>
  <c r="H72" i="4" s="1"/>
  <c r="D32" i="5"/>
  <c r="P14" i="13"/>
  <c r="I26" i="13" s="1"/>
  <c r="B129" i="5"/>
  <c r="H28" i="4"/>
  <c r="V66" i="5"/>
  <c r="Q72" i="5"/>
  <c r="P6" i="13" s="1"/>
  <c r="G14" i="13" s="1"/>
  <c r="B44" i="4"/>
  <c r="H44" i="4" s="1"/>
  <c r="F67" i="5"/>
  <c r="H86" i="5"/>
  <c r="D93" i="5" s="1"/>
  <c r="F77" i="4" s="1"/>
  <c r="H77" i="4" s="1"/>
  <c r="Q71" i="5"/>
  <c r="P5" i="13" s="1"/>
  <c r="G13" i="13" s="1"/>
  <c r="B34" i="4"/>
  <c r="H34" i="4" s="1"/>
  <c r="V56" i="5"/>
  <c r="B36" i="4"/>
  <c r="H36" i="4" s="1"/>
  <c r="V58" i="5"/>
  <c r="B40" i="4"/>
  <c r="H40" i="4" s="1"/>
  <c r="V62" i="5"/>
  <c r="B49" i="5"/>
  <c r="B51" i="5"/>
  <c r="B53" i="5"/>
  <c r="B55" i="5"/>
  <c r="B33" i="4" s="1"/>
  <c r="F51" i="4"/>
  <c r="H51" i="4" s="1"/>
  <c r="H90" i="5"/>
  <c r="B131" i="5" s="1"/>
  <c r="R73" i="5"/>
  <c r="G15" i="13"/>
  <c r="E33" i="4"/>
  <c r="H35" i="4"/>
  <c r="E41" i="4"/>
  <c r="F63" i="5"/>
  <c r="R71" i="5" s="1"/>
  <c r="B158" i="5" l="1"/>
  <c r="E26" i="13"/>
  <c r="A26" i="13"/>
  <c r="R6" i="13"/>
  <c r="F73" i="4"/>
  <c r="H73" i="4" s="1"/>
  <c r="D33" i="5"/>
  <c r="F45" i="4"/>
  <c r="H45" i="4" s="1"/>
  <c r="R72" i="5"/>
  <c r="Q74" i="5"/>
  <c r="R5" i="13"/>
  <c r="H13" i="13" s="1"/>
  <c r="E13" i="13" s="1"/>
  <c r="B31" i="4"/>
  <c r="F53" i="5"/>
  <c r="F31" i="4" s="1"/>
  <c r="H31" i="4" s="1"/>
  <c r="B29" i="4"/>
  <c r="F51" i="5"/>
  <c r="F29" i="4" s="1"/>
  <c r="H29" i="4" s="1"/>
  <c r="F55" i="5"/>
  <c r="F33" i="4" s="1"/>
  <c r="H33" i="4" s="1"/>
  <c r="B27" i="4"/>
  <c r="F49" i="5"/>
  <c r="F27" i="4" s="1"/>
  <c r="H27" i="4" s="1"/>
  <c r="H15" i="13"/>
  <c r="A15" i="13" s="1"/>
  <c r="F41" i="4"/>
  <c r="H14" i="13" l="1"/>
  <c r="B84" i="5"/>
  <c r="B82" i="5"/>
  <c r="B80" i="5"/>
  <c r="F81" i="5" s="1"/>
  <c r="H87" i="5"/>
  <c r="B132" i="5" s="1"/>
  <c r="R70" i="5"/>
  <c r="R74" i="5" s="1"/>
  <c r="A13" i="13"/>
  <c r="E15" i="13"/>
  <c r="H41" i="4"/>
  <c r="A14" i="13" l="1"/>
  <c r="E14" i="13"/>
  <c r="V80" i="5"/>
  <c r="R8" i="13" s="1"/>
  <c r="H16" i="13" s="1"/>
  <c r="P8" i="13"/>
  <c r="G16" i="13" s="1"/>
  <c r="B58" i="4"/>
  <c r="H58" i="4" s="1"/>
  <c r="V84" i="5"/>
  <c r="R10" i="13" s="1"/>
  <c r="H18" i="13" s="1"/>
  <c r="P10" i="13"/>
  <c r="B62" i="4"/>
  <c r="H62" i="4" s="1"/>
  <c r="F85" i="5"/>
  <c r="F63" i="4" s="1"/>
  <c r="H63" i="4" s="1"/>
  <c r="V82" i="5"/>
  <c r="R9" i="13" s="1"/>
  <c r="P9" i="13"/>
  <c r="G17" i="13" s="1"/>
  <c r="B60" i="4"/>
  <c r="H60" i="4" s="1"/>
  <c r="F83" i="5"/>
  <c r="H92" i="5"/>
  <c r="K108" i="5"/>
  <c r="K109" i="5"/>
  <c r="D112" i="5"/>
  <c r="F84" i="4" s="1"/>
  <c r="H84" i="4" s="1"/>
  <c r="K110" i="5"/>
  <c r="F59" i="4"/>
  <c r="E16" i="13" l="1"/>
  <c r="H17" i="13"/>
  <c r="R12" i="13"/>
  <c r="P31" i="13" s="1"/>
  <c r="F61" i="4"/>
  <c r="D92" i="5"/>
  <c r="H93" i="5"/>
  <c r="G18" i="13"/>
  <c r="G37" i="13" s="1"/>
  <c r="P27" i="13" s="1"/>
  <c r="P12" i="13"/>
  <c r="P26" i="13" s="1"/>
  <c r="K111" i="5"/>
  <c r="D108" i="5" s="1"/>
  <c r="D114" i="5" s="1"/>
  <c r="B135" i="5" s="1"/>
  <c r="B161" i="5" s="1"/>
  <c r="A16" i="13"/>
  <c r="A19" i="13"/>
  <c r="H59" i="4"/>
  <c r="A12" i="13"/>
  <c r="E12" i="13"/>
  <c r="E17" i="13" l="1"/>
  <c r="A17" i="13"/>
  <c r="P28" i="13"/>
  <c r="H61" i="4"/>
  <c r="H25" i="4"/>
  <c r="H70" i="4" s="1"/>
  <c r="F76" i="4"/>
  <c r="H76" i="4" s="1"/>
  <c r="B133" i="5"/>
  <c r="B159" i="5" s="1"/>
  <c r="D94" i="5"/>
  <c r="G37" i="12"/>
  <c r="A18" i="13"/>
  <c r="E18" i="13"/>
  <c r="P19" i="13"/>
  <c r="I23" i="13" s="1"/>
  <c r="A23" i="13" s="1"/>
  <c r="D115" i="5"/>
  <c r="F86" i="4" s="1"/>
  <c r="H86" i="4" s="1"/>
  <c r="F81" i="4"/>
  <c r="H81" i="4" s="1"/>
  <c r="H37" i="13"/>
  <c r="P32" i="13" s="1"/>
  <c r="P33" i="13" s="1"/>
  <c r="E19" i="13"/>
  <c r="D95" i="5" l="1"/>
  <c r="F78" i="4"/>
  <c r="H78" i="4" s="1"/>
  <c r="P20" i="13"/>
  <c r="P36" i="13" s="1"/>
  <c r="E23" i="13"/>
  <c r="D116" i="5"/>
  <c r="I37" i="13"/>
  <c r="P37" i="13" s="1"/>
  <c r="D118" i="5" l="1"/>
  <c r="P38" i="13"/>
  <c r="E45" i="5" l="1"/>
  <c r="E116" i="5"/>
  <c r="D119" i="5"/>
  <c r="E106" i="5"/>
  <c r="E33" i="5"/>
  <c r="E95" i="5"/>
  <c r="D123" i="5" l="1"/>
  <c r="B162" i="5"/>
  <c r="F87" i="4"/>
  <c r="H87" i="4" s="1"/>
  <c r="F91" i="4" l="1"/>
  <c r="H91" i="4" s="1"/>
  <c r="I125" i="5"/>
  <c r="J125" i="5" s="1"/>
  <c r="D124" i="5" s="1"/>
  <c r="D125" i="5" l="1"/>
  <c r="B163" i="5"/>
  <c r="B164" i="5" s="1"/>
  <c r="F92" i="4"/>
  <c r="H92" i="4" s="1"/>
  <c r="F94" i="4" l="1"/>
  <c r="F119" i="5"/>
  <c r="F116" i="5"/>
  <c r="P45" i="9"/>
  <c r="A45" i="9" s="1"/>
  <c r="F45" i="5"/>
  <c r="J4" i="13"/>
  <c r="M4" i="13" s="1"/>
  <c r="G39" i="12"/>
  <c r="F33" i="5"/>
  <c r="F106" i="5"/>
  <c r="F9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 Knight</author>
  </authors>
  <commentList>
    <comment ref="F841" authorId="0" shapeId="0" xr:uid="{FED4972D-2B14-4CD0-B5BC-54EC17B56E16}">
      <text>
        <r>
          <rPr>
            <b/>
            <sz val="9"/>
            <color indexed="81"/>
            <rFont val="Tahoma"/>
            <family val="2"/>
          </rPr>
          <t>Eric Knight:</t>
        </r>
        <r>
          <rPr>
            <sz val="9"/>
            <color indexed="81"/>
            <rFont val="Tahoma"/>
            <family val="2"/>
          </rPr>
          <t xml:space="preserve">
$0.10 / Sq Ft for Accessories + 15%</t>
        </r>
      </text>
    </comment>
  </commentList>
</comments>
</file>

<file path=xl/sharedStrings.xml><?xml version="1.0" encoding="utf-8"?>
<sst xmlns="http://schemas.openxmlformats.org/spreadsheetml/2006/main" count="6073" uniqueCount="1295">
  <si>
    <t>Change Order No:</t>
  </si>
  <si>
    <t>Job Description:</t>
  </si>
  <si>
    <t>Bid Summary</t>
  </si>
  <si>
    <t>Material Cost</t>
  </si>
  <si>
    <t>Mat and Shop Labor Costs</t>
  </si>
  <si>
    <t>Field Labor</t>
  </si>
  <si>
    <t>Subcontractors</t>
  </si>
  <si>
    <t>Rentals</t>
  </si>
  <si>
    <t>Deliveries</t>
  </si>
  <si>
    <t>Markup</t>
  </si>
  <si>
    <t>Subsistance/Travel</t>
  </si>
  <si>
    <t>OCIP Deduct</t>
  </si>
  <si>
    <t>Total</t>
  </si>
  <si>
    <t>Estimate No</t>
  </si>
  <si>
    <t>Customer</t>
  </si>
  <si>
    <t>Job Name</t>
  </si>
  <si>
    <t>% of Costs</t>
  </si>
  <si>
    <t>% of Bid</t>
  </si>
  <si>
    <t>Additional Material</t>
  </si>
  <si>
    <t>Sub Total</t>
  </si>
  <si>
    <t>Material Totals</t>
  </si>
  <si>
    <t>Buyout Totals</t>
  </si>
  <si>
    <t>Hours</t>
  </si>
  <si>
    <t>Engineering</t>
  </si>
  <si>
    <t>Labor Totals</t>
  </si>
  <si>
    <t>Subcontractors - Totals</t>
  </si>
  <si>
    <t>Total Costs</t>
  </si>
  <si>
    <t>Bond</t>
  </si>
  <si>
    <t>Contingency</t>
  </si>
  <si>
    <t>Total Bid</t>
  </si>
  <si>
    <t>Cost Summary</t>
  </si>
  <si>
    <t xml:space="preserve">Shop Labor </t>
  </si>
  <si>
    <t>Other Labor</t>
  </si>
  <si>
    <t>Tools, Rentals, Misc</t>
  </si>
  <si>
    <t>Agreement Duration</t>
  </si>
  <si>
    <t>From Date:</t>
  </si>
  <si>
    <t>To Date:</t>
  </si>
  <si>
    <t>Worker’s Compensation
Class Code</t>
  </si>
  <si>
    <t>Base Pay
$/hour</t>
  </si>
  <si>
    <t>PTI
$/hour</t>
  </si>
  <si>
    <t>Fringes
$/hour</t>
  </si>
  <si>
    <t>Total
$/hour</t>
  </si>
  <si>
    <t>Straight Time Rates</t>
  </si>
  <si>
    <t>General Foreman</t>
  </si>
  <si>
    <t>Foreman</t>
  </si>
  <si>
    <t>Journeyman</t>
  </si>
  <si>
    <t>Overtime Rates</t>
  </si>
  <si>
    <t>Double Time Rates</t>
  </si>
  <si>
    <t>Small Tools</t>
  </si>
  <si>
    <t>Consumeables</t>
  </si>
  <si>
    <t>Site Indirects</t>
  </si>
  <si>
    <t>PM</t>
  </si>
  <si>
    <t>Trucks/Fuel</t>
  </si>
  <si>
    <t xml:space="preserve">Safety </t>
  </si>
  <si>
    <t>Qty/Crew</t>
  </si>
  <si>
    <t>Equipment</t>
  </si>
  <si>
    <t>Material Markup</t>
  </si>
  <si>
    <t>Rate</t>
  </si>
  <si>
    <t>Per Diem / Day</t>
  </si>
  <si>
    <t>Material</t>
  </si>
  <si>
    <t>Bought Out</t>
  </si>
  <si>
    <t>Labor Cost</t>
  </si>
  <si>
    <t>Labor Markup</t>
  </si>
  <si>
    <t>Sub Markup</t>
  </si>
  <si>
    <t>Qty</t>
  </si>
  <si>
    <t>Description</t>
  </si>
  <si>
    <t>Cost Per Delivery</t>
  </si>
  <si>
    <t>Project Manager</t>
  </si>
  <si>
    <t>Safety</t>
  </si>
  <si>
    <t>Permits</t>
  </si>
  <si>
    <t>Labor From Above</t>
  </si>
  <si>
    <t>Tools, Consumables &amp; Site Indirects</t>
  </si>
  <si>
    <t>Site Cost Totals</t>
  </si>
  <si>
    <t>Total Markup</t>
  </si>
  <si>
    <t>Rental/Indirect Markup</t>
  </si>
  <si>
    <t>Change Order #</t>
  </si>
  <si>
    <t>Tools and Indirects</t>
  </si>
  <si>
    <t>Customer:</t>
  </si>
  <si>
    <t>Change Proposal</t>
  </si>
  <si>
    <t>Exclusions:</t>
  </si>
  <si>
    <t>Additional</t>
  </si>
  <si>
    <t>Quantity</t>
  </si>
  <si>
    <t>Material Unit</t>
  </si>
  <si>
    <t>Material Total</t>
  </si>
  <si>
    <t>NOTES</t>
  </si>
  <si>
    <t>Totals</t>
  </si>
  <si>
    <t>Equipment Cost</t>
  </si>
  <si>
    <t>Equipment Markup</t>
  </si>
  <si>
    <t>Field Labor Unit</t>
  </si>
  <si>
    <t>Field Labor Total</t>
  </si>
  <si>
    <t>Shop Labor Unit</t>
  </si>
  <si>
    <t>Shop Labor Total</t>
  </si>
  <si>
    <t>Exclusions / Orphans</t>
  </si>
  <si>
    <t>Proposal</t>
  </si>
  <si>
    <t>ARCTIC SHEET METAL, INC.</t>
  </si>
  <si>
    <t>2310 NE Columbia Boulevard</t>
  </si>
  <si>
    <t>Portland, Oregon  97211</t>
  </si>
  <si>
    <t>Phone (503) 288-5844   Fax (503) 288-5849</t>
  </si>
  <si>
    <t>ATTN:</t>
  </si>
  <si>
    <t>PROPOSAL SUBMITTED TO</t>
  </si>
  <si>
    <t>PHONE</t>
  </si>
  <si>
    <t>DATE</t>
  </si>
  <si>
    <t>ADDRESS:</t>
  </si>
  <si>
    <t>JOB NAME</t>
  </si>
  <si>
    <t>CITY, STATE, &amp; ZIP</t>
  </si>
  <si>
    <t>JOB LOCATION</t>
  </si>
  <si>
    <t>ARCHITECT</t>
  </si>
  <si>
    <t>DATE OF PLANS</t>
  </si>
  <si>
    <t xml:space="preserve">FAX </t>
  </si>
  <si>
    <t xml:space="preserve"> </t>
  </si>
  <si>
    <r>
      <t xml:space="preserve">WE PROPOSE  </t>
    </r>
    <r>
      <rPr>
        <sz val="9"/>
        <rFont val="Arial"/>
        <family val="2"/>
      </rPr>
      <t>hereby to furnish material and labor -- complete in accordance with above specifications, for the sum of:</t>
    </r>
  </si>
  <si>
    <t>dollars ($</t>
  </si>
  <si>
    <t>).</t>
  </si>
  <si>
    <t>Payment to be made as follows:</t>
  </si>
  <si>
    <t>Authorized</t>
  </si>
  <si>
    <t>Signature</t>
  </si>
  <si>
    <t>Note:  This proposal may be withdrawn by us if not accepted</t>
  </si>
  <si>
    <r>
      <t xml:space="preserve">within  </t>
    </r>
    <r>
      <rPr>
        <u/>
        <sz val="8"/>
        <rFont val="Arial"/>
        <family val="2"/>
      </rPr>
      <t xml:space="preserve">                30               </t>
    </r>
    <r>
      <rPr>
        <sz val="8"/>
        <rFont val="Arial"/>
        <family val="2"/>
      </rPr>
      <t xml:space="preserve">  days.</t>
    </r>
  </si>
  <si>
    <r>
      <t xml:space="preserve">Acceptance of proposal </t>
    </r>
    <r>
      <rPr>
        <sz val="8"/>
        <rFont val="Arial"/>
        <family val="2"/>
      </rPr>
      <t>- The above prices, specifications</t>
    </r>
  </si>
  <si>
    <t>and conditions are satisfactory and are hereby accepted.  You are authorized</t>
  </si>
  <si>
    <t>to do the work as specified.  Payment will be made as outlined above.</t>
  </si>
  <si>
    <t>Date of Acceptance</t>
  </si>
  <si>
    <t>Macro's are required to use this workbook.</t>
  </si>
  <si>
    <t>Please enable macro's to continue</t>
  </si>
  <si>
    <t>Date:</t>
  </si>
  <si>
    <t>No</t>
  </si>
  <si>
    <t>JOB WORK ORDER</t>
  </si>
  <si>
    <t>Portland, Oregon 97211</t>
  </si>
  <si>
    <t>(503) 288-5844</t>
  </si>
  <si>
    <t>DATE OF ORDER</t>
  </si>
  <si>
    <t>CUSTOMER ORDER NO.</t>
  </si>
  <si>
    <t>FAX</t>
  </si>
  <si>
    <t>STARTING DATE</t>
  </si>
  <si>
    <t>NAME</t>
  </si>
  <si>
    <t>ESTIMATOR / PROJ MGR</t>
  </si>
  <si>
    <t>ADDRESS</t>
  </si>
  <si>
    <t>T&amp;M</t>
  </si>
  <si>
    <t>CITY / STATE / ZIP</t>
  </si>
  <si>
    <t>CONTRACT</t>
  </si>
  <si>
    <t>JOB NAME / LOCATION / ADDRESS</t>
  </si>
  <si>
    <t>CERTIFIED PAYROLL</t>
  </si>
  <si>
    <t>YES</t>
  </si>
  <si>
    <t>NO</t>
  </si>
  <si>
    <t>WORK RECOVERY</t>
  </si>
  <si>
    <t>SUBMITTALS</t>
  </si>
  <si>
    <t>O &amp; M'S</t>
  </si>
  <si>
    <t>OCIP / CCIP</t>
  </si>
  <si>
    <t>DESCRIPTION OF WORK</t>
  </si>
  <si>
    <t>TOTAL MATERIALS</t>
  </si>
  <si>
    <t>SHOP LABOR</t>
  </si>
  <si>
    <t>FIELD LABOR</t>
  </si>
  <si>
    <t>TAX</t>
  </si>
  <si>
    <t>DATE COMPLETED</t>
  </si>
  <si>
    <t>WORD ORDERED BY</t>
  </si>
  <si>
    <t>TOTAL AMOUNT</t>
  </si>
  <si>
    <t>Location</t>
  </si>
  <si>
    <t>Existing</t>
  </si>
  <si>
    <t>Change Proposal/Small Job Booking with Detail</t>
  </si>
  <si>
    <t>Change Value (Sell):</t>
  </si>
  <si>
    <t>Job Number</t>
  </si>
  <si>
    <t>Approved By:</t>
  </si>
  <si>
    <t>PM:</t>
  </si>
  <si>
    <t>Mod #:</t>
  </si>
  <si>
    <t>Pending</t>
  </si>
  <si>
    <t>Check Box</t>
  </si>
  <si>
    <t>GC:</t>
  </si>
  <si>
    <t>Approved:</t>
  </si>
  <si>
    <t>accounting use</t>
  </si>
  <si>
    <t>Description (Arctic CP or COR #)</t>
  </si>
  <si>
    <t>New P/C</t>
  </si>
  <si>
    <t>P/C</t>
  </si>
  <si>
    <t>Labor Hours</t>
  </si>
  <si>
    <t>Non-Labor Costs</t>
  </si>
  <si>
    <t>N/L Cost Category</t>
  </si>
  <si>
    <t>Notes</t>
  </si>
  <si>
    <t>Labor Costs</t>
  </si>
  <si>
    <t>PM Hours</t>
  </si>
  <si>
    <t>PM Costs</t>
  </si>
  <si>
    <t>Costs</t>
  </si>
  <si>
    <t>Labor</t>
  </si>
  <si>
    <t>Take Off Information</t>
  </si>
  <si>
    <t>Non-Labor</t>
  </si>
  <si>
    <t>Subcontracts</t>
  </si>
  <si>
    <t>Tools, Consumables</t>
  </si>
  <si>
    <t>&amp; Site Indirects</t>
  </si>
  <si>
    <t>Remaining To Be Booked</t>
  </si>
  <si>
    <t>From Take Off</t>
  </si>
  <si>
    <t>Booked</t>
  </si>
  <si>
    <t>Remaining</t>
  </si>
  <si>
    <t>Exclude Section</t>
  </si>
  <si>
    <t>Shift Pay</t>
  </si>
  <si>
    <t>LABOR RATE TABLE</t>
  </si>
  <si>
    <t xml:space="preserve">Stock </t>
  </si>
  <si>
    <t xml:space="preserve">Description </t>
  </si>
  <si>
    <t xml:space="preserve"> UOM </t>
  </si>
  <si>
    <t>26 Gauge Galvanized</t>
  </si>
  <si>
    <t>Lb</t>
  </si>
  <si>
    <t>24 Gauge Galvanized</t>
  </si>
  <si>
    <t>22 Gauge Galvanized</t>
  </si>
  <si>
    <t>20 Gauge Galvanized</t>
  </si>
  <si>
    <t>18 Gauge Galvanized</t>
  </si>
  <si>
    <t>16 Gauge Galvanized</t>
  </si>
  <si>
    <t>14 Gauge Galvanized</t>
  </si>
  <si>
    <t>12 Gauge Galvanized</t>
  </si>
  <si>
    <t>10 Gauge Galvanized</t>
  </si>
  <si>
    <t>Not Used</t>
  </si>
  <si>
    <t>.032 Aluminum</t>
  </si>
  <si>
    <t>.040 Aluminum</t>
  </si>
  <si>
    <t>.050 Aluminum</t>
  </si>
  <si>
    <t>.063 Aluminum</t>
  </si>
  <si>
    <t>.080 Aluminum</t>
  </si>
  <si>
    <t>16 Gauge Black Iron</t>
  </si>
  <si>
    <t>14 Gauge Black Iron</t>
  </si>
  <si>
    <t>12 Gauge Black Iron</t>
  </si>
  <si>
    <t>10 Gauge Black Iron</t>
  </si>
  <si>
    <t>Black Iron 3/16 Plate</t>
  </si>
  <si>
    <t>Black Iron 1/4 Plate</t>
  </si>
  <si>
    <t>26 Gauge EG Metal</t>
  </si>
  <si>
    <t>24 Gauge EG Metal</t>
  </si>
  <si>
    <t>22 Gauge EG Metal</t>
  </si>
  <si>
    <t>20 Gauge EG Metal</t>
  </si>
  <si>
    <t>18 Gauge EG Metal</t>
  </si>
  <si>
    <t>16 Gauge EG Metal</t>
  </si>
  <si>
    <t>14 Gauge EG Metal</t>
  </si>
  <si>
    <t>Painted Metal</t>
  </si>
  <si>
    <t>Sq Ft</t>
  </si>
  <si>
    <t>12 Gauge EG Metal</t>
  </si>
  <si>
    <t>Duct Access Door 6 x 6</t>
  </si>
  <si>
    <t>Each</t>
  </si>
  <si>
    <t>Duct Access Door 8 x 8</t>
  </si>
  <si>
    <t>Duct Access Door 10 x 10</t>
  </si>
  <si>
    <t>Duct Access Door 12 x 12</t>
  </si>
  <si>
    <t>Duct Access Door 14 x 14</t>
  </si>
  <si>
    <t>Duct Access Door 16 x 16</t>
  </si>
  <si>
    <t>Duct Access Door 18 x 18</t>
  </si>
  <si>
    <t>Duct Access Door 24 x 24</t>
  </si>
  <si>
    <t>A-D Latch 1/4"</t>
  </si>
  <si>
    <t>A-D Latch 3/8"</t>
  </si>
  <si>
    <t>A-D Latch 1/2"</t>
  </si>
  <si>
    <t>Access Door Suitcase Latch</t>
  </si>
  <si>
    <t>Access Door Sash Locks</t>
  </si>
  <si>
    <t>Access Door Greaser Duct 8 x 12</t>
  </si>
  <si>
    <t>Adhesive</t>
  </si>
  <si>
    <t>Gallon</t>
  </si>
  <si>
    <t>Adhesive Spray Glue Can</t>
  </si>
  <si>
    <t>Allthread 1/4"</t>
  </si>
  <si>
    <t>Foot</t>
  </si>
  <si>
    <t>Allthread 3/8"</t>
  </si>
  <si>
    <t>Allthread 1/2"</t>
  </si>
  <si>
    <t>Allthread 5/8"</t>
  </si>
  <si>
    <t>Allthread 3/4"</t>
  </si>
  <si>
    <t>A-F Ells 1/4"</t>
  </si>
  <si>
    <t>Anchor Flush Ells 3/8"</t>
  </si>
  <si>
    <t>Anchor Flush Ells 1/2"</t>
  </si>
  <si>
    <t>Anchor Flush Ells 5/8"</t>
  </si>
  <si>
    <t>Anchor Flush Ells 3/4"</t>
  </si>
  <si>
    <t>Anchor Flush 1/4 x 1 7/8</t>
  </si>
  <si>
    <t>Anchor 3/8 Pipespike</t>
  </si>
  <si>
    <t>Anchor 1/4 x 1 Nail</t>
  </si>
  <si>
    <t>Angle 1 x 1 - 16 Gauge</t>
  </si>
  <si>
    <t>Angle 1 1/2 x 1 1/2 - 18 Gauge</t>
  </si>
  <si>
    <t>Angle 1 x 1 x 1/8</t>
  </si>
  <si>
    <t>Angle 1 1/4 x 1 1/4 x 1/8</t>
  </si>
  <si>
    <t>Angle 1 1/2 x 1 1/2 x 1/8</t>
  </si>
  <si>
    <t>Angle 1 1/2 x 1 1/2 x 3/16</t>
  </si>
  <si>
    <t>Angle 1/2 x 1 1/2 x 1/4</t>
  </si>
  <si>
    <t>Angle 2 x 2 x 1/8</t>
  </si>
  <si>
    <t>Angle 2 x 2 x 3/16</t>
  </si>
  <si>
    <t>Angle 2 x 2 x 1/4</t>
  </si>
  <si>
    <t>Angle 2 x 2 x 3/8</t>
  </si>
  <si>
    <t>Angle 2 x 1/2 x 2 1/2 x 1/4</t>
  </si>
  <si>
    <t>Angle 3 x 3 x 3/16</t>
  </si>
  <si>
    <t>Angle 3 x 3 x 1/4</t>
  </si>
  <si>
    <t>Angle 3 x 3 x 3/8</t>
  </si>
  <si>
    <t>Angle 4 x 4 x 3/8</t>
  </si>
  <si>
    <t>Flat Bar 1 x 1/4</t>
  </si>
  <si>
    <t>Flat Bar 2 x 1/8</t>
  </si>
  <si>
    <t>Flat Bar 2 x 3/16</t>
  </si>
  <si>
    <t>Flat Bar 2 x 3/8</t>
  </si>
  <si>
    <t>Flat Bar 3 x 1/8</t>
  </si>
  <si>
    <t>Flat Bar 3 x 1/4</t>
  </si>
  <si>
    <t>Flat Bar 3 x 3/8</t>
  </si>
  <si>
    <t>Flat Bar 4 x 1/4</t>
  </si>
  <si>
    <t>Flat Bar 6 x 1/4</t>
  </si>
  <si>
    <t>Flat Bar 6 x 3/8</t>
  </si>
  <si>
    <t>Square Rod 3/8</t>
  </si>
  <si>
    <t>Round Rod 1/4</t>
  </si>
  <si>
    <t>Round Rod 3/8</t>
  </si>
  <si>
    <t>Round Rod 1/2</t>
  </si>
  <si>
    <t>Round Rod 3/4</t>
  </si>
  <si>
    <t>Round Angle Rings 4"</t>
  </si>
  <si>
    <t>Round Angle Rings 5"</t>
  </si>
  <si>
    <t>Round Angle Rings 6"</t>
  </si>
  <si>
    <t>Round Angle Rings 7"</t>
  </si>
  <si>
    <t>Round Angle Rings 8"</t>
  </si>
  <si>
    <t>Round Angle Rings 9"</t>
  </si>
  <si>
    <t>Round Angle Rings 10"</t>
  </si>
  <si>
    <t>Round Angle Rings 12"</t>
  </si>
  <si>
    <t>Round Angle Rings 14"</t>
  </si>
  <si>
    <t>Round Angle Rings 16"</t>
  </si>
  <si>
    <t>Round Angle Rings 18"</t>
  </si>
  <si>
    <t>Round Angle Rings 20"</t>
  </si>
  <si>
    <t>Round Angle Rings 22"</t>
  </si>
  <si>
    <t xml:space="preserve">Wood Sawzall Blade </t>
  </si>
  <si>
    <t>Bird Screen 1/4</t>
  </si>
  <si>
    <t>Bird Screen 1/2</t>
  </si>
  <si>
    <t>Bird Screen SS 1/2</t>
  </si>
  <si>
    <t>Round Angle Rings 3"</t>
  </si>
  <si>
    <t>AB Metal Blade 7"</t>
  </si>
  <si>
    <t>AB Masonry Blade 7"</t>
  </si>
  <si>
    <t>Chopsaw Blade</t>
  </si>
  <si>
    <t>Port Band Metal Blade</t>
  </si>
  <si>
    <t>Box</t>
  </si>
  <si>
    <t>Sawzall Blade</t>
  </si>
  <si>
    <t>Woodsaw Blade</t>
  </si>
  <si>
    <t>Jigsaw Blade 3"</t>
  </si>
  <si>
    <t>Bolts 1/4 x 1/2</t>
  </si>
  <si>
    <t>Bolts 1/4 x 1</t>
  </si>
  <si>
    <t>Bolts 1/4 x 1 1/2</t>
  </si>
  <si>
    <t>Bolts 1/4 x 2</t>
  </si>
  <si>
    <t>Bolts 1/4 x 3</t>
  </si>
  <si>
    <t>Bolts 5/16 x 1</t>
  </si>
  <si>
    <t>Bolts 5/16 x 1 1/2</t>
  </si>
  <si>
    <t>Bolts 3/8 x 1</t>
  </si>
  <si>
    <t>Bolts 3/8 x 1 1/2</t>
  </si>
  <si>
    <t>Bolts 3/8 x 2</t>
  </si>
  <si>
    <t>Bolts 1/2 x 2</t>
  </si>
  <si>
    <t>Bolts 1/2 x 1 1/2</t>
  </si>
  <si>
    <t>Bolts 5/8 x 1</t>
  </si>
  <si>
    <t>Bolts 5/8 x 1 1/2</t>
  </si>
  <si>
    <t>Bolts 5/8 x 2</t>
  </si>
  <si>
    <t>Bolts 3/4 x 1 1/2</t>
  </si>
  <si>
    <t>Bolts 3/4 x 2</t>
  </si>
  <si>
    <t>Bolts 3/4 x 2 1/2</t>
  </si>
  <si>
    <t>Bolt Lagg 1/4 x 1</t>
  </si>
  <si>
    <t>Bolt Lagg 1/4 x 2</t>
  </si>
  <si>
    <t>Bolt Lagg 1/4 x 3</t>
  </si>
  <si>
    <t>Bolt Lagg 3/8 x 1</t>
  </si>
  <si>
    <t>Bolt Lagg 3/8 x 1 1/2</t>
  </si>
  <si>
    <t>Bolt Lagg 3/8 x 2</t>
  </si>
  <si>
    <t>Bolt Lagg 3/8 x 2 1/2</t>
  </si>
  <si>
    <t>Bolt Lagg 3/8 x 3</t>
  </si>
  <si>
    <t>Bolt Lagg 1/2 x 2</t>
  </si>
  <si>
    <t>Bolt Lagg 1/2 x 3</t>
  </si>
  <si>
    <t>Bolt Stainless Steel 1/4 x 1</t>
  </si>
  <si>
    <t>Bolt Stainless Steel 1/4 x 1 1/2</t>
  </si>
  <si>
    <t>Bolt Stainless Steel 1/4 x 2</t>
  </si>
  <si>
    <t>Bolt Stainless Steel 3/8 x 1</t>
  </si>
  <si>
    <t>Bolt Stainless Steel 3/8 x 1 1/2</t>
  </si>
  <si>
    <t>Bolt Stainless Steel 3/8 x 2</t>
  </si>
  <si>
    <t>Brushes 1 1/2</t>
  </si>
  <si>
    <t>Vulkem Caulking - Tube</t>
  </si>
  <si>
    <t>Silicone Caulking - Tube</t>
  </si>
  <si>
    <t>Fire Caulk - Tube</t>
  </si>
  <si>
    <t>Gutterseal</t>
  </si>
  <si>
    <t>Chain Jack #12</t>
  </si>
  <si>
    <t>Concealed Regulator</t>
  </si>
  <si>
    <t>Conduit 1/2 Locks</t>
  </si>
  <si>
    <t>Cobra 1" pins</t>
  </si>
  <si>
    <t>Cobra Shots</t>
  </si>
  <si>
    <t>3/8 Damper U-Bolts</t>
  </si>
  <si>
    <t>1/2 Conduit</t>
  </si>
  <si>
    <t>Damper Quad 3/8 (handle)</t>
  </si>
  <si>
    <t>3/8 Damper Bearing</t>
  </si>
  <si>
    <t>Quad Sets</t>
  </si>
  <si>
    <t>Damper Oppose Brack</t>
  </si>
  <si>
    <t>Damper Parallel Brack</t>
  </si>
  <si>
    <t>Damper 1/2 Bushing</t>
  </si>
  <si>
    <t>Damper 1/2 Slave Pin</t>
  </si>
  <si>
    <t>Damper Rappit Set</t>
  </si>
  <si>
    <t>Damper 3/8 Coupling</t>
  </si>
  <si>
    <t>Damper 3/8 Swivel Co.</t>
  </si>
  <si>
    <t>Damper 90 Angle Dr</t>
  </si>
  <si>
    <t>Damper 1/2 Regulator</t>
  </si>
  <si>
    <t>4" Jiffy Damper</t>
  </si>
  <si>
    <t>5" Jiffy Damper</t>
  </si>
  <si>
    <t>6" Jiffy Damper</t>
  </si>
  <si>
    <t>7" Jiffy Damper</t>
  </si>
  <si>
    <t>8" Jiffy Damper</t>
  </si>
  <si>
    <t>9" Jiffy Damper</t>
  </si>
  <si>
    <t>10" Jiffy Damper</t>
  </si>
  <si>
    <t>12" Jiffy Damper</t>
  </si>
  <si>
    <t>Drill Bit #30</t>
  </si>
  <si>
    <t>Drill Bit 1/8</t>
  </si>
  <si>
    <t>Drill Bit 5/64"</t>
  </si>
  <si>
    <t>Drill Bit 3/32"</t>
  </si>
  <si>
    <t>Drill Bit 5/32"</t>
  </si>
  <si>
    <t>Drill Bit 3/16"</t>
  </si>
  <si>
    <t>Drill Bit 7/32"</t>
  </si>
  <si>
    <t>Drill Bit 1/4"</t>
  </si>
  <si>
    <t>Drill Bit 9/32"</t>
  </si>
  <si>
    <t>Drill Bit 5/16"</t>
  </si>
  <si>
    <t>Drill Bit 11/32"</t>
  </si>
  <si>
    <t>Drill Bit 3/8"</t>
  </si>
  <si>
    <t>Drill Bit 7/16 - 3/8 Shank</t>
  </si>
  <si>
    <t>Drill Bit 1/2 - 3/8 Shank</t>
  </si>
  <si>
    <t>Vari Bits</t>
  </si>
  <si>
    <t>1/4" Roto Bit</t>
  </si>
  <si>
    <t>3/8" Roto Bit</t>
  </si>
  <si>
    <t>1/2" Roto Bit</t>
  </si>
  <si>
    <t>D-B Roto 1/4 x 4 A-Tap</t>
  </si>
  <si>
    <t>D-B Roto 1/4 x 6 A-Tap</t>
  </si>
  <si>
    <t>D-B Roto 3/8 x 6 A-Tap</t>
  </si>
  <si>
    <t>D-B Roto 1/2 x 6 A-Tap</t>
  </si>
  <si>
    <t>D-B Roto 5/8 x 6 A-Tap</t>
  </si>
  <si>
    <t>D-B Roto 3/4 x 9 A-Tap</t>
  </si>
  <si>
    <t>Drives - Flat</t>
  </si>
  <si>
    <t>Drives - Standing</t>
  </si>
  <si>
    <t>Ductboard Channel</t>
  </si>
  <si>
    <t>Ductboard Hanger 1 1/2</t>
  </si>
  <si>
    <t>Ductboard Hanger Roll</t>
  </si>
  <si>
    <t>DuctMate</t>
  </si>
  <si>
    <t>DuctMate Corners</t>
  </si>
  <si>
    <t>DuctMate Metal - PVC</t>
  </si>
  <si>
    <t>DuctMate Puddy Gask</t>
  </si>
  <si>
    <t>Drop Cloths</t>
  </si>
  <si>
    <t>2 x 4 Egg Crate</t>
  </si>
  <si>
    <t>3" 90 degree Elbow</t>
  </si>
  <si>
    <t>4" 90 degree Elbow</t>
  </si>
  <si>
    <t>5" 90 degree Elbow</t>
  </si>
  <si>
    <t>6" 90 degree Elbow</t>
  </si>
  <si>
    <t>7" 90 degree Elbow</t>
  </si>
  <si>
    <t>8" 90 degree Elbow</t>
  </si>
  <si>
    <t>9" 90 degree Elbow</t>
  </si>
  <si>
    <t>10" 90 degree Elbow</t>
  </si>
  <si>
    <t>12" 90 degree Elbow</t>
  </si>
  <si>
    <t>14" 90 degree Elbow</t>
  </si>
  <si>
    <t>16" 90 degree Elbow</t>
  </si>
  <si>
    <t>18" 90 degree Elbow</t>
  </si>
  <si>
    <t>20" 90 degree Elbow</t>
  </si>
  <si>
    <t>22" 90 degree Elbow</t>
  </si>
  <si>
    <t>24" 90 degree Elbow</t>
  </si>
  <si>
    <t>4" 45 degree Elbow</t>
  </si>
  <si>
    <t>5" 45 degree Elbow</t>
  </si>
  <si>
    <t>6" 45 degree Elbow</t>
  </si>
  <si>
    <t>7" 45 degree Elbow</t>
  </si>
  <si>
    <t>8" 45 degree Elbow</t>
  </si>
  <si>
    <t>9" 45 degree Elbow</t>
  </si>
  <si>
    <t>10" 45 degree Elbow</t>
  </si>
  <si>
    <t>12" 45 degree Elbow</t>
  </si>
  <si>
    <t>14" 45 degree Elbow</t>
  </si>
  <si>
    <t>16" 45 degree Elbow</t>
  </si>
  <si>
    <t>18" 45 degree Elbow</t>
  </si>
  <si>
    <t>20" 45 degree Elbow</t>
  </si>
  <si>
    <t>24" 45 degree Elbow</t>
  </si>
  <si>
    <t>5" Flex GKM</t>
  </si>
  <si>
    <t>6" Flex GKM</t>
  </si>
  <si>
    <t>7" Flex GKM</t>
  </si>
  <si>
    <t>8" Flex GKM</t>
  </si>
  <si>
    <t>9" Flex GKM</t>
  </si>
  <si>
    <t>10" Flex GKM</t>
  </si>
  <si>
    <t>12" Flex GKM</t>
  </si>
  <si>
    <t>14" Flex GKM</t>
  </si>
  <si>
    <t>16" Flex GKM</t>
  </si>
  <si>
    <t>18" Flex GKM</t>
  </si>
  <si>
    <t>Flushell 1/2 Box</t>
  </si>
  <si>
    <t>Flushell 1/2 each</t>
  </si>
  <si>
    <t>Flushell 3/8 Box</t>
  </si>
  <si>
    <t>Flushell 3/8 each</t>
  </si>
  <si>
    <t>FSK Wrap</t>
  </si>
  <si>
    <t>Roll</t>
  </si>
  <si>
    <t>FSK Tape</t>
  </si>
  <si>
    <t>Gasket Open Cell</t>
  </si>
  <si>
    <t>Closed Cell (Neop)</t>
  </si>
  <si>
    <t>Tee Bar - 2'</t>
  </si>
  <si>
    <t>Hanger Strap 18 Gauge</t>
  </si>
  <si>
    <t>Hanger Strap 22 Gauge</t>
  </si>
  <si>
    <t>Hanger Eye Socket</t>
  </si>
  <si>
    <t>Hanger Screw</t>
  </si>
  <si>
    <t>Rod Coupler</t>
  </si>
  <si>
    <t>Flex Hanger</t>
  </si>
  <si>
    <t>Hanger 1/2 Eye Screw</t>
  </si>
  <si>
    <t>Hanger 1/4 x 3 Toggle</t>
  </si>
  <si>
    <t>Nails 1 1/2 Roofing</t>
  </si>
  <si>
    <t>Nails 8 Penny gallon</t>
  </si>
  <si>
    <t>Nails 16 Penny gallon</t>
  </si>
  <si>
    <t>Tool Charge</t>
  </si>
  <si>
    <t>Nuts 1/4</t>
  </si>
  <si>
    <t>Nuts 5/16</t>
  </si>
  <si>
    <t>Nuts 3/8</t>
  </si>
  <si>
    <t>Nuts 1/2</t>
  </si>
  <si>
    <t>Nuts 5/8</t>
  </si>
  <si>
    <t>Nuts 3/4</t>
  </si>
  <si>
    <t>Nuts 1/4 Stainless Steel</t>
  </si>
  <si>
    <t>Nuts 5/16 Stainless Steel</t>
  </si>
  <si>
    <t>Nuts 3/8 Stainless Steel</t>
  </si>
  <si>
    <t>Nuts 1/2 Stainless Steel</t>
  </si>
  <si>
    <t>Spray Paint</t>
  </si>
  <si>
    <t>Panduit Straps</t>
  </si>
  <si>
    <t>Piano Hinge 1"</t>
  </si>
  <si>
    <t>Piano Hinge 1 1/2"</t>
  </si>
  <si>
    <t>3" Snap Lock Pipe</t>
  </si>
  <si>
    <t>4" Snap Lock Pipe</t>
  </si>
  <si>
    <t>5" Snap Lock Pipe</t>
  </si>
  <si>
    <t>6" Snap Lock Pipe</t>
  </si>
  <si>
    <t>7" Snap Lock Pipe</t>
  </si>
  <si>
    <t>8" Snap Lock Pipe</t>
  </si>
  <si>
    <t>9" Snap Lock Pipe</t>
  </si>
  <si>
    <t>10" Snap Lock Pipe</t>
  </si>
  <si>
    <t>12" Snap Lock Pipe</t>
  </si>
  <si>
    <t>14" Snap Lock Pipe</t>
  </si>
  <si>
    <t>16" Snap Lock Pipe</t>
  </si>
  <si>
    <t>18" Snap Lock Pipe</t>
  </si>
  <si>
    <t>20" Snap Lock Pipe</t>
  </si>
  <si>
    <t>22" Snap Lock Pipe</t>
  </si>
  <si>
    <t>24" Snap Lock Pipe</t>
  </si>
  <si>
    <t>Plaster Ground</t>
  </si>
  <si>
    <t>Pop Rivits Galvanized 1/8</t>
  </si>
  <si>
    <t>Pop Rivits Stainless Steel 1/8</t>
  </si>
  <si>
    <t>Pop Rivits Aluminum 1/8</t>
  </si>
  <si>
    <t>Pop Rivits Copper 1/8</t>
  </si>
  <si>
    <t>Pop Rivits White 1/8</t>
  </si>
  <si>
    <t>Pop Rivits Galvanized 3/16</t>
  </si>
  <si>
    <t>Pop Rivits Stainless Steel 3/16</t>
  </si>
  <si>
    <t>3" Reducer</t>
  </si>
  <si>
    <t>4" Reducer</t>
  </si>
  <si>
    <t>5" Reducer</t>
  </si>
  <si>
    <t>6" Reducer</t>
  </si>
  <si>
    <t>7" Reducer</t>
  </si>
  <si>
    <t>8" Reducer</t>
  </si>
  <si>
    <t>9" Reducer</t>
  </si>
  <si>
    <t>10" Reducer</t>
  </si>
  <si>
    <t>12" Reducer</t>
  </si>
  <si>
    <t>14" Reducer</t>
  </si>
  <si>
    <t>16" Reducer</t>
  </si>
  <si>
    <t>Roof Mastic</t>
  </si>
  <si>
    <t>Roofing 12"</t>
  </si>
  <si>
    <t>6" Rigid Round</t>
  </si>
  <si>
    <t>8" Rigid Round</t>
  </si>
  <si>
    <t>10" Rigid Round</t>
  </si>
  <si>
    <t>12" Rigid Round</t>
  </si>
  <si>
    <t>14" Rigid Round</t>
  </si>
  <si>
    <t>16" Rigid Round</t>
  </si>
  <si>
    <t>18" Rigid Round</t>
  </si>
  <si>
    <t>S-Lock - Flat</t>
  </si>
  <si>
    <t>S-Lock - Standing</t>
  </si>
  <si>
    <t>S-Lock - Seam</t>
  </si>
  <si>
    <t>Zip Screw 8 x 1/2</t>
  </si>
  <si>
    <t>Zip Screw 8 x 1</t>
  </si>
  <si>
    <t>Zip Screw 8 x 1 1/2</t>
  </si>
  <si>
    <t>Zip Screw 8 x 2</t>
  </si>
  <si>
    <t>Tec Screw 8 x 1/2</t>
  </si>
  <si>
    <t>Tec Screw 10 x 3/4</t>
  </si>
  <si>
    <t>Neo Wash Screws 10 x 3/4</t>
  </si>
  <si>
    <t>T Locks 1/2"</t>
  </si>
  <si>
    <t>Duct Sealant</t>
  </si>
  <si>
    <t>Sealer HP S-2</t>
  </si>
  <si>
    <t>Hardcast adhesive</t>
  </si>
  <si>
    <t>Hardcast tape roll</t>
  </si>
  <si>
    <t>Soffit Vents 4 x 16</t>
  </si>
  <si>
    <t>Solder - LB</t>
  </si>
  <si>
    <t>Sealant Water Based (Tube)</t>
  </si>
  <si>
    <t>Blue Wrap 24" (Roll)</t>
  </si>
  <si>
    <t>Sanding Disk 4 x 20</t>
  </si>
  <si>
    <t>Sanding Disk 4" ABR</t>
  </si>
  <si>
    <t>Blue Wrap 36" (Roll)</t>
  </si>
  <si>
    <t>7 in 60 Grit Disk</t>
  </si>
  <si>
    <t>7 in 80 Grit Disk</t>
  </si>
  <si>
    <t>6" MSI with S &amp; D</t>
  </si>
  <si>
    <t>7" MSI with S &amp; D</t>
  </si>
  <si>
    <t>8" MSI with S &amp; D</t>
  </si>
  <si>
    <t>9" MSI with S &amp; D</t>
  </si>
  <si>
    <t>10" MSI with S &amp; D</t>
  </si>
  <si>
    <t>12" MSI with S &amp; D</t>
  </si>
  <si>
    <t>14" MSI with S &amp; D</t>
  </si>
  <si>
    <t>16" MSI with S &amp; D</t>
  </si>
  <si>
    <t>4" Spiral Galvanized</t>
  </si>
  <si>
    <t>729-SS304</t>
  </si>
  <si>
    <t>5" Spiral Galvanized</t>
  </si>
  <si>
    <t>730-SS304</t>
  </si>
  <si>
    <t>6" Spiral Galvanized</t>
  </si>
  <si>
    <t>731-SS304</t>
  </si>
  <si>
    <t>7" Spiral Galvanized</t>
  </si>
  <si>
    <t>732-SS304</t>
  </si>
  <si>
    <t>8" Spiral Galvanized</t>
  </si>
  <si>
    <t>733-SS304</t>
  </si>
  <si>
    <t>9" Spiral Galvanized</t>
  </si>
  <si>
    <t>734-SS304</t>
  </si>
  <si>
    <t>10" Spiral Galvanized</t>
  </si>
  <si>
    <t>735-SS304</t>
  </si>
  <si>
    <t>12" Spiral Galvanized</t>
  </si>
  <si>
    <t>737-SS304</t>
  </si>
  <si>
    <t>14" Spiral Galvanized</t>
  </si>
  <si>
    <t>739-SS304</t>
  </si>
  <si>
    <t>16" Spiral Galvanized</t>
  </si>
  <si>
    <t>741-SS304</t>
  </si>
  <si>
    <t>18" Spiral Galvanized</t>
  </si>
  <si>
    <t>743-SS304</t>
  </si>
  <si>
    <t>20" Spiral Galvanized</t>
  </si>
  <si>
    <t>745-SS304</t>
  </si>
  <si>
    <t>22" Spiral Galvanized</t>
  </si>
  <si>
    <t>746-SS304</t>
  </si>
  <si>
    <t xml:space="preserve">24" Spiral Galvanized </t>
  </si>
  <si>
    <t>747-SS304</t>
  </si>
  <si>
    <t>Storm Collar 6"</t>
  </si>
  <si>
    <t>Storm Collar 8"</t>
  </si>
  <si>
    <t>Duct Tape 2"</t>
  </si>
  <si>
    <t>Duct Tape 3"</t>
  </si>
  <si>
    <t>Iron On Tape</t>
  </si>
  <si>
    <t>787-1</t>
  </si>
  <si>
    <t>Heat Shrink Tape - 2"</t>
  </si>
  <si>
    <t>787-2</t>
  </si>
  <si>
    <t>Heat Shrink Tape - 3"</t>
  </si>
  <si>
    <t>787-3</t>
  </si>
  <si>
    <t>Heat Shrink Tape - 4"</t>
  </si>
  <si>
    <t>Tape Hardcast P&amp;S</t>
  </si>
  <si>
    <t>Turn Vane/Rail - bundle</t>
  </si>
  <si>
    <t>Turn Vane/Rail - Acoustical</t>
  </si>
  <si>
    <t>Washers Flat 3/8</t>
  </si>
  <si>
    <t>Washers Flat 1/2</t>
  </si>
  <si>
    <t>Washers Flat 5/8</t>
  </si>
  <si>
    <t>Washers Flat 3/4</t>
  </si>
  <si>
    <t>Washer Fender 1/4</t>
  </si>
  <si>
    <t>Washer Fender 3/8</t>
  </si>
  <si>
    <t>Washer Lock 1/4</t>
  </si>
  <si>
    <t>Washer Lock 3/8</t>
  </si>
  <si>
    <t>Washer Lock 1/2</t>
  </si>
  <si>
    <t>6" Y</t>
  </si>
  <si>
    <t>7" Y</t>
  </si>
  <si>
    <t>8" Y</t>
  </si>
  <si>
    <t>9" Y</t>
  </si>
  <si>
    <t>10" Y</t>
  </si>
  <si>
    <t>12" Y</t>
  </si>
  <si>
    <t>14" Y</t>
  </si>
  <si>
    <t>16" Y</t>
  </si>
  <si>
    <t>Welding Rod</t>
  </si>
  <si>
    <t>Welding ANTI Splatter</t>
  </si>
  <si>
    <t>Welding Gas</t>
  </si>
  <si>
    <t>3" Endcap</t>
  </si>
  <si>
    <t>4" Endcap</t>
  </si>
  <si>
    <t>5" Endcap</t>
  </si>
  <si>
    <t>6" Endcap</t>
  </si>
  <si>
    <t>7" Endcap</t>
  </si>
  <si>
    <t>8" Endcap</t>
  </si>
  <si>
    <t>9" Endcap</t>
  </si>
  <si>
    <t>10" Endcap</t>
  </si>
  <si>
    <t>12" Endcap</t>
  </si>
  <si>
    <t>14" Endcap</t>
  </si>
  <si>
    <t>16" Endcap</t>
  </si>
  <si>
    <t>Miscellaneous</t>
  </si>
  <si>
    <t>Handle (Stand Off)</t>
  </si>
  <si>
    <t>Safety Glasses</t>
  </si>
  <si>
    <t>Sound Attenuation 1"</t>
  </si>
  <si>
    <t>Sound Attenuation 2"</t>
  </si>
  <si>
    <t>Sound Attenuation 1/2"</t>
  </si>
  <si>
    <t>Safety Gloves</t>
  </si>
  <si>
    <t>Caulk Guns</t>
  </si>
  <si>
    <t>Stick Pin/Clip</t>
  </si>
  <si>
    <t>Stick Wire</t>
  </si>
  <si>
    <t>Drill Chuck 1/4</t>
  </si>
  <si>
    <t>Drill Chuck 5/16</t>
  </si>
  <si>
    <t>Visqueen</t>
  </si>
  <si>
    <t>Beam Clamp</t>
  </si>
  <si>
    <t>1/4 Strut Nut</t>
  </si>
  <si>
    <t>3/8 Strut Nut</t>
  </si>
  <si>
    <t>1/2 Strut Nut</t>
  </si>
  <si>
    <t>Ladd Shots</t>
  </si>
  <si>
    <t>Sikaflex</t>
  </si>
  <si>
    <t>Caddy Clip</t>
  </si>
  <si>
    <t>TDC Corners</t>
  </si>
  <si>
    <t>TDC Cleats</t>
  </si>
  <si>
    <t>Nail-ins</t>
  </si>
  <si>
    <t>Caulking - "739" Clean Room</t>
  </si>
  <si>
    <t>Danger/Caution Tape</t>
  </si>
  <si>
    <t>Dust Masks</t>
  </si>
  <si>
    <t>Filter Media</t>
  </si>
  <si>
    <t>Hardcast Sticky Tape - Roll</t>
  </si>
  <si>
    <t>Ladd/Cobra Shot</t>
  </si>
  <si>
    <t>Rags</t>
  </si>
  <si>
    <t>Screw Chuck 3/8</t>
  </si>
  <si>
    <t>Screw Chuck 7/16</t>
  </si>
  <si>
    <t>T-Bar Return</t>
  </si>
  <si>
    <t>T-Bar Supply</t>
  </si>
  <si>
    <t>Unistrut Angle</t>
  </si>
  <si>
    <t>Unistrut 1 5/8"</t>
  </si>
  <si>
    <t>Unistrut Double</t>
  </si>
  <si>
    <t>Stud Anchors 3/8"</t>
  </si>
  <si>
    <t>Stud Anchors 1/2"</t>
  </si>
  <si>
    <t>Wood 2 x 4 - 4 x 4</t>
  </si>
  <si>
    <t>Mop Disc - 4" - 60</t>
  </si>
  <si>
    <t>Foil Tape</t>
  </si>
  <si>
    <t>Mileage Charge</t>
  </si>
  <si>
    <t>QTY</t>
  </si>
  <si>
    <t>Inventory</t>
  </si>
  <si>
    <t>Cost</t>
  </si>
  <si>
    <t>Estimation</t>
  </si>
  <si>
    <t>For Pricing Use</t>
  </si>
  <si>
    <t>Total From Inventory</t>
  </si>
  <si>
    <t>Material From Takeoff &amp; Inventory</t>
  </si>
  <si>
    <t>Item</t>
  </si>
  <si>
    <t>Code</t>
  </si>
  <si>
    <t>304 2B Stainless Steel</t>
  </si>
  <si>
    <t>Gauge</t>
  </si>
  <si>
    <t>$/lb</t>
  </si>
  <si>
    <t>Est +10%</t>
  </si>
  <si>
    <t>3/16</t>
  </si>
  <si>
    <t>1/4</t>
  </si>
  <si>
    <t>304 #4 Stainless Steel</t>
  </si>
  <si>
    <t>316 2B Stainless Steel</t>
  </si>
  <si>
    <t>316 #4 Stainless Steel</t>
  </si>
  <si>
    <t>Aluminum</t>
  </si>
  <si>
    <t>Galvanized</t>
  </si>
  <si>
    <t>Hot Rolled</t>
  </si>
  <si>
    <t>3/16"</t>
  </si>
  <si>
    <t>1/4"</t>
  </si>
  <si>
    <t>5/16"</t>
  </si>
  <si>
    <t>3/8"</t>
  </si>
  <si>
    <t>1/2"</t>
  </si>
  <si>
    <t>5/8"</t>
  </si>
  <si>
    <t>3/4"</t>
  </si>
  <si>
    <t>1"</t>
  </si>
  <si>
    <t>Inv $/lb</t>
  </si>
  <si>
    <t>Mat Handling</t>
  </si>
  <si>
    <t>Updated</t>
  </si>
  <si>
    <t>Total From Material</t>
  </si>
  <si>
    <t>Lbs</t>
  </si>
  <si>
    <t>Used</t>
  </si>
  <si>
    <t>Estimation Cost</t>
  </si>
  <si>
    <t>Round to Nearest</t>
  </si>
  <si>
    <t>Overtime</t>
  </si>
  <si>
    <t>lb / sq ft.</t>
  </si>
  <si>
    <t>sq ft.</t>
  </si>
  <si>
    <t>Galvanized - Coil</t>
  </si>
  <si>
    <t>3/16  AR</t>
  </si>
  <si>
    <t xml:space="preserve"> Flat Plates - Cut to Size</t>
  </si>
  <si>
    <t>4" Spiral 45 Degree Ell</t>
  </si>
  <si>
    <t>4" Spiral 90 Degree Ell</t>
  </si>
  <si>
    <t>5" Spiral 45 Degree Ell</t>
  </si>
  <si>
    <t>5" Spiral 90 Degree Ell</t>
  </si>
  <si>
    <t>6" Spiral 45 Degree Ell</t>
  </si>
  <si>
    <t>6" Spiral 90 Degree Ell</t>
  </si>
  <si>
    <t>7" Spiral 45 Degree Ell</t>
  </si>
  <si>
    <t>7" Spiral 90 Degree Ell</t>
  </si>
  <si>
    <t>8" Spiral 45 Degree Ell</t>
  </si>
  <si>
    <t>8" Spiral 90 Degree Ell</t>
  </si>
  <si>
    <t>9" Spiral 45 Degree Ell</t>
  </si>
  <si>
    <t>9" Spiral 90 Degree Ell</t>
  </si>
  <si>
    <t>10" Spiral 45 Degree Ell</t>
  </si>
  <si>
    <t>10" Spiral 90 Degree Ell</t>
  </si>
  <si>
    <t>12" Spiral 45 Degree Ell</t>
  </si>
  <si>
    <t>12" Spiral 90 Degree Ell</t>
  </si>
  <si>
    <t>14" Spiral 45 Degree Ell</t>
  </si>
  <si>
    <t>14" Spiral 90 Degree Ell</t>
  </si>
  <si>
    <t>16" Spiral 45 Degree Ell</t>
  </si>
  <si>
    <t>16" Spiral 90 Degree Ell</t>
  </si>
  <si>
    <t>18" Spiral 45 Degree Ell</t>
  </si>
  <si>
    <t>18" Spiral 90 Degree Ell</t>
  </si>
  <si>
    <t>20" Spiral 45 Degree Ell</t>
  </si>
  <si>
    <t>20" Spiral 90 Degree Ell</t>
  </si>
  <si>
    <t>22" Spiral 45 Degree Ell</t>
  </si>
  <si>
    <t>22" Spiral 90 Degree Ell</t>
  </si>
  <si>
    <t>24" Spiral 45 Degree Ell</t>
  </si>
  <si>
    <t>24" Spiral 90 Degree Ell</t>
  </si>
  <si>
    <t>CUSTOM LABOR RATES</t>
  </si>
  <si>
    <t>.063 -3003</t>
  </si>
  <si>
    <t>1/8 - 3003</t>
  </si>
  <si>
    <t>.032-emboss</t>
  </si>
  <si>
    <t>S.S Flat Plates - Cut to Size</t>
  </si>
  <si>
    <t>3/8" Strut Washers</t>
  </si>
  <si>
    <t>1/2" Strut Washers</t>
  </si>
  <si>
    <t>4 Mil. Trash Bags (Fish Bags)</t>
  </si>
  <si>
    <t>P1026 Strut 90 Bracket</t>
  </si>
  <si>
    <t>P1325 Strut Fitting 4-Hole</t>
  </si>
  <si>
    <t>Clean Room Tape</t>
  </si>
  <si>
    <t>Vinyl Hanger Strap</t>
  </si>
  <si>
    <t>Shrink Wrap</t>
  </si>
  <si>
    <t>Waffle Pad</t>
  </si>
  <si>
    <t>Goof Off</t>
  </si>
  <si>
    <t>5" ATTO</t>
  </si>
  <si>
    <t>6" ATTO</t>
  </si>
  <si>
    <t>7" ATTO</t>
  </si>
  <si>
    <t>8" ATTO</t>
  </si>
  <si>
    <t>9" ATTO</t>
  </si>
  <si>
    <t>10" ATTO</t>
  </si>
  <si>
    <t>12" ATTO</t>
  </si>
  <si>
    <t>14" ATTO</t>
  </si>
  <si>
    <t>16" ATTO</t>
  </si>
  <si>
    <t>18" ATTO</t>
  </si>
  <si>
    <t>5" ATTO with damper</t>
  </si>
  <si>
    <t>6" ATTO with damper</t>
  </si>
  <si>
    <t>7" ATTO with damper</t>
  </si>
  <si>
    <t>8" ATTO with damper</t>
  </si>
  <si>
    <t>9" ATTO with damper</t>
  </si>
  <si>
    <t>10" ATTO with damper</t>
  </si>
  <si>
    <t>12" ATTO with damper</t>
  </si>
  <si>
    <t>14" ATTO with damper</t>
  </si>
  <si>
    <t>16" ATTO with damper</t>
  </si>
  <si>
    <t>18" ATTO with damper</t>
  </si>
  <si>
    <t>767</t>
  </si>
  <si>
    <t>769</t>
  </si>
  <si>
    <t>784</t>
  </si>
  <si>
    <t>785</t>
  </si>
  <si>
    <t>786</t>
  </si>
  <si>
    <t>Cubic Feet</t>
  </si>
  <si>
    <t>Ladd/Cobra Pins (Box 100)</t>
  </si>
  <si>
    <t>Latex Gloves (100/Box)</t>
  </si>
  <si>
    <t>Scru Seal (hose clamp) (50' Box)</t>
  </si>
  <si>
    <t>Apprentice - 75%</t>
  </si>
  <si>
    <t>24 Gauge Stainless Steel - 316</t>
  </si>
  <si>
    <t>Chuck Adapter for Impacts</t>
  </si>
  <si>
    <t>Right Angle Adapter</t>
  </si>
  <si>
    <t>3/16" Stainless Steel - 316</t>
  </si>
  <si>
    <t>1/4" Stainless Steel - 316</t>
  </si>
  <si>
    <t>24 Gauge Stainless Steel - 304</t>
  </si>
  <si>
    <t>22 Gauge Stainless Steel - 304</t>
  </si>
  <si>
    <t>20 Gauge Stainless Steel - 304</t>
  </si>
  <si>
    <t>18 Gauge Stainless Steel - 304</t>
  </si>
  <si>
    <t>16 Gauge Stainless Steel - 304</t>
  </si>
  <si>
    <t>14 Gauge Stainless Steel - 304</t>
  </si>
  <si>
    <t>12 Gauge Stainless Steel - 304</t>
  </si>
  <si>
    <t>10 Gauge Stainless Steel - 304</t>
  </si>
  <si>
    <t>3/16" Stainless Steel - 304</t>
  </si>
  <si>
    <t>1/4" Stainless Steel - 304</t>
  </si>
  <si>
    <t>22 Gauge Stainless Steel - 316</t>
  </si>
  <si>
    <t>20 Gauge Stainless Steel - 316</t>
  </si>
  <si>
    <t>18 Gauge Stainless Steel - 316</t>
  </si>
  <si>
    <t>16 Gauge Stainless Steel - 316</t>
  </si>
  <si>
    <t>14 Gauge Stainless Steel - 316</t>
  </si>
  <si>
    <t>12 Gauge Stainless Steel - 316</t>
  </si>
  <si>
    <t>10 Gauge Stainless Steel - 316</t>
  </si>
  <si>
    <t>M1 Caulking - Tube</t>
  </si>
  <si>
    <t>4" Flex GKM</t>
  </si>
  <si>
    <t>4" Flex MKE</t>
  </si>
  <si>
    <t>5" Flex MKE</t>
  </si>
  <si>
    <t>6" Flex MKE</t>
  </si>
  <si>
    <t>7" Flex MKE</t>
  </si>
  <si>
    <t>8" Flex MKE</t>
  </si>
  <si>
    <t>10" Flex MKE</t>
  </si>
  <si>
    <t>12" Flex MKE</t>
  </si>
  <si>
    <t>14" Flex MKE</t>
  </si>
  <si>
    <t>16" Flex MKE</t>
  </si>
  <si>
    <t>12" Wood Sawzall Blade</t>
  </si>
  <si>
    <t>12" Metal Sawzall Blade</t>
  </si>
  <si>
    <t>50' Extension Cord</t>
  </si>
  <si>
    <t>100' Extension Cord</t>
  </si>
  <si>
    <t>AA Batteries - Pack of 24</t>
  </si>
  <si>
    <t>AAA Batteries - Pack of 24</t>
  </si>
  <si>
    <t>C Batteries - Pack of 12</t>
  </si>
  <si>
    <t>D Batteries - Pack of 12</t>
  </si>
  <si>
    <t>Blue Masking Tape</t>
  </si>
  <si>
    <t>2" round SS Dbl Threaded pipe 6"</t>
  </si>
  <si>
    <t>3/8" x 3/8" SS Tube End Reducer</t>
  </si>
  <si>
    <t>3/8" SS Comp end fitting</t>
  </si>
  <si>
    <t>3/4" SS Comp caps</t>
  </si>
  <si>
    <t>3/4" x 3/4" SS Comp fitting</t>
  </si>
  <si>
    <t>4" x 2.5" Conc Reducer</t>
  </si>
  <si>
    <t>4" Round EPDM Ring</t>
  </si>
  <si>
    <t>6" Round EPDM Ring</t>
  </si>
  <si>
    <t>8" Round EPDM Ring</t>
  </si>
  <si>
    <t>10" Round EPDM Ring</t>
  </si>
  <si>
    <t>12" Round EPDM Ring</t>
  </si>
  <si>
    <t>14" Round EPDM Ring</t>
  </si>
  <si>
    <t>Oregon CAT Tax</t>
  </si>
  <si>
    <t>Bond,Contingency,OCIP &amp; Tax</t>
  </si>
  <si>
    <t>16 ga hot</t>
  </si>
  <si>
    <t>Indirects</t>
  </si>
  <si>
    <t>6" Elgen Conical W / Damper</t>
  </si>
  <si>
    <t>8" Elgen Conical W / Damper</t>
  </si>
  <si>
    <t>10" Elgen Conical W / Damper</t>
  </si>
  <si>
    <t>12" Elgen Conical W / Damper</t>
  </si>
  <si>
    <t>14" Elgen Conical W / Damper</t>
  </si>
  <si>
    <t>6" Elgen DS</t>
  </si>
  <si>
    <t>8" Elgen DS</t>
  </si>
  <si>
    <t>10" Elgen DS</t>
  </si>
  <si>
    <t>12" Elgen DS</t>
  </si>
  <si>
    <t>14" Elgen DS</t>
  </si>
  <si>
    <t>Multnomah Tax included at .15%</t>
  </si>
  <si>
    <t>Tax</t>
  </si>
  <si>
    <t>3/4" Test Port</t>
  </si>
  <si>
    <t>1/2" Test Port</t>
  </si>
  <si>
    <t>1/4" Test Port</t>
  </si>
  <si>
    <t>P-Vent Test Port</t>
  </si>
  <si>
    <t>Ventlock Handle Set</t>
  </si>
  <si>
    <t>1/2" S.S. Round Rod</t>
  </si>
  <si>
    <t>3/8" S.S. Square Rod</t>
  </si>
  <si>
    <t>3/4" Swagelok Cap</t>
  </si>
  <si>
    <t>3/4" Swagelok Port Base</t>
  </si>
  <si>
    <t>1/2" Swagelok Port</t>
  </si>
  <si>
    <t>1/4" Swagelok Port</t>
  </si>
  <si>
    <t>3/8" Swagelok Port</t>
  </si>
  <si>
    <t>Flex 333</t>
  </si>
  <si>
    <t>Flex 444</t>
  </si>
  <si>
    <t>4" Spiral  Stainless</t>
  </si>
  <si>
    <t>5" Spiral  Stainless</t>
  </si>
  <si>
    <t>6" Spiral  Stainless</t>
  </si>
  <si>
    <t>7" Spiral  Stainless</t>
  </si>
  <si>
    <t>8" Spiral  Stainless</t>
  </si>
  <si>
    <t>9" Spiral  Stainless</t>
  </si>
  <si>
    <t>10" Spiral  Stainless</t>
  </si>
  <si>
    <t>12" Spiral  Stainless</t>
  </si>
  <si>
    <t>14" Spiral  Stainless</t>
  </si>
  <si>
    <t>16" Spiral  Stainless</t>
  </si>
  <si>
    <t>18" Spiral  Stainless</t>
  </si>
  <si>
    <t>20" Spiral  Stainless</t>
  </si>
  <si>
    <t>22" Spiral  Stainless</t>
  </si>
  <si>
    <t>24" Spiral  Stainless</t>
  </si>
  <si>
    <t>Spiral Pipe Connector - 3-7/8"</t>
  </si>
  <si>
    <t>Spiral Pipe Connector - 4-7/8"</t>
  </si>
  <si>
    <t>Spiral Pipe Connector - 5-7/8"</t>
  </si>
  <si>
    <t>Spiral Pipe Connector - 6-7/8"</t>
  </si>
  <si>
    <t>Spiral Pipe Connector - 7-7/8"</t>
  </si>
  <si>
    <t>Spiral Pipe Connector - 9-7/8"</t>
  </si>
  <si>
    <t>Spiral Pipe Connector - 11-7/8"</t>
  </si>
  <si>
    <t>Spiral Pipe Connector - 13-7/8"</t>
  </si>
  <si>
    <t>Spiral Pipe Connector - 15-7/8"</t>
  </si>
  <si>
    <t>Spiral Pipe Connector - 17-7/8"</t>
  </si>
  <si>
    <t>Spiral Pipe Connector - 19-7/8"</t>
  </si>
  <si>
    <t>Spiral Pipe Connector - 21-7/8"</t>
  </si>
  <si>
    <t>Spiral Pipe Connector - 23-7/8"</t>
  </si>
  <si>
    <t>Est + Waste</t>
  </si>
  <si>
    <t>Size</t>
  </si>
  <si>
    <t>lbs. / ft.</t>
  </si>
  <si>
    <t>$/ft</t>
  </si>
  <si>
    <t>Inv $/ft</t>
  </si>
  <si>
    <t>Feet</t>
  </si>
  <si>
    <t>ft</t>
  </si>
  <si>
    <t>2.329</t>
  </si>
  <si>
    <t>5.22</t>
  </si>
  <si>
    <t>Full Stick</t>
  </si>
  <si>
    <t>Used By</t>
  </si>
  <si>
    <t>Angle 1 x 1 x  1/8</t>
  </si>
  <si>
    <t>Angle 1.5 x 1.5 x  1/8</t>
  </si>
  <si>
    <t>Angle 1.5 x 1.5 x 3/16</t>
  </si>
  <si>
    <t>Angle 4 x 4 x 1/4</t>
  </si>
  <si>
    <t>Angle 4 x 4 x 1/2</t>
  </si>
  <si>
    <t>Angle 6 x 6 x 3/8</t>
  </si>
  <si>
    <t>Angle Alum 1x1 x  1/8</t>
  </si>
  <si>
    <t>Angle Alum 1.5x1.5 x  1/8</t>
  </si>
  <si>
    <t>Angle Alum 1.5x1.5 x 3/16</t>
  </si>
  <si>
    <t>Angle Alum 2x2 x 1/8</t>
  </si>
  <si>
    <t>Angle Alum 2x2 x 3/16</t>
  </si>
  <si>
    <t>Angle Alum 2x2 x 1/4</t>
  </si>
  <si>
    <t>Angle Alum 3x3 x 3/16</t>
  </si>
  <si>
    <t>Angle Alum 3x3 x 1/4</t>
  </si>
  <si>
    <t>Angle Alum 4x4 x 1/4</t>
  </si>
  <si>
    <t>Angle Alum 6x6 x 3/8</t>
  </si>
  <si>
    <t>Angle SS 1x1 x  1/8</t>
  </si>
  <si>
    <t>Angle SS 1.5x1.5 x  1/8</t>
  </si>
  <si>
    <t>Angle SS 1.5x1.5 x 3/16</t>
  </si>
  <si>
    <t>Angle SS 2x2 x 1/8</t>
  </si>
  <si>
    <t>Angle SS 2x2 x 3/16</t>
  </si>
  <si>
    <t>Angle SS 2x2 x 1/4</t>
  </si>
  <si>
    <t>Angle SS 3x3 x 3/16</t>
  </si>
  <si>
    <t>Angle SS 3x3 x 1/4</t>
  </si>
  <si>
    <t>Angle SS 4x4 x 1/4</t>
  </si>
  <si>
    <t>Angle SS 6x6 x 3/8</t>
  </si>
  <si>
    <t>Tube 1 x 1 x  1/8</t>
  </si>
  <si>
    <t>Tube 1.5 x 1.5 x  1/8</t>
  </si>
  <si>
    <t>Tube 1.5 x 1.5 x 3/16</t>
  </si>
  <si>
    <t>Tube 2 x 2 x 1/8</t>
  </si>
  <si>
    <t>Tube 2 x 2 x 3/16</t>
  </si>
  <si>
    <t>Tube 2 x 2 x 1/4</t>
  </si>
  <si>
    <t>Tube 3 x 3 x 3/16</t>
  </si>
  <si>
    <t>Tube 3 x 3 x 1/4</t>
  </si>
  <si>
    <t>Tube 4 x 4 x 3/16</t>
  </si>
  <si>
    <t>Tube 4 x 4 x 1/4</t>
  </si>
  <si>
    <t>Tube 4 x 2 x 3/16</t>
  </si>
  <si>
    <t>Tube 6 x 6 x 3/8</t>
  </si>
  <si>
    <t>Tube SS 1 x 1 x  1/8</t>
  </si>
  <si>
    <t>Tube SS 1.5 x 1.5 x  1/8</t>
  </si>
  <si>
    <t>Tube SS 1.5 x 1.5 x 3/16</t>
  </si>
  <si>
    <t>Tube SS 2 x 2 x 1/8</t>
  </si>
  <si>
    <t>Tube SS 2 x 2 x 3/16</t>
  </si>
  <si>
    <t>Tube SS 2 x 2 x 1/4</t>
  </si>
  <si>
    <t>Tube SS 3 x 3 x 3/16</t>
  </si>
  <si>
    <t>Tube SS 3 x 3 x 1/4</t>
  </si>
  <si>
    <t>Tube SS 4 x 4 x 3/16</t>
  </si>
  <si>
    <t>Tube SS 4 x 4 x 1/4</t>
  </si>
  <si>
    <t>Tube SS 4 x 2 x 3/16</t>
  </si>
  <si>
    <t>Tube SS 6 x 6 x 3/8</t>
  </si>
  <si>
    <t>Tube Alum 1x1 x  1/8</t>
  </si>
  <si>
    <t>Tube Alum 1.5x1.5 x  1/8</t>
  </si>
  <si>
    <t>Tube Alum 1.5x1.5 x 3/16</t>
  </si>
  <si>
    <t>Tube Alum 2x2 x 1/8</t>
  </si>
  <si>
    <t>Tube Alum 2x2 x 3/16</t>
  </si>
  <si>
    <t>Tube Alum 2x2 x 1/4</t>
  </si>
  <si>
    <t>Tube Alum 3x3 x 3/16</t>
  </si>
  <si>
    <t>Tube Alum 3x3 x 1/4</t>
  </si>
  <si>
    <t>Tube Alum 4x4 x 1/4</t>
  </si>
  <si>
    <t>Tube Alum 6x6 x 3/8</t>
  </si>
  <si>
    <t>Flat Bar 1 x  1/8</t>
  </si>
  <si>
    <t>Flat Bar 1.5 x  1/8</t>
  </si>
  <si>
    <t>Flat Bar 1.5 x 3/16</t>
  </si>
  <si>
    <t>Flat Bar 2 x 1/4</t>
  </si>
  <si>
    <t>Flat Bar 2 x 5/16</t>
  </si>
  <si>
    <t>Flat Bar 3 x 3/16</t>
  </si>
  <si>
    <t>Flat Bar 4 x 1/2</t>
  </si>
  <si>
    <t>Flat Bar 6 x 1/2</t>
  </si>
  <si>
    <t>SQ Rod 3/8"</t>
  </si>
  <si>
    <t>SQ Rod Alum 3/8"</t>
  </si>
  <si>
    <t>SQ Rod SS 3/8"</t>
  </si>
  <si>
    <t>Total Ft Used From Staight Stock</t>
  </si>
  <si>
    <t>Total Lbs Used From Metal Sheets</t>
  </si>
  <si>
    <t>2" SCH. 40</t>
  </si>
  <si>
    <t>3" SCH. 40</t>
  </si>
  <si>
    <t>4" SCH. 40</t>
  </si>
  <si>
    <t>6" SCH. 40</t>
  </si>
  <si>
    <t>3" x .065" SS</t>
  </si>
  <si>
    <t>6" SCH. 10 SS</t>
  </si>
  <si>
    <t>Iron Angle (Stock 20')</t>
  </si>
  <si>
    <t>S.S. Angle (Stock 20')</t>
  </si>
  <si>
    <t>Aluminum Angle (Stock 20')</t>
  </si>
  <si>
    <t>Iron Square Tube (Stock 20')</t>
  </si>
  <si>
    <t>S.S. Square Tube (Stock 20')</t>
  </si>
  <si>
    <t>Aluminum Square Tube (Stock 20')</t>
  </si>
  <si>
    <t>Flat Bar (Stock 20')</t>
  </si>
  <si>
    <t>Square Rod (Stock 20')</t>
  </si>
  <si>
    <t>Square Rod (Stock 12')</t>
  </si>
  <si>
    <t>RND PIPE ( SCH. 10 AND 40 ) (Stock 20')</t>
  </si>
  <si>
    <t>18" Flex MKE</t>
  </si>
  <si>
    <t>All work to be completed in a workman like manner according to standard practices.  Any alteration or deviation from above specifications involving extra costs will be executed only upon written orders, and will become an extra charge over and above the estimate. All agreements contingent upon strikes, accidents or delays beyond our control.  Owner to carry builder's risk insurance.  Our workers are fully covered by Workers' Compensation Insurance.
Price does not include: General Liability Waivers of Subrogation, Workers' Compensation Waivers of Subrogation, or Additional Insured Endorsements on Completed Operations. Additional insurance requirements will become an extra charge over and above the estimate.</t>
  </si>
  <si>
    <t>Air Balance</t>
  </si>
  <si>
    <t>AC Equipment</t>
  </si>
  <si>
    <t>Plumbing</t>
  </si>
  <si>
    <t>Piping</t>
  </si>
  <si>
    <t>Cut &amp; Patch</t>
  </si>
  <si>
    <t>Abatement</t>
  </si>
  <si>
    <t>Curbs</t>
  </si>
  <si>
    <t>Duct Shafts</t>
  </si>
  <si>
    <t>Louvers</t>
  </si>
  <si>
    <t>Struct. Work/Calcs.</t>
  </si>
  <si>
    <t>Temp. Dust Partitions</t>
  </si>
  <si>
    <t>Refrigeration</t>
  </si>
  <si>
    <t>Starters</t>
  </si>
  <si>
    <t>Controls</t>
  </si>
  <si>
    <t>Startup</t>
  </si>
  <si>
    <t>Crane</t>
  </si>
  <si>
    <t>Premium Time</t>
  </si>
  <si>
    <t>Drawings</t>
  </si>
  <si>
    <t>CAD Drawings</t>
  </si>
  <si>
    <t>Warranty</t>
  </si>
  <si>
    <t>Painting</t>
  </si>
  <si>
    <t>Duct Cleaning</t>
  </si>
  <si>
    <t>Electrical</t>
  </si>
  <si>
    <t>None</t>
  </si>
  <si>
    <t>Exclusions
Place a character next to the exclusion you want
You can rename or add to exclusions definitions</t>
  </si>
  <si>
    <t>PT&amp;I Rate</t>
  </si>
  <si>
    <t>Handling</t>
  </si>
  <si>
    <t>Costs (+10%)</t>
  </si>
  <si>
    <t>Actual</t>
  </si>
  <si>
    <t>Duct Wrap</t>
  </si>
  <si>
    <t>Fire Master</t>
  </si>
  <si>
    <t>Quick ship</t>
  </si>
  <si>
    <t>BIM Coordination</t>
  </si>
  <si>
    <t>VFD's</t>
  </si>
  <si>
    <t>Off Hours Work/Overtime</t>
  </si>
  <si>
    <t>Containment</t>
  </si>
  <si>
    <t>Pressure Testing</t>
  </si>
  <si>
    <t>Seismic</t>
  </si>
  <si>
    <t>Concrete Cutting</t>
  </si>
  <si>
    <t>Id</t>
  </si>
  <si>
    <t>Units</t>
  </si>
  <si>
    <t xml:space="preserve"> per(ft)</t>
  </si>
  <si>
    <t xml:space="preserve"> Active</t>
  </si>
  <si>
    <t xml:space="preserve"> (each)</t>
  </si>
  <si>
    <t>Discount</t>
  </si>
  <si>
    <t>Date</t>
  </si>
  <si>
    <t>Status</t>
  </si>
  <si>
    <t>Exclusions</t>
  </si>
  <si>
    <t>Actuators for control dampers</t>
  </si>
  <si>
    <t>All architectural demolition, cutting, repairs and patching</t>
  </si>
  <si>
    <t>All concrete work</t>
  </si>
  <si>
    <t>All temporary services including temporary heating and cooling</t>
  </si>
  <si>
    <t>Architectural sheet metal and flashing</t>
  </si>
  <si>
    <t>CD/BDD/FD/FDS's as shown on drawings only</t>
  </si>
  <si>
    <t>Commissioning assistance only</t>
  </si>
  <si>
    <t>Crane and hoisting</t>
  </si>
  <si>
    <t>Custom colors for registers/louvers/equipment</t>
  </si>
  <si>
    <t>Cut and cap for demolition by others</t>
  </si>
  <si>
    <t>Demolition</t>
  </si>
  <si>
    <t>Double handling of stored material and equipment</t>
  </si>
  <si>
    <t>Duct cleaning</t>
  </si>
  <si>
    <t>Duct insulation and fire wrap</t>
  </si>
  <si>
    <t>Duct pressure testing</t>
  </si>
  <si>
    <t>Dumpsters and disposal</t>
  </si>
  <si>
    <t>Emergency generator muffler exhaust</t>
  </si>
  <si>
    <t>Expedited shipping</t>
  </si>
  <si>
    <t>Field layout for other trades</t>
  </si>
  <si>
    <t>Final cleaning</t>
  </si>
  <si>
    <t>Fire proofing repairs</t>
  </si>
  <si>
    <t>Flues for domestic water heaters</t>
  </si>
  <si>
    <t>Furnish and installation of architectural access panels</t>
  </si>
  <si>
    <t>Gradall to be provided by others</t>
  </si>
  <si>
    <t>Hazardous waste removal, disposal, testing and decontamination</t>
  </si>
  <si>
    <t>HVAC controls</t>
  </si>
  <si>
    <t>Installation of block outs (layout drawings will be provided)</t>
  </si>
  <si>
    <t>Installation of owner furnished equipment</t>
  </si>
  <si>
    <t>Installation of VFD's</t>
  </si>
  <si>
    <t>Lead BIM</t>
  </si>
  <si>
    <t>Leveling curbs</t>
  </si>
  <si>
    <t>Line voltage electrical work</t>
  </si>
  <si>
    <t>Liquidated damages</t>
  </si>
  <si>
    <t>Mechanical permits</t>
  </si>
  <si>
    <t>Motor starters and disconnects</t>
  </si>
  <si>
    <t>Performance and payment bonds</t>
  </si>
  <si>
    <t>Preparation/priming/painting</t>
  </si>
  <si>
    <t>Primary and secondary drip pans</t>
  </si>
  <si>
    <t>Primary structural steel</t>
  </si>
  <si>
    <t>Radon piping/duct</t>
  </si>
  <si>
    <t>Repairs, sealing and testing of existing duct systems and equipment</t>
  </si>
  <si>
    <t>Roof and floor protection</t>
  </si>
  <si>
    <t>Roofing</t>
  </si>
  <si>
    <t>Sealing of all exterior building penetrations</t>
  </si>
  <si>
    <t>Seismic design and hardware for equipment provided by others</t>
  </si>
  <si>
    <t>Servicing and maintenance of the existing mechanical systems and equipment</t>
  </si>
  <si>
    <t>Smoke detectors</t>
  </si>
  <si>
    <t>Sound/Acoustical caulking</t>
  </si>
  <si>
    <t>Storage of equipment provided by others</t>
  </si>
  <si>
    <t>Temporary or spare filters or filter media</t>
  </si>
  <si>
    <t>Temporary walls and dust protection</t>
  </si>
  <si>
    <t>Temporary weather protection for all building penetrations</t>
  </si>
  <si>
    <t>Testing and balancing</t>
  </si>
  <si>
    <t>Third party testing</t>
  </si>
  <si>
    <t>Underfloor air partitions/plenums</t>
  </si>
  <si>
    <t>Vibration isolation design and hardware for equipment provided by others</t>
  </si>
  <si>
    <t>Warranty, servicing and cleaning of equipment provided by others</t>
  </si>
  <si>
    <t>Clarifications</t>
  </si>
  <si>
    <t>Pricing is based on installing overhead mechanical systems before the installation of the ceiling systems and wall framing</t>
  </si>
  <si>
    <t>Mutually agreeable construction schedule</t>
  </si>
  <si>
    <t>Sufficient on site areas for parking, trailers and material/equipment storage</t>
  </si>
  <si>
    <t>CODE</t>
  </si>
  <si>
    <t>UOM</t>
  </si>
  <si>
    <t>Unit Price</t>
  </si>
  <si>
    <t>854</t>
  </si>
  <si>
    <t>Rossi Dampers</t>
  </si>
  <si>
    <t>Sharpies</t>
  </si>
  <si>
    <t>Box of 12</t>
  </si>
  <si>
    <t>Water</t>
  </si>
  <si>
    <t>Case of 24</t>
  </si>
  <si>
    <t>Hilti Zip Screw</t>
  </si>
  <si>
    <t>3/8" x.065x6" SS tubing</t>
  </si>
  <si>
    <t>3/8" Test Port</t>
  </si>
  <si>
    <t>18 CR</t>
  </si>
  <si>
    <t>Period Factor</t>
  </si>
  <si>
    <t>Sheet Metal Description</t>
  </si>
  <si>
    <t>SM Field Foreman Hrs</t>
  </si>
  <si>
    <t>Project Manager Hrs</t>
  </si>
  <si>
    <t>Straight</t>
  </si>
  <si>
    <t>Doubletime</t>
  </si>
  <si>
    <t>Swing</t>
  </si>
  <si>
    <t>Plumb Foreman</t>
  </si>
  <si>
    <t>Pipe Foreman</t>
  </si>
  <si>
    <t>SM Shop Foreman</t>
  </si>
  <si>
    <t>Total Cost</t>
  </si>
  <si>
    <t>Plumb Journeyman Hrs</t>
  </si>
  <si>
    <t>Plumb Foreman Hrs</t>
  </si>
  <si>
    <t>Plumb General Foreman Hrs</t>
  </si>
  <si>
    <t>Pipe Journeyman Hrs</t>
  </si>
  <si>
    <t>Pipe Foreman Hrs</t>
  </si>
  <si>
    <t>Pipe General Foreman Hrs</t>
  </si>
  <si>
    <t>SM Field Journeyman Hrs</t>
  </si>
  <si>
    <t>SM Field General Foreman Hrs</t>
  </si>
  <si>
    <t>SM Shop Journeyman Hrs</t>
  </si>
  <si>
    <t>SM Shop Foreman Hrs</t>
  </si>
  <si>
    <t>BIM/Coordination Hrs</t>
  </si>
  <si>
    <t>Custom 1 Hrs</t>
  </si>
  <si>
    <t>Custom 2 Hrs</t>
  </si>
  <si>
    <t>Custom 3 Hrs</t>
  </si>
  <si>
    <t>Shift</t>
  </si>
  <si>
    <t>Shift Diff</t>
  </si>
  <si>
    <t>Project Engineer Hrs</t>
  </si>
  <si>
    <t>Plumb Journeyman Rate</t>
  </si>
  <si>
    <t>Plumb Foreman Rate</t>
  </si>
  <si>
    <t>Plumb General Foreman Rate</t>
  </si>
  <si>
    <t>Pipe Journeyman Rate</t>
  </si>
  <si>
    <t>Pipe Foreman Rate</t>
  </si>
  <si>
    <t>Pipe General Foreman Rate</t>
  </si>
  <si>
    <t>SM Field Journeyman Rate</t>
  </si>
  <si>
    <t>SM Field Foreman Rate</t>
  </si>
  <si>
    <t>SM Field General Foreman Rate</t>
  </si>
  <si>
    <t>SM Shop Journeyman Rate</t>
  </si>
  <si>
    <t>SM Shop Foreman Rate</t>
  </si>
  <si>
    <t>Project Manager Rate</t>
  </si>
  <si>
    <t>Project Engineer Rate</t>
  </si>
  <si>
    <t>BIM/Coordination Rate</t>
  </si>
  <si>
    <t>Labor Type</t>
  </si>
  <si>
    <t>Pipe / Fitter Description</t>
  </si>
  <si>
    <t>Plumb Description</t>
  </si>
  <si>
    <t>Due to the current supply chain issues, we reserve the right to negotiate mutually agreeable contract terms regarding potential material/equipment delays and pricing escalation.  There is a 3% Processing fee on all credit card payments.</t>
  </si>
  <si>
    <t>SM Foreman</t>
  </si>
  <si>
    <t>Graveyard</t>
  </si>
  <si>
    <t>Calculated Shift Pay</t>
  </si>
  <si>
    <t>Calculated Shift Hrs</t>
  </si>
  <si>
    <t>Special</t>
  </si>
  <si>
    <t>LOP</t>
  </si>
  <si>
    <t>HRS</t>
  </si>
  <si>
    <t>Plumb GF</t>
  </si>
  <si>
    <t>Pipe GF</t>
  </si>
  <si>
    <t>SM Shop General Foreman Hrs</t>
  </si>
  <si>
    <t>SM Shop GF</t>
  </si>
  <si>
    <t>SM Shop Apprentice</t>
  </si>
  <si>
    <t>SM Shop Journeyman</t>
  </si>
  <si>
    <t>Plumb Apprentice</t>
  </si>
  <si>
    <t>Plumb Journeyman</t>
  </si>
  <si>
    <t>Pipe Apprentice</t>
  </si>
  <si>
    <t>Pipe Journeyman</t>
  </si>
  <si>
    <t>SM Apprentice</t>
  </si>
  <si>
    <t>SM Journeyman</t>
  </si>
  <si>
    <t>Project Engineer</t>
  </si>
  <si>
    <t>SM Shop General Foreman</t>
  </si>
  <si>
    <t>TOTAL</t>
  </si>
  <si>
    <t>Hrs</t>
  </si>
  <si>
    <t>$</t>
  </si>
  <si>
    <t>Shop Pay</t>
  </si>
  <si>
    <t>Shop Hrs</t>
  </si>
  <si>
    <t>Field Pay</t>
  </si>
  <si>
    <t>Field Hrs</t>
  </si>
  <si>
    <t>Plumb</t>
  </si>
  <si>
    <t>Pipe</t>
  </si>
  <si>
    <t>SM Field</t>
  </si>
  <si>
    <t>SM Shop</t>
  </si>
  <si>
    <t>All Field</t>
  </si>
  <si>
    <t>of Plumb Takeoff Hrs</t>
  </si>
  <si>
    <t>of Pipe Takeoff Hrs</t>
  </si>
  <si>
    <t>of SM Takeoff Hrs</t>
  </si>
  <si>
    <t>of Shop Takeoff Hrs</t>
  </si>
  <si>
    <t>All additional time put in here is straight time</t>
  </si>
  <si>
    <t>of All Field Takeoff Hrs</t>
  </si>
  <si>
    <t>of Field Labor Cost</t>
  </si>
  <si>
    <t>Total PM/PE/BIM Hrs</t>
  </si>
  <si>
    <t>Total Field Hrs</t>
  </si>
  <si>
    <t>Total Shop Hrs</t>
  </si>
  <si>
    <t>Total Custom Hrs</t>
  </si>
  <si>
    <t>Hrs From</t>
  </si>
  <si>
    <t>Takeoff</t>
  </si>
  <si>
    <t>Sheet Metal Factors</t>
  </si>
  <si>
    <t>Plumbing Factors</t>
  </si>
  <si>
    <t>Pipe Factors</t>
  </si>
  <si>
    <t>Enter .01 to eliminate all rounding</t>
  </si>
  <si>
    <t>Labor:</t>
  </si>
  <si>
    <t>SM GF</t>
  </si>
  <si>
    <t>Plumb Field Hours</t>
  </si>
  <si>
    <t>Plumb Field Costs</t>
  </si>
  <si>
    <t>Pipe Field Costs</t>
  </si>
  <si>
    <t>SM Field Costs</t>
  </si>
  <si>
    <t>SM Field Hours</t>
  </si>
  <si>
    <t>Pipe Field Hours</t>
  </si>
  <si>
    <t>SM Shop Hours</t>
  </si>
  <si>
    <t>SM Shop Costs</t>
  </si>
  <si>
    <t>PE Hours</t>
  </si>
  <si>
    <t>PE Costs</t>
  </si>
  <si>
    <t>BIM/CAD Hours</t>
  </si>
  <si>
    <t>BIM/CAD Cost</t>
  </si>
  <si>
    <t>Custom Hours</t>
  </si>
  <si>
    <t>Custom Costs</t>
  </si>
  <si>
    <t>Subs Cost</t>
  </si>
  <si>
    <t>Change Proposal Backup</t>
  </si>
  <si>
    <t>Sheet Metal Shop Factors</t>
  </si>
  <si>
    <t>Normal
Shop Burden</t>
  </si>
  <si>
    <t>SUB T</t>
  </si>
  <si>
    <t>Plumber Labor Rates</t>
  </si>
  <si>
    <t>Pipe Fitter Labor Rates</t>
  </si>
  <si>
    <t>Sheet Metal Field Labor Rates</t>
  </si>
  <si>
    <t>Sheet Metal Shop Labor Rates</t>
  </si>
  <si>
    <t>and Burden $</t>
  </si>
  <si>
    <t>Labor Burden OH &amp; P</t>
  </si>
  <si>
    <t>Taxes</t>
  </si>
  <si>
    <t>Subtotal</t>
  </si>
  <si>
    <t>Difference</t>
  </si>
  <si>
    <t>$/hr increase needed to normalize</t>
  </si>
  <si>
    <t>Normal Job Scenario</t>
  </si>
  <si>
    <t>Job With Fixed Markups</t>
  </si>
  <si>
    <t>Markups</t>
  </si>
  <si>
    <t>Overall Markup</t>
  </si>
  <si>
    <t>$/hr</t>
  </si>
  <si>
    <t>Plumb Apprentice Hrs</t>
  </si>
  <si>
    <t>Plumb Apprentice Rate</t>
  </si>
  <si>
    <t>Pipe Apprentice Rate</t>
  </si>
  <si>
    <t>Pipe Apprentice Hrs</t>
  </si>
  <si>
    <t>SM Field Apprentice Rate</t>
  </si>
  <si>
    <t>SM Shop Apprentice Rate</t>
  </si>
  <si>
    <t>SM Field Apprentice Hrs</t>
  </si>
  <si>
    <t>SM Shop Apprentice Hrs</t>
  </si>
  <si>
    <t>Labor Burden</t>
  </si>
  <si>
    <t>BIM/Coordination</t>
  </si>
  <si>
    <t>Plumber</t>
  </si>
  <si>
    <t>Pipe Fitter</t>
  </si>
  <si>
    <t>Sheet Metal Field</t>
  </si>
  <si>
    <t>Sheet Metal Shop</t>
  </si>
  <si>
    <t>OT</t>
  </si>
  <si>
    <t>Equipment &amp; Vendor Pricing</t>
  </si>
  <si>
    <t>MOD #</t>
  </si>
  <si>
    <t>Job Name:</t>
  </si>
  <si>
    <t>Job Number:</t>
  </si>
  <si>
    <t>Location:</t>
  </si>
  <si>
    <t>MOD #:</t>
  </si>
  <si>
    <t>Project Manager:</t>
  </si>
  <si>
    <t>ST</t>
  </si>
  <si>
    <t>DT</t>
  </si>
  <si>
    <t>Total Field $</t>
  </si>
  <si>
    <t>Total Shop $</t>
  </si>
  <si>
    <t>Total PM/PE/BIM $</t>
  </si>
  <si>
    <t>Total Custom $</t>
  </si>
  <si>
    <t>GP</t>
  </si>
  <si>
    <t>Update SM Labor Rates and Inventory Pricing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</si>
</sst>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quot;#,##0.00_);[Red]\(&quot;$&quot;#,##0.00\)"/>
    <numFmt numFmtId="44" formatCode="_(&quot;$&quot;* #,##0.00_);_(&quot;$&quot;* \(#,##0.00\);_(&quot;$&quot;* &quot;-&quot;??_);_(@_)"/>
    <numFmt numFmtId="43" formatCode="_(* #,##0.00_);_(* \(#,##0.00\);_(* &quot;-&quot;??_);_(@_)"/>
    <numFmt numFmtId="164" formatCode="m/d/yy;@"/>
    <numFmt numFmtId="165" formatCode="0.0"/>
    <numFmt numFmtId="166" formatCode="[$-F400]h:mm:ss\ AM/PM"/>
    <numFmt numFmtId="167" formatCode="&quot;$&quot;#,##0.00"/>
    <numFmt numFmtId="168" formatCode="0.0%"/>
    <numFmt numFmtId="169" formatCode="[&lt;=9999999]###\-####;\(###\)\ ###\-####"/>
    <numFmt numFmtId="170" formatCode="0\'"/>
    <numFmt numFmtId="171" formatCode="0.000%"/>
  </numFmts>
  <fonts count="79">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0"/>
      <name val="Arial"/>
      <family val="2"/>
    </font>
    <font>
      <sz val="12"/>
      <name val="Arial"/>
      <family val="2"/>
    </font>
    <font>
      <b/>
      <sz val="14"/>
      <name val="Arial"/>
      <family val="2"/>
    </font>
    <font>
      <sz val="9"/>
      <name val="Arial"/>
      <family val="2"/>
    </font>
    <font>
      <b/>
      <sz val="10"/>
      <name val="Arial"/>
      <family val="2"/>
    </font>
    <font>
      <b/>
      <sz val="9"/>
      <name val="Arial"/>
      <family val="2"/>
    </font>
    <font>
      <b/>
      <sz val="12"/>
      <name val="Arial"/>
      <family val="2"/>
    </font>
    <font>
      <b/>
      <sz val="16"/>
      <name val="Arial"/>
      <family val="2"/>
    </font>
    <font>
      <b/>
      <sz val="24"/>
      <name val="Times New Roman"/>
      <family val="1"/>
    </font>
    <font>
      <b/>
      <sz val="16"/>
      <name val="Times New Roman"/>
      <family val="1"/>
    </font>
    <font>
      <b/>
      <sz val="12"/>
      <name val="Times New Roman"/>
      <family val="1"/>
    </font>
    <font>
      <b/>
      <sz val="18"/>
      <name val="Times New Roman"/>
      <family val="1"/>
    </font>
    <font>
      <i/>
      <sz val="10"/>
      <name val="Times New Roman"/>
      <family val="1"/>
    </font>
    <font>
      <i/>
      <sz val="12"/>
      <name val="Times New Roman"/>
      <family val="1"/>
    </font>
    <font>
      <b/>
      <sz val="18"/>
      <name val="Arial"/>
      <family val="2"/>
    </font>
    <font>
      <sz val="11"/>
      <color indexed="8"/>
      <name val="Calibri"/>
      <family val="2"/>
    </font>
    <font>
      <sz val="10"/>
      <name val="MS Sans Serif"/>
      <family val="2"/>
    </font>
    <font>
      <b/>
      <sz val="8"/>
      <name val="Times New Roman"/>
      <family val="1"/>
    </font>
    <font>
      <b/>
      <i/>
      <sz val="8"/>
      <name val="Times New Roman"/>
      <family val="1"/>
    </font>
    <font>
      <sz val="8"/>
      <name val="Times New Roman"/>
      <family val="1"/>
    </font>
    <font>
      <b/>
      <u/>
      <sz val="18"/>
      <name val="Arial"/>
      <family val="2"/>
    </font>
    <font>
      <sz val="14"/>
      <name val="Times New Roman"/>
      <family val="1"/>
    </font>
    <font>
      <sz val="12"/>
      <name val="Times New Roman"/>
      <family val="1"/>
    </font>
    <font>
      <b/>
      <sz val="18"/>
      <color theme="3"/>
      <name val="Cambria"/>
      <family val="2"/>
      <scheme val="major"/>
    </font>
    <font>
      <b/>
      <sz val="11"/>
      <color rgb="FFFF0000"/>
      <name val="Calibri"/>
      <family val="2"/>
      <scheme val="minor"/>
    </font>
    <font>
      <b/>
      <u/>
      <sz val="14"/>
      <color rgb="FFFF0000"/>
      <name val="Calibri"/>
      <family val="2"/>
      <scheme val="minor"/>
    </font>
    <font>
      <b/>
      <i/>
      <sz val="20"/>
      <name val="Arial"/>
      <family val="2"/>
    </font>
    <font>
      <sz val="11"/>
      <name val="Arial"/>
      <family val="2"/>
    </font>
    <font>
      <b/>
      <sz val="11"/>
      <name val="Arial"/>
      <family val="2"/>
    </font>
    <font>
      <i/>
      <sz val="7"/>
      <name val="Arial"/>
      <family val="2"/>
    </font>
    <font>
      <sz val="7"/>
      <name val="Arial"/>
      <family val="2"/>
    </font>
    <font>
      <sz val="8"/>
      <name val="Arial"/>
      <family val="2"/>
    </font>
    <font>
      <u/>
      <sz val="11"/>
      <name val="Arial"/>
      <family val="2"/>
    </font>
    <font>
      <u/>
      <sz val="8"/>
      <name val="Arial"/>
      <family val="2"/>
    </font>
    <font>
      <sz val="13"/>
      <color theme="1"/>
      <name val="Franklin Gothic Heavy"/>
      <family val="2"/>
    </font>
    <font>
      <sz val="16"/>
      <color theme="1"/>
      <name val="Swis721 BdCnOul BT"/>
      <family val="5"/>
    </font>
    <font>
      <sz val="18"/>
      <color theme="1"/>
      <name val="Arial Rounded MT Bold"/>
      <family val="2"/>
    </font>
    <font>
      <sz val="6"/>
      <color theme="1"/>
      <name val="Aharoni"/>
      <charset val="177"/>
    </font>
    <font>
      <sz val="9"/>
      <color theme="1"/>
      <name val="Aharoni"/>
      <charset val="177"/>
    </font>
    <font>
      <sz val="9"/>
      <color theme="1"/>
      <name val="Calibri"/>
      <family val="2"/>
      <scheme val="minor"/>
    </font>
    <font>
      <sz val="7"/>
      <color theme="1"/>
      <name val="Aharoni"/>
      <charset val="177"/>
    </font>
    <font>
      <sz val="7.5"/>
      <color theme="1"/>
      <name val="Aharoni"/>
      <charset val="177"/>
    </font>
    <font>
      <b/>
      <u/>
      <sz val="9"/>
      <name val="Arial"/>
      <family val="2"/>
    </font>
    <font>
      <i/>
      <sz val="16"/>
      <color theme="1"/>
      <name val="Times New Roman"/>
      <family val="1"/>
    </font>
    <font>
      <sz val="13"/>
      <color theme="1"/>
      <name val="Times New Roman"/>
      <family val="1"/>
    </font>
    <font>
      <b/>
      <i/>
      <sz val="13"/>
      <color theme="1"/>
      <name val="Times New Roman"/>
      <family val="1"/>
    </font>
    <font>
      <sz val="14"/>
      <color theme="1"/>
      <name val="Times New Roman"/>
      <family val="1"/>
    </font>
    <font>
      <sz val="12"/>
      <color theme="1"/>
      <name val="Times New Roman"/>
      <family val="1"/>
    </font>
    <font>
      <sz val="12"/>
      <color theme="1"/>
      <name val="Calibri"/>
      <family val="2"/>
      <scheme val="minor"/>
    </font>
    <font>
      <sz val="12"/>
      <color rgb="FFFF0000"/>
      <name val="Times New Roman"/>
      <family val="1"/>
    </font>
    <font>
      <b/>
      <sz val="14"/>
      <color theme="1"/>
      <name val="Times New Roman"/>
      <family val="1"/>
    </font>
    <font>
      <b/>
      <sz val="12"/>
      <color theme="1"/>
      <name val="Calibri"/>
      <family val="2"/>
      <scheme val="minor"/>
    </font>
    <font>
      <b/>
      <sz val="14"/>
      <color theme="1"/>
      <name val="Calibri"/>
      <family val="2"/>
      <scheme val="minor"/>
    </font>
    <font>
      <b/>
      <sz val="12"/>
      <color rgb="FF0070C0"/>
      <name val="Calibri"/>
      <family val="2"/>
      <scheme val="minor"/>
    </font>
    <font>
      <b/>
      <sz val="11"/>
      <color rgb="FFFA7D00"/>
      <name val="Calibri"/>
      <family val="2"/>
      <scheme val="minor"/>
    </font>
    <font>
      <b/>
      <sz val="16"/>
      <color theme="1"/>
      <name val="Calibri"/>
      <family val="2"/>
      <scheme val="minor"/>
    </font>
    <font>
      <b/>
      <sz val="10"/>
      <color indexed="8"/>
      <name val="Microsoft Sans Serif"/>
      <family val="2"/>
    </font>
    <font>
      <sz val="10"/>
      <color indexed="8"/>
      <name val="Microsoft Sans Serif"/>
      <family val="2"/>
    </font>
    <font>
      <sz val="8"/>
      <color rgb="FF000000"/>
      <name val="Segoe UI"/>
      <family val="2"/>
    </font>
    <font>
      <b/>
      <sz val="11"/>
      <color theme="3"/>
      <name val="Calibri"/>
      <family val="2"/>
      <scheme val="minor"/>
    </font>
    <font>
      <sz val="10"/>
      <color indexed="8"/>
      <name val="MS Sans Serif"/>
    </font>
    <font>
      <sz val="10"/>
      <color indexed="8"/>
      <name val="MS Sans Serif"/>
      <family val="2"/>
    </font>
    <font>
      <sz val="11"/>
      <color rgb="FFFF0000"/>
      <name val="Calibri"/>
      <family val="2"/>
      <scheme val="minor"/>
    </font>
    <font>
      <sz val="8.5"/>
      <name val="Arial"/>
      <family val="2"/>
    </font>
    <font>
      <sz val="8"/>
      <name val="Calibri"/>
      <family val="2"/>
      <scheme val="minor"/>
    </font>
    <font>
      <sz val="9"/>
      <color indexed="81"/>
      <name val="Tahoma"/>
      <family val="2"/>
    </font>
    <font>
      <b/>
      <sz val="9"/>
      <color indexed="81"/>
      <name val="Tahoma"/>
      <family val="2"/>
    </font>
    <font>
      <b/>
      <sz val="12"/>
      <name val="Calibri"/>
      <family val="2"/>
    </font>
    <font>
      <b/>
      <sz val="12"/>
      <color indexed="8"/>
      <name val="Calibri"/>
      <family val="2"/>
    </font>
    <font>
      <b/>
      <sz val="10"/>
      <color theme="1"/>
      <name val="Calibri"/>
      <family val="2"/>
      <scheme val="minor"/>
    </font>
    <font>
      <sz val="11"/>
      <color rgb="FF000000"/>
      <name val="Calibri"/>
      <family val="2"/>
    </font>
    <font>
      <sz val="10"/>
      <color theme="0"/>
      <name val="Arial"/>
      <family val="2"/>
    </font>
    <font>
      <sz val="11"/>
      <color rgb="FF3F3F76"/>
      <name val="Calibri"/>
      <family val="2"/>
      <scheme val="minor"/>
    </font>
    <font>
      <sz val="10"/>
      <color rgb="FFFF0000"/>
      <name val="Arial"/>
      <family val="2"/>
    </font>
    <font>
      <b/>
      <sz val="13"/>
      <color theme="1"/>
      <name val="Times New Roman"/>
      <family val="1"/>
    </font>
  </fonts>
  <fills count="23">
    <fill>
      <patternFill patternType="none"/>
    </fill>
    <fill>
      <patternFill patternType="gray125"/>
    </fill>
    <fill>
      <patternFill patternType="solid">
        <fgColor indexed="55"/>
        <bgColor indexed="64"/>
      </patternFill>
    </fill>
    <fill>
      <patternFill patternType="solid">
        <fgColor rgb="FFFFFF00"/>
        <bgColor indexed="64"/>
      </patternFill>
    </fill>
    <fill>
      <patternFill patternType="solid">
        <fgColor theme="0"/>
        <bgColor indexed="64"/>
      </patternFill>
    </fill>
    <fill>
      <patternFill patternType="solid">
        <fgColor indexed="8"/>
        <bgColor indexed="64"/>
      </patternFill>
    </fill>
    <fill>
      <patternFill patternType="solid">
        <fgColor indexed="13"/>
        <bgColor indexed="64"/>
      </patternFill>
    </fill>
    <fill>
      <patternFill patternType="solid">
        <fgColor indexed="43"/>
        <bgColor indexed="64"/>
      </patternFill>
    </fill>
    <fill>
      <patternFill patternType="solid">
        <fgColor indexed="42"/>
        <bgColor indexed="64"/>
      </patternFill>
    </fill>
    <fill>
      <patternFill patternType="solid">
        <fgColor indexed="65"/>
        <bgColor indexed="64"/>
      </patternFill>
    </fill>
    <fill>
      <patternFill patternType="solid">
        <fgColor theme="9" tint="0.79998168889431442"/>
        <bgColor indexed="64"/>
      </patternFill>
    </fill>
    <fill>
      <patternFill patternType="lightUp">
        <fgColor theme="4" tint="-0.499984740745262"/>
        <bgColor indexed="65"/>
      </patternFill>
    </fill>
    <fill>
      <patternFill patternType="solid">
        <fgColor rgb="FFFFC000"/>
        <bgColor indexed="64"/>
      </patternFill>
    </fill>
    <fill>
      <patternFill patternType="solid">
        <fgColor theme="9" tint="0.59999389629810485"/>
        <bgColor indexed="64"/>
      </patternFill>
    </fill>
    <fill>
      <patternFill patternType="solid">
        <fgColor rgb="FFF2F2F2"/>
      </patternFill>
    </fill>
    <fill>
      <patternFill patternType="solid">
        <fgColor theme="6" tint="0.39997558519241921"/>
        <bgColor indexed="64"/>
      </patternFill>
    </fill>
    <fill>
      <patternFill patternType="solid">
        <fgColor rgb="FF00B0F0"/>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C99"/>
      </patternFill>
    </fill>
    <fill>
      <patternFill patternType="solid">
        <fgColor theme="6" tint="0.59999389629810485"/>
        <bgColor indexed="64"/>
      </patternFill>
    </fill>
  </fills>
  <borders count="113">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auto="1"/>
      </right>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double">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style="medium">
        <color indexed="64"/>
      </top>
      <bottom style="medium">
        <color indexed="64"/>
      </bottom>
      <diagonal/>
    </border>
    <border>
      <left/>
      <right style="medium">
        <color indexed="64"/>
      </right>
      <top style="thin">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theme="3" tint="-0.499984740745262"/>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thin">
        <color indexed="64"/>
      </bottom>
      <diagonal/>
    </border>
    <border>
      <left style="double">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double">
        <color indexed="64"/>
      </right>
      <top style="thin">
        <color indexed="64"/>
      </top>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right/>
      <top style="double">
        <color indexed="64"/>
      </top>
      <bottom style="double">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ck">
        <color auto="1"/>
      </left>
      <right style="thick">
        <color auto="1"/>
      </right>
      <top/>
      <bottom style="thick">
        <color auto="1"/>
      </bottom>
      <diagonal/>
    </border>
    <border>
      <left style="thin">
        <color rgb="FF7F7F7F"/>
      </left>
      <right style="thin">
        <color rgb="FF7F7F7F"/>
      </right>
      <top style="thin">
        <color rgb="FF7F7F7F"/>
      </top>
      <bottom style="thin">
        <color rgb="FF7F7F7F"/>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hair">
        <color indexed="64"/>
      </left>
      <right style="medium">
        <color indexed="64"/>
      </right>
      <top style="hair">
        <color indexed="64"/>
      </top>
      <bottom/>
      <diagonal/>
    </border>
    <border>
      <left style="medium">
        <color indexed="64"/>
      </left>
      <right style="hair">
        <color indexed="64"/>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right/>
      <top/>
      <bottom style="medium">
        <color theme="4" tint="0.39997558519241921"/>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diagonal/>
    </border>
  </borders>
  <cellStyleXfs count="84">
    <xf numFmtId="0" fontId="0" fillId="0" borderId="0"/>
    <xf numFmtId="44" fontId="1" fillId="0" borderId="0" applyFont="0" applyFill="0" applyBorder="0" applyAlignment="0" applyProtection="0"/>
    <xf numFmtId="9" fontId="1"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5" fillId="0" borderId="0" applyProtection="0">
      <alignment horizontal="center"/>
    </xf>
    <xf numFmtId="0" fontId="5" fillId="0" borderId="0" applyProtection="0">
      <alignment horizontal="center"/>
    </xf>
    <xf numFmtId="0" fontId="12" fillId="0" borderId="0" applyProtection="0"/>
    <xf numFmtId="0" fontId="12" fillId="0" borderId="0" applyProtection="0"/>
    <xf numFmtId="0" fontId="13" fillId="0" borderId="0" applyProtection="0"/>
    <xf numFmtId="0" fontId="13" fillId="0" borderId="0" applyProtection="0"/>
    <xf numFmtId="0" fontId="6" fillId="0" borderId="0" applyProtection="0"/>
    <xf numFmtId="0" fontId="6" fillId="0" borderId="0" applyProtection="0"/>
    <xf numFmtId="0" fontId="14" fillId="0" borderId="0" applyProtection="0"/>
    <xf numFmtId="0" fontId="14" fillId="0" borderId="0" applyProtection="0"/>
    <xf numFmtId="0" fontId="15" fillId="0" borderId="0" applyProtection="0"/>
    <xf numFmtId="0" fontId="15" fillId="0" borderId="0" applyProtection="0"/>
    <xf numFmtId="0" fontId="16" fillId="0" borderId="0" applyProtection="0"/>
    <xf numFmtId="0" fontId="16" fillId="0" borderId="0" applyProtection="0"/>
    <xf numFmtId="0" fontId="17" fillId="0" borderId="0" applyProtection="0"/>
    <xf numFmtId="0" fontId="17" fillId="0" borderId="0" applyProtection="0"/>
    <xf numFmtId="2" fontId="5" fillId="0" borderId="0" applyProtection="0"/>
    <xf numFmtId="2" fontId="5" fillId="0" borderId="0" applyProtection="0"/>
    <xf numFmtId="0" fontId="18" fillId="0" borderId="0" applyProtection="0"/>
    <xf numFmtId="0" fontId="18" fillId="0" borderId="0" applyProtection="0"/>
    <xf numFmtId="0" fontId="10" fillId="0" borderId="0" applyProtection="0"/>
    <xf numFmtId="0" fontId="10" fillId="0" borderId="0" applyProtection="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0" fillId="0" borderId="0" applyFont="0" applyFill="0" applyBorder="0" applyAlignment="0" applyProtection="0"/>
    <xf numFmtId="0" fontId="5" fillId="0" borderId="45" applyProtection="0"/>
    <xf numFmtId="0" fontId="5" fillId="0" borderId="45" applyProtection="0"/>
    <xf numFmtId="0" fontId="27" fillId="0" borderId="0" applyNumberFormat="0" applyFill="0" applyBorder="0" applyAlignment="0" applyProtection="0"/>
    <xf numFmtId="9" fontId="19" fillId="0" borderId="0" applyFont="0" applyFill="0" applyBorder="0" applyAlignment="0" applyProtection="0"/>
    <xf numFmtId="44" fontId="19" fillId="0" borderId="0" applyFont="0" applyFill="0" applyBorder="0" applyAlignment="0" applyProtection="0"/>
    <xf numFmtId="0" fontId="58" fillId="14" borderId="94" applyNumberFormat="0" applyAlignment="0" applyProtection="0"/>
    <xf numFmtId="0" fontId="63" fillId="0" borderId="103" applyNumberFormat="0" applyFill="0" applyAlignment="0" applyProtection="0"/>
    <xf numFmtId="0" fontId="19" fillId="0" borderId="0"/>
    <xf numFmtId="0" fontId="64" fillId="0" borderId="0"/>
    <xf numFmtId="43" fontId="65" fillId="0" borderId="0" applyFont="0" applyFill="0" applyBorder="0" applyAlignment="0" applyProtection="0"/>
    <xf numFmtId="9" fontId="65" fillId="0" borderId="0" applyFont="0" applyFill="0" applyBorder="0" applyAlignment="0" applyProtection="0"/>
    <xf numFmtId="0" fontId="76" fillId="21" borderId="94" applyNumberFormat="0" applyAlignment="0" applyProtection="0"/>
  </cellStyleXfs>
  <cellXfs count="816">
    <xf numFmtId="0" fontId="0" fillId="0" borderId="0" xfId="0"/>
    <xf numFmtId="166" fontId="4" fillId="0" borderId="0" xfId="3" applyNumberFormat="1" applyAlignment="1">
      <alignment horizontal="right"/>
    </xf>
    <xf numFmtId="0" fontId="4" fillId="0" borderId="0" xfId="3"/>
    <xf numFmtId="167" fontId="4" fillId="0" borderId="0" xfId="3" applyNumberFormat="1" applyAlignment="1">
      <alignment horizontal="right"/>
    </xf>
    <xf numFmtId="165" fontId="4" fillId="0" borderId="0" xfId="3" applyNumberFormat="1" applyAlignment="1">
      <alignment horizontal="right"/>
    </xf>
    <xf numFmtId="168" fontId="4" fillId="0" borderId="3" xfId="3" applyNumberFormat="1" applyBorder="1" applyAlignment="1">
      <alignment horizontal="right"/>
    </xf>
    <xf numFmtId="168" fontId="4" fillId="0" borderId="17" xfId="3" applyNumberFormat="1" applyBorder="1" applyAlignment="1">
      <alignment horizontal="right"/>
    </xf>
    <xf numFmtId="168" fontId="4" fillId="0" borderId="22" xfId="3" applyNumberFormat="1" applyBorder="1" applyAlignment="1">
      <alignment horizontal="right"/>
    </xf>
    <xf numFmtId="167" fontId="4" fillId="3" borderId="25" xfId="3" applyNumberFormat="1" applyFill="1" applyBorder="1" applyAlignment="1" applyProtection="1">
      <alignment horizontal="right"/>
      <protection locked="0"/>
    </xf>
    <xf numFmtId="0" fontId="4" fillId="0" borderId="23" xfId="3" applyBorder="1"/>
    <xf numFmtId="167" fontId="4" fillId="6" borderId="30" xfId="3" applyNumberFormat="1" applyFill="1" applyBorder="1" applyAlignment="1" applyProtection="1">
      <alignment horizontal="right"/>
      <protection locked="0"/>
    </xf>
    <xf numFmtId="167" fontId="4" fillId="0" borderId="32" xfId="3" applyNumberFormat="1" applyBorder="1" applyAlignment="1">
      <alignment horizontal="right"/>
    </xf>
    <xf numFmtId="167" fontId="4" fillId="0" borderId="8" xfId="3" applyNumberFormat="1" applyBorder="1" applyAlignment="1">
      <alignment horizontal="right"/>
    </xf>
    <xf numFmtId="0" fontId="6" fillId="0" borderId="33" xfId="3" applyFont="1" applyBorder="1"/>
    <xf numFmtId="167" fontId="8" fillId="0" borderId="11" xfId="3" applyNumberFormat="1" applyFont="1" applyBorder="1" applyAlignment="1">
      <alignment horizontal="right"/>
    </xf>
    <xf numFmtId="168" fontId="8" fillId="0" borderId="10" xfId="3" applyNumberFormat="1" applyFont="1" applyBorder="1" applyAlignment="1">
      <alignment horizontal="right"/>
    </xf>
    <xf numFmtId="168" fontId="8" fillId="0" borderId="11" xfId="3" applyNumberFormat="1" applyFont="1" applyBorder="1" applyAlignment="1">
      <alignment horizontal="right"/>
    </xf>
    <xf numFmtId="167" fontId="4" fillId="0" borderId="39" xfId="3" applyNumberFormat="1" applyBorder="1" applyAlignment="1">
      <alignment horizontal="right"/>
    </xf>
    <xf numFmtId="167" fontId="4" fillId="0" borderId="25" xfId="3" applyNumberFormat="1" applyBorder="1" applyAlignment="1">
      <alignment horizontal="right"/>
    </xf>
    <xf numFmtId="167" fontId="8" fillId="0" borderId="40" xfId="3" applyNumberFormat="1" applyFont="1" applyBorder="1" applyAlignment="1">
      <alignment horizontal="right"/>
    </xf>
    <xf numFmtId="168" fontId="8" fillId="0" borderId="33" xfId="3" applyNumberFormat="1" applyFont="1" applyBorder="1" applyAlignment="1">
      <alignment horizontal="right"/>
    </xf>
    <xf numFmtId="168" fontId="4" fillId="0" borderId="20" xfId="3" applyNumberFormat="1" applyBorder="1" applyAlignment="1">
      <alignment horizontal="right" wrapText="1"/>
    </xf>
    <xf numFmtId="168" fontId="4" fillId="0" borderId="21" xfId="3" applyNumberFormat="1" applyBorder="1" applyAlignment="1">
      <alignment horizontal="right" wrapText="1"/>
    </xf>
    <xf numFmtId="0" fontId="4" fillId="0" borderId="0" xfId="3" applyAlignment="1">
      <alignment wrapText="1"/>
    </xf>
    <xf numFmtId="0" fontId="4" fillId="0" borderId="33" xfId="3" applyBorder="1"/>
    <xf numFmtId="168" fontId="4" fillId="0" borderId="0" xfId="3" applyNumberFormat="1" applyAlignment="1">
      <alignment horizontal="right"/>
    </xf>
    <xf numFmtId="0" fontId="4" fillId="0" borderId="0" xfId="3" applyAlignment="1">
      <alignment horizontal="right"/>
    </xf>
    <xf numFmtId="8" fontId="4" fillId="0" borderId="8" xfId="3" applyNumberFormat="1" applyBorder="1" applyAlignment="1">
      <alignment horizontal="right" shrinkToFit="1"/>
    </xf>
    <xf numFmtId="8" fontId="4" fillId="0" borderId="11" xfId="3" applyNumberFormat="1" applyBorder="1" applyAlignment="1">
      <alignment horizontal="right" shrinkToFit="1"/>
    </xf>
    <xf numFmtId="0" fontId="4" fillId="2" borderId="33" xfId="3" applyFill="1" applyBorder="1"/>
    <xf numFmtId="0" fontId="21" fillId="7" borderId="46" xfId="0" applyFont="1" applyFill="1" applyBorder="1" applyAlignment="1">
      <alignment horizontal="right"/>
    </xf>
    <xf numFmtId="8" fontId="21" fillId="7" borderId="46" xfId="0" applyNumberFormat="1" applyFont="1" applyFill="1" applyBorder="1" applyAlignment="1">
      <alignment horizontal="right"/>
    </xf>
    <xf numFmtId="8" fontId="23" fillId="7" borderId="46" xfId="0" applyNumberFormat="1" applyFont="1" applyFill="1" applyBorder="1"/>
    <xf numFmtId="8" fontId="23" fillId="7" borderId="47" xfId="0" applyNumberFormat="1" applyFont="1" applyFill="1" applyBorder="1"/>
    <xf numFmtId="0" fontId="23" fillId="8" borderId="48" xfId="0" applyFont="1" applyFill="1" applyBorder="1"/>
    <xf numFmtId="0" fontId="23" fillId="8" borderId="51" xfId="0" applyFont="1" applyFill="1" applyBorder="1"/>
    <xf numFmtId="0" fontId="3" fillId="0" borderId="0" xfId="0" applyFont="1" applyProtection="1">
      <protection locked="0"/>
    </xf>
    <xf numFmtId="167" fontId="4" fillId="3" borderId="58" xfId="3" applyNumberFormat="1" applyFill="1" applyBorder="1" applyAlignment="1" applyProtection="1">
      <alignment horizontal="right"/>
      <protection locked="0"/>
    </xf>
    <xf numFmtId="0" fontId="8" fillId="0" borderId="26" xfId="3" applyFont="1" applyBorder="1" applyAlignment="1">
      <alignment wrapText="1"/>
    </xf>
    <xf numFmtId="167" fontId="4" fillId="0" borderId="27" xfId="3" applyNumberFormat="1" applyBorder="1" applyAlignment="1">
      <alignment horizontal="right"/>
    </xf>
    <xf numFmtId="0" fontId="0" fillId="0" borderId="0" xfId="0" applyAlignment="1">
      <alignment horizontal="right"/>
    </xf>
    <xf numFmtId="0" fontId="0" fillId="0" borderId="0" xfId="0" applyAlignment="1">
      <alignment horizontal="left" indent="1"/>
    </xf>
    <xf numFmtId="167" fontId="4" fillId="3" borderId="63" xfId="3" applyNumberFormat="1" applyFill="1" applyBorder="1" applyAlignment="1" applyProtection="1">
      <alignment horizontal="right"/>
      <protection locked="0"/>
    </xf>
    <xf numFmtId="167" fontId="4" fillId="3" borderId="66" xfId="3" applyNumberFormat="1" applyFill="1" applyBorder="1" applyAlignment="1" applyProtection="1">
      <alignment horizontal="right"/>
      <protection locked="0"/>
    </xf>
    <xf numFmtId="0" fontId="7" fillId="3" borderId="13" xfId="3" applyFont="1" applyFill="1" applyBorder="1" applyAlignment="1" applyProtection="1">
      <alignment horizontal="left"/>
      <protection locked="0"/>
    </xf>
    <xf numFmtId="164" fontId="7" fillId="3" borderId="18" xfId="3" applyNumberFormat="1" applyFont="1" applyFill="1" applyBorder="1" applyAlignment="1" applyProtection="1">
      <alignment horizontal="left"/>
      <protection locked="0"/>
    </xf>
    <xf numFmtId="0" fontId="26" fillId="10" borderId="37" xfId="0" applyFont="1" applyFill="1" applyBorder="1" applyAlignment="1" applyProtection="1">
      <alignment horizontal="left"/>
      <protection locked="0"/>
    </xf>
    <xf numFmtId="0" fontId="26" fillId="10" borderId="24" xfId="0" applyFont="1" applyFill="1" applyBorder="1" applyAlignment="1" applyProtection="1">
      <alignment horizontal="left"/>
      <protection locked="0"/>
    </xf>
    <xf numFmtId="0" fontId="26" fillId="5" borderId="24" xfId="0" applyFont="1" applyFill="1" applyBorder="1" applyAlignment="1">
      <alignment horizontal="left"/>
    </xf>
    <xf numFmtId="0" fontId="25" fillId="0" borderId="68" xfId="0" applyFont="1" applyBorder="1" applyAlignment="1">
      <alignment horizontal="left"/>
    </xf>
    <xf numFmtId="0" fontId="25" fillId="0" borderId="68" xfId="0" applyFont="1" applyBorder="1" applyAlignment="1">
      <alignment wrapText="1"/>
    </xf>
    <xf numFmtId="0" fontId="25" fillId="9" borderId="68" xfId="0" applyFont="1" applyFill="1" applyBorder="1" applyAlignment="1">
      <alignment wrapText="1"/>
    </xf>
    <xf numFmtId="0" fontId="25" fillId="0" borderId="69" xfId="0" applyFont="1" applyBorder="1" applyAlignment="1">
      <alignment wrapText="1"/>
    </xf>
    <xf numFmtId="0" fontId="0" fillId="0" borderId="0" xfId="0" applyAlignment="1">
      <alignment horizontal="left"/>
    </xf>
    <xf numFmtId="0" fontId="27" fillId="4" borderId="0" xfId="74" applyFill="1" applyBorder="1"/>
    <xf numFmtId="0" fontId="4" fillId="4" borderId="0" xfId="45" applyFill="1"/>
    <xf numFmtId="167" fontId="0" fillId="0" borderId="0" xfId="0" applyNumberFormat="1" applyAlignment="1">
      <alignment horizontal="left" indent="1"/>
    </xf>
    <xf numFmtId="168" fontId="2" fillId="0" borderId="16" xfId="2" applyNumberFormat="1" applyFont="1" applyBorder="1"/>
    <xf numFmtId="0" fontId="0" fillId="4" borderId="3" xfId="0" applyFill="1" applyBorder="1"/>
    <xf numFmtId="0" fontId="0" fillId="4" borderId="4" xfId="0" applyFill="1" applyBorder="1"/>
    <xf numFmtId="0" fontId="0" fillId="4" borderId="5" xfId="0" applyFill="1" applyBorder="1"/>
    <xf numFmtId="0" fontId="0" fillId="4" borderId="0" xfId="0" applyFill="1"/>
    <xf numFmtId="0" fontId="0" fillId="4" borderId="56" xfId="0" applyFill="1" applyBorder="1"/>
    <xf numFmtId="0" fontId="0" fillId="4" borderId="41" xfId="0" applyFill="1" applyBorder="1"/>
    <xf numFmtId="0" fontId="41" fillId="4" borderId="30" xfId="0" applyFont="1" applyFill="1" applyBorder="1" applyAlignment="1">
      <alignment horizontal="left" vertical="center"/>
    </xf>
    <xf numFmtId="0" fontId="0" fillId="4" borderId="80" xfId="0" applyFill="1" applyBorder="1"/>
    <xf numFmtId="0" fontId="0" fillId="4" borderId="61" xfId="0" applyFill="1" applyBorder="1"/>
    <xf numFmtId="0" fontId="41" fillId="4" borderId="28" xfId="0" applyFont="1" applyFill="1" applyBorder="1" applyAlignment="1">
      <alignment horizontal="left" vertical="center"/>
    </xf>
    <xf numFmtId="0" fontId="41" fillId="4" borderId="29" xfId="0" applyFont="1" applyFill="1" applyBorder="1" applyAlignment="1">
      <alignment horizontal="left" vertical="center"/>
    </xf>
    <xf numFmtId="0" fontId="0" fillId="4" borderId="81" xfId="0" applyFill="1" applyBorder="1"/>
    <xf numFmtId="0" fontId="0" fillId="13" borderId="26" xfId="0" applyFill="1" applyBorder="1" applyAlignment="1" applyProtection="1">
      <alignment horizontal="left"/>
      <protection locked="0"/>
    </xf>
    <xf numFmtId="0" fontId="0" fillId="13" borderId="37" xfId="0" applyFill="1" applyBorder="1" applyAlignment="1" applyProtection="1">
      <alignment horizontal="left"/>
      <protection locked="0"/>
    </xf>
    <xf numFmtId="0" fontId="41" fillId="4" borderId="90" xfId="0" applyFont="1" applyFill="1" applyBorder="1" applyAlignment="1">
      <alignment horizontal="left" vertical="center"/>
    </xf>
    <xf numFmtId="0" fontId="41" fillId="4" borderId="80" xfId="0" applyFont="1" applyFill="1" applyBorder="1" applyAlignment="1">
      <alignment horizontal="left" vertical="center"/>
    </xf>
    <xf numFmtId="0" fontId="0" fillId="13" borderId="70" xfId="0" applyFill="1" applyBorder="1" applyAlignment="1" applyProtection="1">
      <alignment horizontal="left" indent="1"/>
      <protection locked="0"/>
    </xf>
    <xf numFmtId="0" fontId="0" fillId="13" borderId="0" xfId="0" applyFill="1" applyAlignment="1" applyProtection="1">
      <alignment horizontal="center"/>
      <protection locked="0"/>
    </xf>
    <xf numFmtId="0" fontId="0" fillId="13" borderId="41" xfId="0" applyFill="1" applyBorder="1" applyAlignment="1" applyProtection="1">
      <alignment horizontal="right" indent="1"/>
      <protection locked="0"/>
    </xf>
    <xf numFmtId="0" fontId="41" fillId="4" borderId="30" xfId="0" applyFont="1" applyFill="1" applyBorder="1" applyAlignment="1">
      <alignment vertical="center"/>
    </xf>
    <xf numFmtId="0" fontId="41" fillId="4" borderId="70" xfId="0" applyFont="1" applyFill="1" applyBorder="1" applyAlignment="1">
      <alignment vertical="center"/>
    </xf>
    <xf numFmtId="0" fontId="41" fillId="4" borderId="38" xfId="0" applyFont="1" applyFill="1" applyBorder="1" applyAlignment="1">
      <alignment vertical="center"/>
    </xf>
    <xf numFmtId="0" fontId="41" fillId="4" borderId="70" xfId="0" applyFont="1" applyFill="1" applyBorder="1" applyAlignment="1">
      <alignment horizontal="left" vertical="center"/>
    </xf>
    <xf numFmtId="0" fontId="43" fillId="4" borderId="38" xfId="0" applyFont="1" applyFill="1" applyBorder="1"/>
    <xf numFmtId="0" fontId="43" fillId="4" borderId="83" xfId="0" applyFont="1" applyFill="1" applyBorder="1" applyAlignment="1">
      <alignment horizontal="left" indent="5"/>
    </xf>
    <xf numFmtId="0" fontId="43" fillId="4" borderId="58" xfId="0" applyFont="1" applyFill="1" applyBorder="1" applyAlignment="1">
      <alignment horizontal="left"/>
    </xf>
    <xf numFmtId="0" fontId="0" fillId="4" borderId="80" xfId="0" applyFill="1" applyBorder="1" applyAlignment="1">
      <alignment horizontal="left" indent="5"/>
    </xf>
    <xf numFmtId="0" fontId="0" fillId="4" borderId="61" xfId="0" applyFill="1" applyBorder="1" applyAlignment="1">
      <alignment horizontal="left"/>
    </xf>
    <xf numFmtId="0" fontId="43" fillId="4" borderId="92" xfId="0" applyFont="1" applyFill="1" applyBorder="1"/>
    <xf numFmtId="0" fontId="43" fillId="4" borderId="91" xfId="0" applyFont="1" applyFill="1" applyBorder="1" applyAlignment="1">
      <alignment horizontal="left" indent="5"/>
    </xf>
    <xf numFmtId="0" fontId="43" fillId="4" borderId="57" xfId="0" applyFont="1" applyFill="1" applyBorder="1" applyAlignment="1">
      <alignment horizontal="left"/>
    </xf>
    <xf numFmtId="0" fontId="41" fillId="4" borderId="56" xfId="0" applyFont="1" applyFill="1" applyBorder="1" applyAlignment="1">
      <alignment horizontal="left" vertical="center"/>
    </xf>
    <xf numFmtId="0" fontId="41" fillId="4" borderId="0" xfId="0" applyFont="1" applyFill="1" applyAlignment="1">
      <alignment horizontal="left" vertical="center"/>
    </xf>
    <xf numFmtId="0" fontId="41" fillId="4" borderId="81" xfId="0" applyFont="1" applyFill="1" applyBorder="1" applyAlignment="1">
      <alignment horizontal="left" vertical="center"/>
    </xf>
    <xf numFmtId="14" fontId="0" fillId="13" borderId="71" xfId="0" applyNumberFormat="1" applyFill="1" applyBorder="1" applyAlignment="1" applyProtection="1">
      <alignment horizontal="left"/>
      <protection locked="0"/>
    </xf>
    <xf numFmtId="0" fontId="23" fillId="0" borderId="49" xfId="0" applyFont="1" applyBorder="1" applyAlignment="1">
      <alignment horizontal="center"/>
    </xf>
    <xf numFmtId="44" fontId="0" fillId="0" borderId="24" xfId="1" applyFont="1" applyFill="1" applyBorder="1" applyProtection="1"/>
    <xf numFmtId="8" fontId="23" fillId="0" borderId="49" xfId="0" applyNumberFormat="1" applyFont="1" applyBorder="1"/>
    <xf numFmtId="8" fontId="23" fillId="0" borderId="52" xfId="0" applyNumberFormat="1" applyFont="1" applyBorder="1"/>
    <xf numFmtId="0" fontId="0" fillId="0" borderId="0" xfId="0" applyAlignment="1">
      <alignment vertical="center"/>
    </xf>
    <xf numFmtId="0" fontId="47" fillId="0" borderId="13" xfId="0" applyFont="1" applyBorder="1" applyAlignment="1">
      <alignment vertical="center"/>
    </xf>
    <xf numFmtId="0" fontId="47" fillId="0" borderId="14" xfId="0" applyFont="1" applyBorder="1" applyAlignment="1">
      <alignment vertical="center"/>
    </xf>
    <xf numFmtId="0" fontId="48" fillId="0" borderId="14" xfId="0" applyFont="1"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49" fillId="0" borderId="0" xfId="0" applyFont="1" applyAlignment="1">
      <alignment vertical="center"/>
    </xf>
    <xf numFmtId="0" fontId="48" fillId="0" borderId="0" xfId="0" applyFont="1" applyAlignment="1">
      <alignment vertical="center"/>
    </xf>
    <xf numFmtId="0" fontId="50" fillId="0" borderId="0" xfId="0" applyFont="1" applyAlignment="1">
      <alignment vertical="center"/>
    </xf>
    <xf numFmtId="0" fontId="0" fillId="0" borderId="0" xfId="0" applyAlignment="1">
      <alignment horizontal="center" vertical="center"/>
    </xf>
    <xf numFmtId="0" fontId="50" fillId="0" borderId="0" xfId="0" applyFont="1" applyAlignment="1">
      <alignment horizontal="center" vertical="center"/>
    </xf>
    <xf numFmtId="0" fontId="51" fillId="0" borderId="0" xfId="0" applyFont="1" applyAlignment="1">
      <alignment vertical="center"/>
    </xf>
    <xf numFmtId="0" fontId="52" fillId="0" borderId="0" xfId="0" applyFont="1" applyAlignment="1">
      <alignment vertical="center"/>
    </xf>
    <xf numFmtId="0" fontId="51" fillId="0" borderId="0" xfId="0" applyFont="1" applyAlignment="1">
      <alignment horizontal="center" vertical="center"/>
    </xf>
    <xf numFmtId="0" fontId="53" fillId="0" borderId="35" xfId="0" applyFont="1" applyBorder="1" applyAlignment="1">
      <alignment horizontal="center" vertical="center"/>
    </xf>
    <xf numFmtId="0" fontId="53" fillId="0" borderId="35" xfId="0" applyFont="1" applyBorder="1" applyAlignment="1">
      <alignment vertical="center"/>
    </xf>
    <xf numFmtId="49" fontId="52" fillId="13" borderId="83" xfId="0" applyNumberFormat="1" applyFont="1" applyFill="1" applyBorder="1" applyAlignment="1" applyProtection="1">
      <alignment horizontal="center" vertical="center"/>
      <protection locked="0"/>
    </xf>
    <xf numFmtId="44" fontId="51" fillId="13" borderId="24" xfId="1" applyFont="1" applyFill="1" applyBorder="1" applyAlignment="1" applyProtection="1">
      <alignment vertical="center"/>
      <protection locked="0"/>
    </xf>
    <xf numFmtId="44" fontId="51" fillId="13" borderId="37" xfId="1" applyFont="1" applyFill="1" applyBorder="1" applyAlignment="1" applyProtection="1">
      <alignment vertical="center"/>
      <protection locked="0"/>
    </xf>
    <xf numFmtId="44" fontId="51" fillId="13" borderId="34" xfId="1" applyFont="1" applyFill="1" applyBorder="1" applyAlignment="1" applyProtection="1">
      <alignment vertical="center"/>
      <protection locked="0"/>
    </xf>
    <xf numFmtId="44" fontId="51" fillId="0" borderId="37" xfId="1" applyFont="1" applyFill="1" applyBorder="1" applyAlignment="1" applyProtection="1">
      <alignment horizontal="center" vertical="center"/>
    </xf>
    <xf numFmtId="44" fontId="51" fillId="0" borderId="24" xfId="1" applyFont="1" applyFill="1" applyBorder="1" applyAlignment="1" applyProtection="1">
      <alignment horizontal="center" vertical="center"/>
    </xf>
    <xf numFmtId="44" fontId="51" fillId="0" borderId="34" xfId="1" applyFont="1" applyFill="1" applyBorder="1" applyAlignment="1" applyProtection="1">
      <alignment horizontal="center" vertical="center"/>
    </xf>
    <xf numFmtId="0" fontId="0" fillId="0" borderId="0" xfId="0" applyAlignment="1">
      <alignment horizontal="right" vertical="center"/>
    </xf>
    <xf numFmtId="0" fontId="0" fillId="0" borderId="0" xfId="0" applyAlignment="1">
      <alignment horizontal="left" vertical="center"/>
    </xf>
    <xf numFmtId="167" fontId="52" fillId="13" borderId="37" xfId="1" applyNumberFormat="1" applyFont="1" applyFill="1" applyBorder="1" applyAlignment="1" applyProtection="1">
      <alignment vertical="center"/>
      <protection locked="0"/>
    </xf>
    <xf numFmtId="167" fontId="52" fillId="13" borderId="24" xfId="1" applyNumberFormat="1" applyFont="1" applyFill="1" applyBorder="1" applyAlignment="1" applyProtection="1">
      <alignment vertical="center"/>
      <protection locked="0"/>
    </xf>
    <xf numFmtId="167" fontId="52" fillId="13" borderId="34" xfId="1" applyNumberFormat="1" applyFont="1" applyFill="1" applyBorder="1" applyAlignment="1" applyProtection="1">
      <alignment vertical="center"/>
      <protection locked="0"/>
    </xf>
    <xf numFmtId="0" fontId="51" fillId="13" borderId="37" xfId="1" applyNumberFormat="1" applyFont="1" applyFill="1" applyBorder="1" applyAlignment="1" applyProtection="1">
      <alignment horizontal="center" vertical="center"/>
      <protection locked="0"/>
    </xf>
    <xf numFmtId="0" fontId="51" fillId="13" borderId="24" xfId="1" applyNumberFormat="1" applyFont="1" applyFill="1" applyBorder="1" applyAlignment="1" applyProtection="1">
      <alignment horizontal="center" vertical="center"/>
      <protection locked="0"/>
    </xf>
    <xf numFmtId="0" fontId="51" fillId="13" borderId="34" xfId="1" applyNumberFormat="1" applyFont="1" applyFill="1" applyBorder="1" applyAlignment="1" applyProtection="1">
      <alignment horizontal="center" vertical="center"/>
      <protection locked="0"/>
    </xf>
    <xf numFmtId="0" fontId="54" fillId="0" borderId="93" xfId="1" applyNumberFormat="1" applyFont="1" applyBorder="1" applyAlignment="1" applyProtection="1">
      <alignment horizontal="center" vertical="center"/>
    </xf>
    <xf numFmtId="167" fontId="54" fillId="0" borderId="93" xfId="1" applyNumberFormat="1" applyFont="1" applyBorder="1" applyAlignment="1" applyProtection="1">
      <alignment horizontal="center" vertical="center"/>
    </xf>
    <xf numFmtId="40" fontId="54" fillId="0" borderId="93" xfId="1" applyNumberFormat="1" applyFont="1" applyBorder="1" applyAlignment="1" applyProtection="1">
      <alignment horizontal="center" vertical="center"/>
    </xf>
    <xf numFmtId="0" fontId="0" fillId="13" borderId="24" xfId="0" applyFill="1" applyBorder="1" applyAlignment="1" applyProtection="1">
      <alignment horizontal="center" vertical="center"/>
      <protection locked="0"/>
    </xf>
    <xf numFmtId="0" fontId="50" fillId="0" borderId="0" xfId="0" applyFont="1" applyAlignment="1">
      <alignment horizontal="right" vertical="center" indent="1"/>
    </xf>
    <xf numFmtId="0" fontId="2" fillId="0" borderId="0" xfId="0" applyFont="1" applyAlignment="1">
      <alignment horizontal="right"/>
    </xf>
    <xf numFmtId="168" fontId="0" fillId="10" borderId="24" xfId="2" applyNumberFormat="1" applyFont="1" applyFill="1" applyBorder="1" applyProtection="1">
      <protection locked="0"/>
    </xf>
    <xf numFmtId="168" fontId="0" fillId="10" borderId="29" xfId="2" applyNumberFormat="1" applyFont="1" applyFill="1" applyBorder="1" applyProtection="1">
      <protection locked="0"/>
    </xf>
    <xf numFmtId="9" fontId="23" fillId="0" borderId="95" xfId="2" applyFont="1" applyFill="1" applyBorder="1" applyAlignment="1" applyProtection="1">
      <alignment horizontal="center"/>
    </xf>
    <xf numFmtId="0" fontId="23" fillId="10" borderId="95" xfId="0" applyFont="1" applyFill="1" applyBorder="1" applyAlignment="1" applyProtection="1">
      <alignment horizontal="center"/>
      <protection locked="0"/>
    </xf>
    <xf numFmtId="0" fontId="0" fillId="0" borderId="0" xfId="0" applyAlignment="1">
      <alignment horizontal="center"/>
    </xf>
    <xf numFmtId="9" fontId="23" fillId="0" borderId="96" xfId="2" applyFont="1" applyFill="1" applyBorder="1" applyAlignment="1" applyProtection="1">
      <alignment horizontal="center"/>
    </xf>
    <xf numFmtId="8" fontId="23" fillId="12" borderId="50" xfId="0" applyNumberFormat="1" applyFont="1" applyFill="1" applyBorder="1"/>
    <xf numFmtId="8" fontId="23" fillId="15" borderId="50" xfId="0" applyNumberFormat="1" applyFont="1" applyFill="1" applyBorder="1"/>
    <xf numFmtId="8" fontId="23" fillId="15" borderId="53" xfId="0" applyNumberFormat="1" applyFont="1" applyFill="1" applyBorder="1"/>
    <xf numFmtId="8" fontId="23" fillId="16" borderId="50" xfId="0" applyNumberFormat="1" applyFont="1" applyFill="1" applyBorder="1"/>
    <xf numFmtId="0" fontId="21" fillId="7" borderId="99" xfId="0" applyFont="1" applyFill="1" applyBorder="1" applyAlignment="1">
      <alignment horizontal="center" vertical="center" wrapText="1"/>
    </xf>
    <xf numFmtId="0" fontId="21" fillId="7" borderId="100" xfId="0" applyFont="1" applyFill="1" applyBorder="1" applyAlignment="1">
      <alignment horizontal="center" vertical="center" wrapText="1"/>
    </xf>
    <xf numFmtId="8" fontId="21" fillId="7" borderId="100" xfId="0" applyNumberFormat="1" applyFont="1" applyFill="1" applyBorder="1" applyAlignment="1">
      <alignment horizontal="center" vertical="center" wrapText="1"/>
    </xf>
    <xf numFmtId="8" fontId="21" fillId="7" borderId="97" xfId="0" applyNumberFormat="1" applyFont="1" applyFill="1" applyBorder="1" applyAlignment="1">
      <alignment horizontal="center" vertical="center" wrapText="1"/>
    </xf>
    <xf numFmtId="0" fontId="23" fillId="10" borderId="96" xfId="0" applyFont="1" applyFill="1" applyBorder="1" applyAlignment="1" applyProtection="1">
      <alignment horizontal="center"/>
      <protection locked="0"/>
    </xf>
    <xf numFmtId="8" fontId="23" fillId="16" borderId="53" xfId="0" applyNumberFormat="1" applyFont="1" applyFill="1" applyBorder="1"/>
    <xf numFmtId="0" fontId="14" fillId="7" borderId="98" xfId="0" applyFont="1" applyFill="1" applyBorder="1" applyAlignment="1">
      <alignment horizontal="center" vertical="center" wrapText="1"/>
    </xf>
    <xf numFmtId="0" fontId="60" fillId="0" borderId="0" xfId="0" applyFont="1" applyAlignment="1">
      <alignment horizontal="center"/>
    </xf>
    <xf numFmtId="0" fontId="60" fillId="0" borderId="0" xfId="0" applyFont="1" applyAlignment="1">
      <alignment horizontal="center" vertical="center"/>
    </xf>
    <xf numFmtId="0" fontId="61" fillId="0" borderId="24" xfId="0" applyFont="1" applyBorder="1" applyAlignment="1">
      <alignment horizontal="center" vertical="center"/>
    </xf>
    <xf numFmtId="44" fontId="61" fillId="0" borderId="24" xfId="1" applyFont="1" applyFill="1" applyBorder="1" applyAlignment="1">
      <alignment horizontal="center" vertical="center"/>
    </xf>
    <xf numFmtId="0" fontId="0" fillId="10" borderId="24" xfId="0" applyFill="1" applyBorder="1" applyAlignment="1" applyProtection="1">
      <alignment horizontal="center"/>
      <protection locked="0"/>
    </xf>
    <xf numFmtId="0" fontId="0" fillId="10" borderId="0" xfId="0" applyFill="1" applyAlignment="1" applyProtection="1">
      <alignment horizontal="center"/>
      <protection locked="0"/>
    </xf>
    <xf numFmtId="44" fontId="58" fillId="14" borderId="94" xfId="77" applyNumberFormat="1" applyAlignment="1">
      <alignment horizontal="center"/>
    </xf>
    <xf numFmtId="0" fontId="60" fillId="0" borderId="0" xfId="0" applyFont="1" applyAlignment="1" applyProtection="1">
      <alignment horizontal="center" vertical="center"/>
      <protection locked="0"/>
    </xf>
    <xf numFmtId="0" fontId="0" fillId="0" borderId="24" xfId="0" applyBorder="1" applyAlignment="1">
      <alignment horizontal="center"/>
    </xf>
    <xf numFmtId="44" fontId="0" fillId="0" borderId="0" xfId="0" applyNumberFormat="1" applyAlignment="1">
      <alignment horizontal="center"/>
    </xf>
    <xf numFmtId="0" fontId="0" fillId="0" borderId="4" xfId="0" applyBorder="1"/>
    <xf numFmtId="167" fontId="4" fillId="0" borderId="66" xfId="3" applyNumberFormat="1" applyBorder="1" applyAlignment="1">
      <alignment horizontal="right"/>
    </xf>
    <xf numFmtId="168" fontId="4" fillId="3" borderId="24" xfId="2" applyNumberFormat="1" applyFont="1" applyFill="1" applyBorder="1" applyAlignment="1" applyProtection="1">
      <alignment horizontal="center"/>
      <protection locked="0"/>
    </xf>
    <xf numFmtId="0" fontId="4" fillId="0" borderId="0" xfId="3" applyAlignment="1">
      <alignment horizontal="center"/>
    </xf>
    <xf numFmtId="0" fontId="28" fillId="0" borderId="0" xfId="0" applyFont="1" applyAlignment="1">
      <alignment horizontal="center"/>
    </xf>
    <xf numFmtId="0" fontId="29" fillId="0" borderId="0" xfId="0" applyFont="1" applyAlignment="1">
      <alignment horizontal="center"/>
    </xf>
    <xf numFmtId="0" fontId="3" fillId="0" borderId="0" xfId="0" applyFont="1" applyAlignment="1" applyProtection="1">
      <alignment horizontal="center"/>
      <protection locked="0"/>
    </xf>
    <xf numFmtId="167" fontId="4" fillId="3" borderId="24" xfId="1" applyNumberFormat="1" applyFont="1" applyFill="1" applyBorder="1" applyAlignment="1" applyProtection="1">
      <alignment horizontal="center"/>
      <protection locked="0"/>
    </xf>
    <xf numFmtId="167" fontId="4" fillId="0" borderId="24" xfId="3" applyNumberFormat="1" applyBorder="1" applyAlignment="1">
      <alignment horizontal="center"/>
    </xf>
    <xf numFmtId="167" fontId="4" fillId="0" borderId="16" xfId="3" applyNumberFormat="1" applyBorder="1" applyAlignment="1">
      <alignment horizontal="center"/>
    </xf>
    <xf numFmtId="9" fontId="4" fillId="3" borderId="24" xfId="2" applyFont="1" applyFill="1" applyBorder="1" applyAlignment="1" applyProtection="1">
      <alignment horizontal="center"/>
      <protection locked="0"/>
    </xf>
    <xf numFmtId="0" fontId="4" fillId="3" borderId="24" xfId="2" applyNumberFormat="1" applyFont="1" applyFill="1" applyBorder="1" applyAlignment="1" applyProtection="1">
      <alignment horizontal="center"/>
      <protection locked="0"/>
    </xf>
    <xf numFmtId="44" fontId="0" fillId="0" borderId="0" xfId="1" applyFont="1" applyBorder="1" applyAlignment="1">
      <alignment horizontal="center"/>
    </xf>
    <xf numFmtId="0" fontId="0" fillId="0" borderId="0" xfId="0" applyAlignment="1">
      <alignment horizontal="right" indent="1"/>
    </xf>
    <xf numFmtId="0" fontId="5" fillId="0" borderId="45" xfId="73" applyAlignment="1">
      <alignment horizontal="center"/>
    </xf>
    <xf numFmtId="0" fontId="63" fillId="0" borderId="103" xfId="78" applyFill="1" applyAlignment="1">
      <alignment horizontal="left"/>
    </xf>
    <xf numFmtId="0" fontId="0" fillId="0" borderId="0" xfId="0" applyAlignment="1">
      <alignment horizontal="center" wrapText="1"/>
    </xf>
    <xf numFmtId="44" fontId="0" fillId="0" borderId="24" xfId="1" applyFont="1" applyBorder="1" applyAlignment="1">
      <alignment horizontal="center"/>
    </xf>
    <xf numFmtId="14" fontId="0" fillId="3" borderId="0" xfId="0" applyNumberFormat="1" applyFill="1" applyAlignment="1">
      <alignment horizontal="center"/>
    </xf>
    <xf numFmtId="44" fontId="0" fillId="0" borderId="24" xfId="1" applyFont="1" applyFill="1" applyBorder="1" applyAlignment="1">
      <alignment horizontal="center"/>
    </xf>
    <xf numFmtId="49" fontId="0" fillId="0" borderId="24" xfId="0" applyNumberFormat="1" applyBorder="1" applyAlignment="1">
      <alignment horizontal="center"/>
    </xf>
    <xf numFmtId="49" fontId="0" fillId="0" borderId="0" xfId="0" applyNumberFormat="1" applyAlignment="1">
      <alignment horizontal="center"/>
    </xf>
    <xf numFmtId="44" fontId="0" fillId="0" borderId="0" xfId="1" applyFont="1" applyFill="1" applyBorder="1" applyAlignment="1">
      <alignment horizontal="center"/>
    </xf>
    <xf numFmtId="16" fontId="0" fillId="0" borderId="24" xfId="0" applyNumberFormat="1" applyBorder="1" applyAlignment="1">
      <alignment horizontal="center"/>
    </xf>
    <xf numFmtId="0" fontId="66" fillId="0" borderId="0" xfId="0" applyFont="1"/>
    <xf numFmtId="0" fontId="3" fillId="0" borderId="0" xfId="0" applyFont="1"/>
    <xf numFmtId="44" fontId="1" fillId="0" borderId="24" xfId="1" applyFont="1" applyBorder="1" applyAlignment="1">
      <alignment horizontal="center"/>
    </xf>
    <xf numFmtId="44" fontId="1" fillId="0" borderId="24" xfId="0" applyNumberFormat="1" applyFont="1" applyBorder="1" applyAlignment="1">
      <alignment horizontal="center"/>
    </xf>
    <xf numFmtId="0" fontId="1" fillId="0" borderId="24" xfId="0" applyFont="1" applyBorder="1" applyAlignment="1">
      <alignment horizontal="center"/>
    </xf>
    <xf numFmtId="10" fontId="2" fillId="0" borderId="15" xfId="2" applyNumberFormat="1" applyFont="1" applyBorder="1" applyAlignment="1"/>
    <xf numFmtId="167" fontId="3" fillId="0" borderId="0" xfId="0" applyNumberFormat="1" applyFont="1"/>
    <xf numFmtId="0" fontId="67" fillId="0" borderId="23" xfId="3" applyFont="1" applyBorder="1"/>
    <xf numFmtId="165" fontId="4" fillId="0" borderId="0" xfId="3" applyNumberFormat="1" applyAlignment="1">
      <alignment horizontal="left" indent="1"/>
    </xf>
    <xf numFmtId="167" fontId="51" fillId="13" borderId="24" xfId="1" applyNumberFormat="1" applyFont="1" applyFill="1" applyBorder="1" applyAlignment="1" applyProtection="1">
      <alignment vertical="center"/>
      <protection locked="0"/>
    </xf>
    <xf numFmtId="0" fontId="55" fillId="17" borderId="1" xfId="0" applyFont="1" applyFill="1" applyBorder="1" applyAlignment="1">
      <alignment horizontal="left" vertical="center"/>
    </xf>
    <xf numFmtId="0" fontId="0" fillId="17" borderId="1" xfId="0" applyFill="1" applyBorder="1" applyAlignment="1">
      <alignment vertical="center"/>
    </xf>
    <xf numFmtId="0" fontId="0" fillId="17" borderId="1" xfId="0" applyFill="1" applyBorder="1" applyAlignment="1">
      <alignment horizontal="left" vertical="center"/>
    </xf>
    <xf numFmtId="0" fontId="0" fillId="17" borderId="0" xfId="0" applyFill="1" applyAlignment="1">
      <alignment vertical="center"/>
    </xf>
    <xf numFmtId="0" fontId="0" fillId="17" borderId="0" xfId="0" applyFill="1" applyAlignment="1">
      <alignment horizontal="right" vertical="center"/>
    </xf>
    <xf numFmtId="0" fontId="0" fillId="17" borderId="0" xfId="0" applyFill="1" applyAlignment="1">
      <alignment horizontal="left" vertical="center"/>
    </xf>
    <xf numFmtId="0" fontId="0" fillId="17" borderId="0" xfId="0" applyFill="1" applyAlignment="1">
      <alignment horizontal="left" vertical="center" indent="1"/>
    </xf>
    <xf numFmtId="167" fontId="0" fillId="17" borderId="0" xfId="1" applyNumberFormat="1" applyFont="1" applyFill="1" applyAlignment="1" applyProtection="1">
      <alignment horizontal="left" vertical="center" indent="1"/>
    </xf>
    <xf numFmtId="0" fontId="0" fillId="17" borderId="1" xfId="0" applyFill="1" applyBorder="1" applyAlignment="1">
      <alignment horizontal="right" vertical="center"/>
    </xf>
    <xf numFmtId="0" fontId="0" fillId="17" borderId="1" xfId="0" applyFill="1" applyBorder="1" applyAlignment="1">
      <alignment horizontal="left" vertical="center" indent="1"/>
    </xf>
    <xf numFmtId="167" fontId="0" fillId="17" borderId="1" xfId="1" applyNumberFormat="1" applyFont="1" applyFill="1" applyBorder="1" applyAlignment="1" applyProtection="1">
      <alignment horizontal="left" vertical="center" indent="1"/>
    </xf>
    <xf numFmtId="167" fontId="0" fillId="17" borderId="0" xfId="0" applyNumberFormat="1" applyFill="1" applyAlignment="1">
      <alignment horizontal="left" vertical="center" indent="1"/>
    </xf>
    <xf numFmtId="0" fontId="55" fillId="17" borderId="1" xfId="0" applyFont="1" applyFill="1" applyBorder="1" applyAlignment="1">
      <alignment horizontal="left"/>
    </xf>
    <xf numFmtId="0" fontId="0" fillId="17" borderId="1" xfId="0" applyFill="1" applyBorder="1"/>
    <xf numFmtId="0" fontId="0" fillId="17" borderId="1" xfId="0" applyFill="1" applyBorder="1" applyAlignment="1">
      <alignment horizontal="left"/>
    </xf>
    <xf numFmtId="0" fontId="57" fillId="17" borderId="0" xfId="0" applyFont="1" applyFill="1" applyAlignment="1">
      <alignment horizontal="left" vertical="center" indent="1"/>
    </xf>
    <xf numFmtId="167" fontId="0" fillId="17" borderId="1" xfId="0" applyNumberFormat="1" applyFill="1" applyBorder="1" applyAlignment="1">
      <alignment horizontal="left" vertical="center" indent="1"/>
    </xf>
    <xf numFmtId="167" fontId="57" fillId="17" borderId="0" xfId="0" applyNumberFormat="1" applyFont="1" applyFill="1" applyAlignment="1">
      <alignment horizontal="left" vertical="center" indent="1"/>
    </xf>
    <xf numFmtId="0" fontId="0" fillId="0" borderId="0" xfId="0" quotePrefix="1" applyAlignment="1">
      <alignment horizontal="center"/>
    </xf>
    <xf numFmtId="9" fontId="58" fillId="14" borderId="94" xfId="77" quotePrefix="1" applyNumberFormat="1" applyAlignment="1">
      <alignment horizontal="center"/>
    </xf>
    <xf numFmtId="0" fontId="0" fillId="0" borderId="37" xfId="0" applyBorder="1" applyAlignment="1">
      <alignment horizontal="center"/>
    </xf>
    <xf numFmtId="170" fontId="0" fillId="0" borderId="0" xfId="0" applyNumberFormat="1" applyAlignment="1">
      <alignment horizontal="center"/>
    </xf>
    <xf numFmtId="14" fontId="0" fillId="0" borderId="0" xfId="0" applyNumberFormat="1" applyAlignment="1">
      <alignment horizontal="center"/>
    </xf>
    <xf numFmtId="14" fontId="60" fillId="0" borderId="0" xfId="0" applyNumberFormat="1" applyFont="1" applyAlignment="1">
      <alignment horizontal="center" vertical="center"/>
    </xf>
    <xf numFmtId="14" fontId="60" fillId="0" borderId="0" xfId="0" applyNumberFormat="1" applyFont="1" applyAlignment="1" applyProtection="1">
      <alignment horizontal="center" vertical="center"/>
      <protection locked="0"/>
    </xf>
    <xf numFmtId="164" fontId="61" fillId="0" borderId="24" xfId="0" applyNumberFormat="1" applyFont="1" applyBorder="1" applyAlignment="1">
      <alignment horizontal="center" vertical="center"/>
    </xf>
    <xf numFmtId="8" fontId="23" fillId="0" borderId="49" xfId="1" applyNumberFormat="1" applyFont="1" applyBorder="1" applyProtection="1"/>
    <xf numFmtId="8" fontId="23" fillId="0" borderId="52" xfId="1" applyNumberFormat="1" applyFont="1" applyBorder="1" applyProtection="1"/>
    <xf numFmtId="14" fontId="0" fillId="0" borderId="0" xfId="0" applyNumberFormat="1"/>
    <xf numFmtId="0" fontId="30" fillId="0" borderId="0" xfId="45" applyFont="1" applyAlignment="1">
      <alignment horizontal="centerContinuous"/>
    </xf>
    <xf numFmtId="0" fontId="4" fillId="0" borderId="0" xfId="45" applyAlignment="1">
      <alignment horizontal="centerContinuous"/>
    </xf>
    <xf numFmtId="0" fontId="4" fillId="0" borderId="0" xfId="45"/>
    <xf numFmtId="0" fontId="4" fillId="0" borderId="0" xfId="45" applyAlignment="1">
      <alignment horizontal="center" vertical="center"/>
    </xf>
    <xf numFmtId="0" fontId="4" fillId="0" borderId="73" xfId="45" applyBorder="1"/>
    <xf numFmtId="0" fontId="4" fillId="0" borderId="74" xfId="45" applyBorder="1"/>
    <xf numFmtId="0" fontId="4" fillId="0" borderId="75" xfId="45" applyBorder="1"/>
    <xf numFmtId="0" fontId="11" fillId="0" borderId="76" xfId="45" applyFont="1" applyBorder="1" applyAlignment="1">
      <alignment horizontal="centerContinuous"/>
    </xf>
    <xf numFmtId="0" fontId="4" fillId="0" borderId="77" xfId="45" applyBorder="1" applyAlignment="1">
      <alignment horizontal="centerContinuous"/>
    </xf>
    <xf numFmtId="49" fontId="4" fillId="0" borderId="0" xfId="45" applyNumberFormat="1"/>
    <xf numFmtId="49" fontId="4" fillId="0" borderId="77" xfId="45" applyNumberFormat="1" applyBorder="1"/>
    <xf numFmtId="49" fontId="32" fillId="0" borderId="1" xfId="45" applyNumberFormat="1" applyFont="1" applyBorder="1" applyAlignment="1">
      <alignment horizontal="left" indent="2"/>
    </xf>
    <xf numFmtId="49" fontId="32" fillId="0" borderId="87" xfId="45" applyNumberFormat="1" applyFont="1" applyBorder="1" applyAlignment="1" applyProtection="1">
      <alignment horizontal="left" indent="1"/>
      <protection locked="0"/>
    </xf>
    <xf numFmtId="49" fontId="35" fillId="0" borderId="0" xfId="45" applyNumberFormat="1" applyFont="1"/>
    <xf numFmtId="49" fontId="35" fillId="0" borderId="0" xfId="45" applyNumberFormat="1" applyFont="1" applyAlignment="1">
      <alignment horizontal="left"/>
    </xf>
    <xf numFmtId="49" fontId="31" fillId="0" borderId="76" xfId="45" applyNumberFormat="1" applyFont="1" applyBorder="1" applyProtection="1">
      <protection locked="0"/>
    </xf>
    <xf numFmtId="49" fontId="31" fillId="0" borderId="77" xfId="45" applyNumberFormat="1" applyFont="1" applyBorder="1" applyProtection="1">
      <protection locked="0"/>
    </xf>
    <xf numFmtId="49" fontId="35" fillId="0" borderId="0" xfId="45" applyNumberFormat="1" applyFont="1" applyAlignment="1">
      <alignment horizontal="right"/>
    </xf>
    <xf numFmtId="39" fontId="35" fillId="0" borderId="77" xfId="45" applyNumberFormat="1" applyFont="1" applyBorder="1"/>
    <xf numFmtId="39" fontId="32" fillId="0" borderId="76" xfId="45" applyNumberFormat="1" applyFont="1" applyBorder="1" applyAlignment="1">
      <alignment horizontal="left" indent="1"/>
    </xf>
    <xf numFmtId="39" fontId="32" fillId="0" borderId="0" xfId="45" applyNumberFormat="1" applyFont="1" applyAlignment="1">
      <alignment horizontal="left" indent="1"/>
    </xf>
    <xf numFmtId="0" fontId="4" fillId="0" borderId="76" xfId="45" applyBorder="1"/>
    <xf numFmtId="49" fontId="34" fillId="0" borderId="0" xfId="45" applyNumberFormat="1" applyFont="1"/>
    <xf numFmtId="49" fontId="31" fillId="0" borderId="77" xfId="45" applyNumberFormat="1" applyFont="1" applyBorder="1"/>
    <xf numFmtId="49" fontId="9" fillId="0" borderId="77" xfId="45" applyNumberFormat="1" applyFont="1" applyBorder="1" applyAlignment="1">
      <alignment horizontal="center"/>
    </xf>
    <xf numFmtId="49" fontId="8" fillId="0" borderId="76" xfId="45" applyNumberFormat="1" applyFont="1" applyBorder="1"/>
    <xf numFmtId="49" fontId="8" fillId="0" borderId="0" xfId="45" applyNumberFormat="1" applyFont="1"/>
    <xf numFmtId="49" fontId="8" fillId="0" borderId="0" xfId="45" applyNumberFormat="1" applyFont="1" applyAlignment="1">
      <alignment horizontal="center" vertical="center"/>
    </xf>
    <xf numFmtId="49" fontId="34" fillId="0" borderId="76" xfId="45" applyNumberFormat="1" applyFont="1" applyBorder="1" applyAlignment="1">
      <alignment horizontal="center"/>
    </xf>
    <xf numFmtId="0" fontId="4" fillId="0" borderId="77" xfId="45" applyBorder="1"/>
    <xf numFmtId="49" fontId="34" fillId="0" borderId="77" xfId="45" applyNumberFormat="1" applyFont="1" applyBorder="1"/>
    <xf numFmtId="49" fontId="4" fillId="0" borderId="12" xfId="45" applyNumberFormat="1" applyBorder="1"/>
    <xf numFmtId="49" fontId="35" fillId="0" borderId="12" xfId="45" applyNumberFormat="1" applyFont="1" applyBorder="1"/>
    <xf numFmtId="49" fontId="35" fillId="0" borderId="12" xfId="45" applyNumberFormat="1" applyFont="1" applyBorder="1" applyAlignment="1">
      <alignment horizontal="right"/>
    </xf>
    <xf numFmtId="49" fontId="4" fillId="0" borderId="88" xfId="45" applyNumberFormat="1" applyBorder="1"/>
    <xf numFmtId="49" fontId="5" fillId="0" borderId="73" xfId="45" applyNumberFormat="1" applyFont="1" applyBorder="1"/>
    <xf numFmtId="49" fontId="4" fillId="0" borderId="74" xfId="45" applyNumberFormat="1" applyBorder="1"/>
    <xf numFmtId="49" fontId="4" fillId="0" borderId="75" xfId="45" applyNumberFormat="1" applyBorder="1"/>
    <xf numFmtId="49" fontId="35" fillId="0" borderId="76" xfId="45" applyNumberFormat="1" applyFont="1" applyBorder="1"/>
    <xf numFmtId="49" fontId="4" fillId="0" borderId="1" xfId="45" applyNumberFormat="1" applyBorder="1"/>
    <xf numFmtId="49" fontId="4" fillId="0" borderId="84" xfId="45" applyNumberFormat="1" applyBorder="1"/>
    <xf numFmtId="49" fontId="4" fillId="0" borderId="76" xfId="45" applyNumberFormat="1" applyBorder="1"/>
    <xf numFmtId="49" fontId="7" fillId="0" borderId="76" xfId="45" applyNumberFormat="1" applyFont="1" applyBorder="1"/>
    <xf numFmtId="49" fontId="4" fillId="0" borderId="85" xfId="45" applyNumberFormat="1" applyBorder="1"/>
    <xf numFmtId="171" fontId="0" fillId="10" borderId="24" xfId="2" applyNumberFormat="1" applyFont="1" applyFill="1" applyBorder="1" applyProtection="1">
      <protection locked="0"/>
    </xf>
    <xf numFmtId="0" fontId="4" fillId="13" borderId="24" xfId="45" applyFill="1" applyBorder="1" applyAlignment="1" applyProtection="1">
      <alignment horizontal="center" vertical="center"/>
      <protection locked="0"/>
    </xf>
    <xf numFmtId="0" fontId="4" fillId="13" borderId="24" xfId="45" applyFill="1" applyBorder="1" applyProtection="1">
      <protection locked="0"/>
    </xf>
    <xf numFmtId="164" fontId="0" fillId="0" borderId="0" xfId="0" applyNumberFormat="1" applyAlignment="1">
      <alignment horizontal="left" vertical="center"/>
    </xf>
    <xf numFmtId="0" fontId="3" fillId="0" borderId="0" xfId="0" applyFont="1" applyAlignment="1">
      <alignment horizontal="center"/>
    </xf>
    <xf numFmtId="0" fontId="3" fillId="0" borderId="0" xfId="0" applyFont="1" applyAlignment="1">
      <alignment horizontal="left"/>
    </xf>
    <xf numFmtId="0" fontId="4" fillId="0" borderId="0" xfId="45" applyProtection="1">
      <protection locked="0"/>
    </xf>
    <xf numFmtId="0" fontId="2" fillId="0" borderId="0" xfId="0" applyFont="1" applyAlignment="1" applyProtection="1">
      <alignment horizontal="center"/>
      <protection locked="0"/>
    </xf>
    <xf numFmtId="0" fontId="0" fillId="0" borderId="0" xfId="0" applyAlignment="1" applyProtection="1">
      <alignment wrapText="1"/>
      <protection locked="0"/>
    </xf>
    <xf numFmtId="0" fontId="0" fillId="0" borderId="0" xfId="0" applyProtection="1">
      <protection locked="0"/>
    </xf>
    <xf numFmtId="49" fontId="36" fillId="0" borderId="0" xfId="45" applyNumberFormat="1" applyFont="1" applyProtection="1">
      <protection locked="0"/>
    </xf>
    <xf numFmtId="49" fontId="32" fillId="0" borderId="76" xfId="45" applyNumberFormat="1" applyFont="1" applyBorder="1" applyAlignment="1" applyProtection="1">
      <alignment horizontal="left" indent="1"/>
      <protection locked="0"/>
    </xf>
    <xf numFmtId="0" fontId="31" fillId="0" borderId="0" xfId="45" applyFont="1" applyProtection="1">
      <protection locked="0"/>
    </xf>
    <xf numFmtId="49" fontId="32" fillId="0" borderId="0" xfId="45" applyNumberFormat="1" applyFont="1" applyProtection="1">
      <protection locked="0"/>
    </xf>
    <xf numFmtId="49" fontId="33" fillId="0" borderId="80" xfId="45" applyNumberFormat="1" applyFont="1" applyBorder="1"/>
    <xf numFmtId="49" fontId="33" fillId="0" borderId="30" xfId="45" applyNumberFormat="1" applyFont="1" applyBorder="1"/>
    <xf numFmtId="44" fontId="61" fillId="3" borderId="24" xfId="1" applyFont="1" applyFill="1" applyBorder="1" applyAlignment="1">
      <alignment horizontal="center" vertical="center"/>
    </xf>
    <xf numFmtId="0" fontId="2" fillId="0" borderId="0" xfId="0" applyFont="1" applyAlignment="1">
      <alignment horizontal="center"/>
    </xf>
    <xf numFmtId="0" fontId="19" fillId="0" borderId="0" xfId="79"/>
    <xf numFmtId="44" fontId="19" fillId="0" borderId="0" xfId="1" applyFont="1" applyAlignment="1">
      <alignment horizontal="center"/>
    </xf>
    <xf numFmtId="0" fontId="72" fillId="0" borderId="105" xfId="79" applyFont="1" applyBorder="1" applyAlignment="1">
      <alignment horizontal="center"/>
    </xf>
    <xf numFmtId="44" fontId="72" fillId="0" borderId="38" xfId="1" applyFont="1" applyBorder="1" applyAlignment="1">
      <alignment horizontal="center"/>
    </xf>
    <xf numFmtId="0" fontId="72" fillId="0" borderId="24" xfId="79" applyFont="1" applyBorder="1" applyAlignment="1">
      <alignment horizontal="center"/>
    </xf>
    <xf numFmtId="44" fontId="71" fillId="0" borderId="25" xfId="1" applyFont="1" applyBorder="1" applyAlignment="1">
      <alignment horizontal="center"/>
    </xf>
    <xf numFmtId="44" fontId="71" fillId="0" borderId="25" xfId="1" applyFont="1" applyFill="1" applyBorder="1" applyAlignment="1">
      <alignment horizontal="center"/>
    </xf>
    <xf numFmtId="165" fontId="72" fillId="0" borderId="24" xfId="79" applyNumberFormat="1" applyFont="1" applyBorder="1" applyAlignment="1">
      <alignment horizontal="center"/>
    </xf>
    <xf numFmtId="0" fontId="72" fillId="0" borderId="105" xfId="79" applyFont="1" applyBorder="1" applyAlignment="1">
      <alignment horizontal="left" indent="1"/>
    </xf>
    <xf numFmtId="0" fontId="71" fillId="0" borderId="24" xfId="79" applyFont="1" applyBorder="1" applyAlignment="1">
      <alignment horizontal="left" indent="1"/>
    </xf>
    <xf numFmtId="0" fontId="19" fillId="0" borderId="0" xfId="79" applyAlignment="1">
      <alignment horizontal="left" indent="1"/>
    </xf>
    <xf numFmtId="0" fontId="71" fillId="0" borderId="24" xfId="79" applyFont="1" applyBorder="1" applyAlignment="1">
      <alignment horizontal="center"/>
    </xf>
    <xf numFmtId="0" fontId="72" fillId="0" borderId="24" xfId="79" applyFont="1" applyBorder="1" applyAlignment="1">
      <alignment horizontal="left" indent="1"/>
    </xf>
    <xf numFmtId="44" fontId="72" fillId="0" borderId="24" xfId="1" applyFont="1" applyBorder="1" applyAlignment="1">
      <alignment horizontal="center"/>
    </xf>
    <xf numFmtId="0" fontId="8" fillId="3" borderId="23" xfId="3" applyFont="1" applyFill="1" applyBorder="1" applyProtection="1">
      <protection locked="0"/>
    </xf>
    <xf numFmtId="0" fontId="4" fillId="0" borderId="72" xfId="3" applyBorder="1" applyAlignment="1">
      <alignment horizontal="right"/>
    </xf>
    <xf numFmtId="0" fontId="4" fillId="0" borderId="24" xfId="3" applyBorder="1" applyAlignment="1">
      <alignment horizontal="right"/>
    </xf>
    <xf numFmtId="9" fontId="23" fillId="0" borderId="52" xfId="2" applyFont="1" applyFill="1" applyBorder="1" applyAlignment="1" applyProtection="1">
      <alignment horizontal="center"/>
    </xf>
    <xf numFmtId="0" fontId="23" fillId="0" borderId="52" xfId="0" applyFont="1" applyBorder="1" applyAlignment="1">
      <alignment horizontal="center"/>
    </xf>
    <xf numFmtId="8" fontId="23" fillId="12" borderId="53" xfId="0" applyNumberFormat="1" applyFont="1" applyFill="1" applyBorder="1"/>
    <xf numFmtId="14" fontId="22" fillId="0" borderId="46" xfId="0" applyNumberFormat="1" applyFont="1" applyBorder="1" applyAlignment="1" applyProtection="1">
      <alignment horizontal="center"/>
      <protection locked="0"/>
    </xf>
    <xf numFmtId="14" fontId="22" fillId="0" borderId="46" xfId="0" applyNumberFormat="1" applyFont="1" applyBorder="1" applyAlignment="1">
      <alignment horizontal="center"/>
    </xf>
    <xf numFmtId="168" fontId="4" fillId="0" borderId="5" xfId="3" applyNumberFormat="1" applyBorder="1" applyAlignment="1">
      <alignment horizontal="right"/>
    </xf>
    <xf numFmtId="168" fontId="4" fillId="0" borderId="56" xfId="3" applyNumberFormat="1" applyBorder="1" applyAlignment="1">
      <alignment horizontal="right"/>
    </xf>
    <xf numFmtId="168" fontId="4" fillId="0" borderId="41" xfId="3" applyNumberFormat="1" applyBorder="1" applyAlignment="1">
      <alignment horizontal="right"/>
    </xf>
    <xf numFmtId="168" fontId="7" fillId="0" borderId="56" xfId="3" applyNumberFormat="1" applyFont="1" applyBorder="1" applyAlignment="1">
      <alignment horizontal="right"/>
    </xf>
    <xf numFmtId="168" fontId="7" fillId="0" borderId="41" xfId="3" applyNumberFormat="1" applyFont="1" applyBorder="1" applyAlignment="1">
      <alignment horizontal="right"/>
    </xf>
    <xf numFmtId="168" fontId="7" fillId="0" borderId="59" xfId="3" applyNumberFormat="1" applyFont="1" applyBorder="1" applyAlignment="1">
      <alignment horizontal="right"/>
    </xf>
    <xf numFmtId="168" fontId="7" fillId="0" borderId="58" xfId="3" applyNumberFormat="1" applyFont="1" applyBorder="1" applyAlignment="1">
      <alignment horizontal="right"/>
    </xf>
    <xf numFmtId="168" fontId="4" fillId="0" borderId="3" xfId="3" applyNumberFormat="1" applyBorder="1" applyAlignment="1">
      <alignment horizontal="right" wrapText="1"/>
    </xf>
    <xf numFmtId="168" fontId="4" fillId="0" borderId="5" xfId="3" applyNumberFormat="1" applyBorder="1" applyAlignment="1">
      <alignment horizontal="right" wrapText="1"/>
    </xf>
    <xf numFmtId="168" fontId="7" fillId="0" borderId="17" xfId="3" applyNumberFormat="1" applyFont="1" applyBorder="1" applyAlignment="1">
      <alignment horizontal="right"/>
    </xf>
    <xf numFmtId="168" fontId="7" fillId="0" borderId="57" xfId="3" applyNumberFormat="1" applyFont="1" applyBorder="1" applyAlignment="1">
      <alignment horizontal="right"/>
    </xf>
    <xf numFmtId="168" fontId="8" fillId="0" borderId="57" xfId="3" applyNumberFormat="1" applyFont="1" applyBorder="1" applyAlignment="1">
      <alignment horizontal="right"/>
    </xf>
    <xf numFmtId="168" fontId="8" fillId="0" borderId="17" xfId="3" applyNumberFormat="1" applyFont="1" applyBorder="1" applyAlignment="1">
      <alignment horizontal="right"/>
    </xf>
    <xf numFmtId="168" fontId="4" fillId="0" borderId="107" xfId="3" applyNumberFormat="1" applyBorder="1" applyAlignment="1">
      <alignment horizontal="right" wrapText="1"/>
    </xf>
    <xf numFmtId="168" fontId="4" fillId="0" borderId="106" xfId="3" applyNumberFormat="1" applyBorder="1" applyAlignment="1">
      <alignment horizontal="right"/>
    </xf>
    <xf numFmtId="0" fontId="0" fillId="0" borderId="3" xfId="0" applyBorder="1" applyAlignment="1">
      <alignment horizontal="right"/>
    </xf>
    <xf numFmtId="0" fontId="0" fillId="0" borderId="17" xfId="0" applyBorder="1" applyAlignment="1">
      <alignment horizontal="right"/>
    </xf>
    <xf numFmtId="168" fontId="4" fillId="0" borderId="5" xfId="3" applyNumberFormat="1" applyBorder="1" applyAlignment="1">
      <alignment horizontal="center" wrapText="1"/>
    </xf>
    <xf numFmtId="165" fontId="4" fillId="0" borderId="108" xfId="3" applyNumberFormat="1" applyBorder="1" applyAlignment="1">
      <alignment horizontal="center" wrapText="1"/>
    </xf>
    <xf numFmtId="167" fontId="4" fillId="0" borderId="19" xfId="3" applyNumberFormat="1" applyBorder="1" applyAlignment="1">
      <alignment horizontal="center" wrapText="1"/>
    </xf>
    <xf numFmtId="0" fontId="4" fillId="0" borderId="37" xfId="3" applyBorder="1" applyAlignment="1">
      <alignment horizontal="right"/>
    </xf>
    <xf numFmtId="0" fontId="0" fillId="0" borderId="109" xfId="0" applyBorder="1" applyAlignment="1">
      <alignment horizontal="right"/>
    </xf>
    <xf numFmtId="165" fontId="4" fillId="0" borderId="40" xfId="3" applyNumberFormat="1" applyBorder="1" applyAlignment="1">
      <alignment horizontal="right"/>
    </xf>
    <xf numFmtId="0" fontId="4" fillId="0" borderId="91" xfId="3" applyBorder="1" applyAlignment="1">
      <alignment horizontal="right"/>
    </xf>
    <xf numFmtId="0" fontId="4" fillId="0" borderId="14" xfId="3" applyBorder="1"/>
    <xf numFmtId="167" fontId="4" fillId="0" borderId="15" xfId="3" applyNumberFormat="1" applyBorder="1" applyAlignment="1">
      <alignment horizontal="right"/>
    </xf>
    <xf numFmtId="0" fontId="4" fillId="0" borderId="62" xfId="3" applyBorder="1" applyAlignment="1">
      <alignment horizontal="right"/>
    </xf>
    <xf numFmtId="0" fontId="4" fillId="0" borderId="10" xfId="3" applyBorder="1" applyAlignment="1">
      <alignment horizontal="right"/>
    </xf>
    <xf numFmtId="165" fontId="4" fillId="0" borderId="65" xfId="3" applyNumberFormat="1" applyBorder="1" applyAlignment="1">
      <alignment horizontal="right"/>
    </xf>
    <xf numFmtId="0" fontId="4" fillId="0" borderId="43" xfId="3" applyBorder="1"/>
    <xf numFmtId="165" fontId="4" fillId="0" borderId="64" xfId="3" applyNumberFormat="1" applyBorder="1" applyAlignment="1">
      <alignment horizontal="right"/>
    </xf>
    <xf numFmtId="0" fontId="6" fillId="0" borderId="9" xfId="3" applyFont="1" applyBorder="1"/>
    <xf numFmtId="0" fontId="4" fillId="0" borderId="112" xfId="3" applyBorder="1" applyAlignment="1">
      <alignment horizontal="right"/>
    </xf>
    <xf numFmtId="0" fontId="6" fillId="0" borderId="20" xfId="3" applyFont="1" applyBorder="1" applyAlignment="1">
      <alignment wrapText="1"/>
    </xf>
    <xf numFmtId="167" fontId="6" fillId="0" borderId="15" xfId="3" applyNumberFormat="1" applyFont="1" applyBorder="1" applyAlignment="1">
      <alignment horizontal="right" shrinkToFit="1"/>
    </xf>
    <xf numFmtId="0" fontId="4" fillId="0" borderId="14" xfId="3" applyBorder="1" applyAlignment="1">
      <alignment horizontal="right"/>
    </xf>
    <xf numFmtId="0" fontId="4" fillId="0" borderId="90" xfId="3" applyBorder="1"/>
    <xf numFmtId="168" fontId="4" fillId="0" borderId="14" xfId="3" applyNumberFormat="1" applyBorder="1" applyAlignment="1">
      <alignment horizontal="right"/>
    </xf>
    <xf numFmtId="167" fontId="10" fillId="0" borderId="15" xfId="3" applyNumberFormat="1" applyFont="1" applyBorder="1" applyAlignment="1">
      <alignment horizontal="right"/>
    </xf>
    <xf numFmtId="0" fontId="8" fillId="3" borderId="26" xfId="3" applyFont="1" applyFill="1" applyBorder="1" applyProtection="1">
      <protection locked="0"/>
    </xf>
    <xf numFmtId="167" fontId="4" fillId="0" borderId="58" xfId="3" applyNumberFormat="1" applyBorder="1" applyAlignment="1">
      <alignment horizontal="right"/>
    </xf>
    <xf numFmtId="0" fontId="6" fillId="0" borderId="13" xfId="3" applyFont="1" applyBorder="1"/>
    <xf numFmtId="0" fontId="4" fillId="0" borderId="6" xfId="3" applyBorder="1"/>
    <xf numFmtId="168" fontId="4" fillId="0" borderId="2" xfId="3" applyNumberFormat="1" applyBorder="1" applyAlignment="1">
      <alignment horizontal="right"/>
    </xf>
    <xf numFmtId="0" fontId="4" fillId="0" borderId="83" xfId="3" applyBorder="1" applyAlignment="1">
      <alignment horizontal="right"/>
    </xf>
    <xf numFmtId="0" fontId="4" fillId="0" borderId="9" xfId="3" applyBorder="1"/>
    <xf numFmtId="0" fontId="4" fillId="0" borderId="59" xfId="3" applyBorder="1"/>
    <xf numFmtId="167" fontId="7" fillId="0" borderId="111" xfId="1" applyNumberFormat="1" applyFont="1" applyFill="1" applyBorder="1" applyAlignment="1">
      <alignment horizontal="center"/>
    </xf>
    <xf numFmtId="1" fontId="7" fillId="0" borderId="19" xfId="3" applyNumberFormat="1" applyFont="1" applyBorder="1" applyAlignment="1">
      <alignment horizontal="center"/>
    </xf>
    <xf numFmtId="0" fontId="4" fillId="0" borderId="7" xfId="3" applyBorder="1" applyAlignment="1">
      <alignment horizontal="right"/>
    </xf>
    <xf numFmtId="168" fontId="4" fillId="0" borderId="26" xfId="3" applyNumberFormat="1" applyBorder="1" applyAlignment="1">
      <alignment horizontal="right"/>
    </xf>
    <xf numFmtId="168" fontId="4" fillId="0" borderId="40" xfId="3" applyNumberFormat="1" applyBorder="1" applyAlignment="1">
      <alignment horizontal="right"/>
    </xf>
    <xf numFmtId="168" fontId="4" fillId="0" borderId="1" xfId="3" applyNumberFormat="1" applyBorder="1" applyAlignment="1">
      <alignment horizontal="right"/>
    </xf>
    <xf numFmtId="0" fontId="8" fillId="0" borderId="6" xfId="3" applyFont="1" applyBorder="1" applyAlignment="1">
      <alignment vertical="center" wrapText="1"/>
    </xf>
    <xf numFmtId="0" fontId="8" fillId="0" borderId="59" xfId="3" applyFont="1" applyBorder="1" applyAlignment="1">
      <alignment wrapText="1"/>
    </xf>
    <xf numFmtId="165" fontId="4" fillId="0" borderId="2" xfId="3" applyNumberFormat="1" applyBorder="1" applyAlignment="1">
      <alignment horizontal="right"/>
    </xf>
    <xf numFmtId="0" fontId="8" fillId="0" borderId="9" xfId="3" applyFont="1" applyBorder="1" applyAlignment="1">
      <alignment wrapText="1"/>
    </xf>
    <xf numFmtId="0" fontId="7" fillId="0" borderId="24" xfId="3" applyFont="1" applyBorder="1" applyAlignment="1">
      <alignment horizontal="center"/>
    </xf>
    <xf numFmtId="0" fontId="4" fillId="0" borderId="24" xfId="3" applyBorder="1" applyAlignment="1">
      <alignment horizontal="center"/>
    </xf>
    <xf numFmtId="167" fontId="4" fillId="3" borderId="24" xfId="3" applyNumberFormat="1" applyFill="1" applyBorder="1" applyAlignment="1" applyProtection="1">
      <alignment horizontal="center"/>
      <protection locked="0"/>
    </xf>
    <xf numFmtId="0" fontId="4" fillId="3" borderId="24" xfId="3" applyFill="1" applyBorder="1" applyAlignment="1" applyProtection="1">
      <alignment horizontal="center"/>
      <protection locked="0"/>
    </xf>
    <xf numFmtId="0" fontId="4" fillId="0" borderId="65" xfId="3" applyBorder="1" applyAlignment="1">
      <alignment horizontal="right"/>
    </xf>
    <xf numFmtId="168" fontId="4" fillId="6" borderId="24" xfId="3" applyNumberFormat="1" applyFill="1" applyBorder="1" applyAlignment="1" applyProtection="1">
      <alignment horizontal="center"/>
      <protection locked="0"/>
    </xf>
    <xf numFmtId="168" fontId="4" fillId="6" borderId="37" xfId="3" applyNumberFormat="1" applyFill="1" applyBorder="1" applyAlignment="1" applyProtection="1">
      <alignment horizontal="center"/>
      <protection locked="0"/>
    </xf>
    <xf numFmtId="167" fontId="4" fillId="0" borderId="36" xfId="3" applyNumberFormat="1" applyBorder="1" applyAlignment="1">
      <alignment horizontal="center"/>
    </xf>
    <xf numFmtId="167" fontId="4" fillId="3" borderId="38" xfId="3" applyNumberFormat="1" applyFill="1" applyBorder="1" applyAlignment="1" applyProtection="1">
      <alignment horizontal="center"/>
      <protection locked="0"/>
    </xf>
    <xf numFmtId="167" fontId="4" fillId="6" borderId="25" xfId="3" applyNumberFormat="1" applyFill="1" applyBorder="1" applyAlignment="1" applyProtection="1">
      <alignment horizontal="center"/>
      <protection locked="0"/>
    </xf>
    <xf numFmtId="167" fontId="4" fillId="3" borderId="25" xfId="3" applyNumberFormat="1" applyFill="1" applyBorder="1" applyAlignment="1" applyProtection="1">
      <alignment horizontal="center"/>
      <protection locked="0"/>
    </xf>
    <xf numFmtId="0" fontId="4" fillId="0" borderId="72" xfId="3" applyBorder="1" applyAlignment="1">
      <alignment horizontal="center"/>
    </xf>
    <xf numFmtId="0" fontId="0" fillId="0" borderId="24" xfId="0" applyBorder="1" applyAlignment="1">
      <alignment horizontal="right"/>
    </xf>
    <xf numFmtId="0" fontId="0" fillId="0" borderId="37" xfId="0" applyBorder="1" applyAlignment="1">
      <alignment horizontal="right"/>
    </xf>
    <xf numFmtId="0" fontId="10" fillId="0" borderId="16" xfId="3" applyFont="1" applyBorder="1" applyAlignment="1">
      <alignment horizontal="center" vertical="center" wrapText="1"/>
    </xf>
    <xf numFmtId="165" fontId="4" fillId="0" borderId="16" xfId="3" applyNumberFormat="1" applyBorder="1" applyAlignment="1">
      <alignment horizontal="center" wrapText="1"/>
    </xf>
    <xf numFmtId="0" fontId="0" fillId="3" borderId="3" xfId="0" applyFill="1" applyBorder="1" applyAlignment="1" applyProtection="1">
      <alignment horizontal="right"/>
      <protection locked="0"/>
    </xf>
    <xf numFmtId="167" fontId="4" fillId="3" borderId="37" xfId="3" applyNumberFormat="1" applyFill="1" applyBorder="1" applyAlignment="1" applyProtection="1">
      <alignment horizontal="center"/>
      <protection locked="0"/>
    </xf>
    <xf numFmtId="0" fontId="25" fillId="0" borderId="68" xfId="0" applyFont="1" applyBorder="1" applyAlignment="1">
      <alignment horizontal="left" wrapText="1"/>
    </xf>
    <xf numFmtId="0" fontId="25" fillId="0" borderId="69" xfId="0" applyFont="1" applyBorder="1" applyAlignment="1">
      <alignment horizontal="left" wrapText="1"/>
    </xf>
    <xf numFmtId="0" fontId="25" fillId="9" borderId="68" xfId="0" applyFont="1" applyFill="1" applyBorder="1" applyAlignment="1">
      <alignment horizontal="left" wrapText="1"/>
    </xf>
    <xf numFmtId="2" fontId="26" fillId="11" borderId="37" xfId="0" applyNumberFormat="1" applyFont="1" applyFill="1" applyBorder="1" applyAlignment="1">
      <alignment horizontal="left"/>
    </xf>
    <xf numFmtId="1" fontId="26" fillId="10" borderId="24" xfId="0" applyNumberFormat="1" applyFont="1" applyFill="1" applyBorder="1" applyAlignment="1" applyProtection="1">
      <alignment horizontal="left"/>
      <protection locked="0"/>
    </xf>
    <xf numFmtId="2" fontId="26" fillId="10" borderId="24" xfId="0" applyNumberFormat="1" applyFont="1" applyFill="1" applyBorder="1" applyAlignment="1" applyProtection="1">
      <alignment horizontal="left"/>
      <protection locked="0"/>
    </xf>
    <xf numFmtId="2" fontId="26" fillId="0" borderId="24" xfId="0" applyNumberFormat="1" applyFont="1" applyBorder="1" applyAlignment="1">
      <alignment horizontal="left"/>
    </xf>
    <xf numFmtId="44" fontId="26" fillId="0" borderId="24" xfId="1" applyFont="1" applyBorder="1" applyAlignment="1" applyProtection="1">
      <alignment horizontal="left"/>
    </xf>
    <xf numFmtId="1" fontId="26" fillId="5" borderId="24" xfId="0" applyNumberFormat="1" applyFont="1" applyFill="1" applyBorder="1" applyAlignment="1">
      <alignment horizontal="left"/>
    </xf>
    <xf numFmtId="2" fontId="26" fillId="5" borderId="24" xfId="0" applyNumberFormat="1" applyFont="1" applyFill="1" applyBorder="1" applyAlignment="1">
      <alignment horizontal="left"/>
    </xf>
    <xf numFmtId="2" fontId="26" fillId="9" borderId="24" xfId="0" applyNumberFormat="1" applyFont="1" applyFill="1" applyBorder="1" applyAlignment="1">
      <alignment horizontal="left"/>
    </xf>
    <xf numFmtId="44" fontId="26" fillId="5" borderId="24" xfId="1" applyFont="1" applyFill="1" applyBorder="1" applyAlignment="1" applyProtection="1">
      <alignment horizontal="left"/>
    </xf>
    <xf numFmtId="0" fontId="55" fillId="0" borderId="0" xfId="0" applyFont="1" applyAlignment="1">
      <alignment horizontal="left"/>
    </xf>
    <xf numFmtId="0" fontId="59" fillId="10" borderId="24" xfId="0" applyFont="1" applyFill="1" applyBorder="1" applyAlignment="1" applyProtection="1">
      <alignment horizontal="left"/>
      <protection locked="0"/>
    </xf>
    <xf numFmtId="0" fontId="2" fillId="0" borderId="13" xfId="0" applyFont="1" applyBorder="1" applyAlignment="1">
      <alignment horizontal="left"/>
    </xf>
    <xf numFmtId="0" fontId="0" fillId="0" borderId="14" xfId="0" applyBorder="1" applyAlignment="1">
      <alignment horizontal="left"/>
    </xf>
    <xf numFmtId="0" fontId="2" fillId="0" borderId="14" xfId="0" applyFont="1" applyBorder="1" applyAlignment="1">
      <alignment horizontal="left"/>
    </xf>
    <xf numFmtId="44" fontId="2" fillId="0" borderId="14" xfId="0" applyNumberFormat="1" applyFont="1" applyBorder="1" applyAlignment="1">
      <alignment horizontal="left"/>
    </xf>
    <xf numFmtId="0" fontId="0" fillId="0" borderId="15" xfId="0" applyBorder="1" applyAlignment="1">
      <alignment horizontal="left"/>
    </xf>
    <xf numFmtId="167" fontId="0" fillId="0" borderId="0" xfId="0" applyNumberFormat="1" applyAlignment="1">
      <alignment horizontal="left"/>
    </xf>
    <xf numFmtId="10" fontId="0" fillId="0" borderId="0" xfId="2" applyNumberFormat="1" applyFont="1" applyAlignment="1">
      <alignment horizontal="left"/>
    </xf>
    <xf numFmtId="0" fontId="0" fillId="0" borderId="0" xfId="2" applyNumberFormat="1" applyFont="1" applyAlignment="1">
      <alignment horizontal="left"/>
    </xf>
    <xf numFmtId="0" fontId="25" fillId="0" borderId="68" xfId="0" applyFont="1" applyBorder="1"/>
    <xf numFmtId="0" fontId="26" fillId="10" borderId="37" xfId="0" applyFont="1" applyFill="1" applyBorder="1" applyProtection="1">
      <protection locked="0"/>
    </xf>
    <xf numFmtId="2" fontId="26" fillId="11" borderId="37" xfId="0" applyNumberFormat="1" applyFont="1" applyFill="1" applyBorder="1"/>
    <xf numFmtId="0" fontId="26" fillId="10" borderId="24" xfId="0" applyFont="1" applyFill="1" applyBorder="1" applyProtection="1">
      <protection locked="0"/>
    </xf>
    <xf numFmtId="1" fontId="26" fillId="10" borderId="24" xfId="0" applyNumberFormat="1" applyFont="1" applyFill="1" applyBorder="1" applyProtection="1">
      <protection locked="0"/>
    </xf>
    <xf numFmtId="2" fontId="26" fillId="10" borderId="24" xfId="0" applyNumberFormat="1" applyFont="1" applyFill="1" applyBorder="1" applyProtection="1">
      <protection locked="0"/>
    </xf>
    <xf numFmtId="2" fontId="26" fillId="0" borderId="24" xfId="0" applyNumberFormat="1" applyFont="1" applyBorder="1"/>
    <xf numFmtId="44" fontId="26" fillId="0" borderId="24" xfId="1" applyFont="1" applyBorder="1" applyAlignment="1" applyProtection="1"/>
    <xf numFmtId="0" fontId="26" fillId="5" borderId="24" xfId="0" applyFont="1" applyFill="1" applyBorder="1"/>
    <xf numFmtId="1" fontId="26" fillId="5" borderId="24" xfId="0" applyNumberFormat="1" applyFont="1" applyFill="1" applyBorder="1"/>
    <xf numFmtId="2" fontId="26" fillId="5" borderId="24" xfId="0" applyNumberFormat="1" applyFont="1" applyFill="1" applyBorder="1"/>
    <xf numFmtId="2" fontId="26" fillId="9" borderId="24" xfId="0" applyNumberFormat="1" applyFont="1" applyFill="1" applyBorder="1"/>
    <xf numFmtId="44" fontId="26" fillId="5" borderId="24" xfId="1" applyFont="1" applyFill="1" applyBorder="1" applyAlignment="1" applyProtection="1"/>
    <xf numFmtId="0" fontId="55" fillId="0" borderId="0" xfId="0" applyFont="1"/>
    <xf numFmtId="0" fontId="59" fillId="10" borderId="24" xfId="0" applyFont="1" applyFill="1" applyBorder="1" applyProtection="1">
      <protection locked="0"/>
    </xf>
    <xf numFmtId="0" fontId="2" fillId="0" borderId="13" xfId="0" applyFont="1" applyBorder="1"/>
    <xf numFmtId="0" fontId="0" fillId="0" borderId="14" xfId="0" applyBorder="1"/>
    <xf numFmtId="0" fontId="2" fillId="0" borderId="14" xfId="0" applyFont="1" applyBorder="1"/>
    <xf numFmtId="44" fontId="2" fillId="0" borderId="14" xfId="0" applyNumberFormat="1" applyFont="1" applyBorder="1"/>
    <xf numFmtId="0" fontId="0" fillId="0" borderId="15" xfId="0" applyBorder="1"/>
    <xf numFmtId="0" fontId="73" fillId="0" borderId="0" xfId="0" applyFont="1" applyAlignment="1">
      <alignment horizontal="center"/>
    </xf>
    <xf numFmtId="0" fontId="73" fillId="0" borderId="0" xfId="0" applyFont="1" applyAlignment="1">
      <alignment horizontal="center" vertical="center"/>
    </xf>
    <xf numFmtId="0" fontId="73" fillId="0" borderId="0" xfId="0" applyFont="1" applyAlignment="1">
      <alignment horizontal="left"/>
    </xf>
    <xf numFmtId="9" fontId="73" fillId="0" borderId="0" xfId="2" applyFont="1" applyAlignment="1">
      <alignment horizontal="center"/>
    </xf>
    <xf numFmtId="0" fontId="0" fillId="18" borderId="3" xfId="0" applyFill="1" applyBorder="1" applyAlignment="1">
      <alignment horizontal="right"/>
    </xf>
    <xf numFmtId="1" fontId="7" fillId="18" borderId="19" xfId="3" applyNumberFormat="1" applyFont="1" applyFill="1" applyBorder="1" applyAlignment="1">
      <alignment horizontal="center"/>
    </xf>
    <xf numFmtId="0" fontId="0" fillId="18" borderId="109" xfId="0" applyFill="1" applyBorder="1" applyAlignment="1">
      <alignment horizontal="right"/>
    </xf>
    <xf numFmtId="167" fontId="7" fillId="18" borderId="111" xfId="1" applyNumberFormat="1" applyFont="1" applyFill="1" applyBorder="1" applyAlignment="1">
      <alignment horizontal="center"/>
    </xf>
    <xf numFmtId="0" fontId="0" fillId="19" borderId="3" xfId="0" applyFill="1" applyBorder="1" applyAlignment="1">
      <alignment horizontal="right"/>
    </xf>
    <xf numFmtId="1" fontId="7" fillId="19" borderId="19" xfId="3" applyNumberFormat="1" applyFont="1" applyFill="1" applyBorder="1" applyAlignment="1">
      <alignment horizontal="center"/>
    </xf>
    <xf numFmtId="0" fontId="0" fillId="19" borderId="109" xfId="0" applyFill="1" applyBorder="1" applyAlignment="1">
      <alignment horizontal="right"/>
    </xf>
    <xf numFmtId="167" fontId="7" fillId="19" borderId="111" xfId="1" applyNumberFormat="1" applyFont="1" applyFill="1" applyBorder="1" applyAlignment="1">
      <alignment horizontal="center"/>
    </xf>
    <xf numFmtId="0" fontId="0" fillId="10" borderId="3" xfId="0" applyFill="1" applyBorder="1" applyAlignment="1">
      <alignment horizontal="right"/>
    </xf>
    <xf numFmtId="1" fontId="7" fillId="10" borderId="19" xfId="3" applyNumberFormat="1" applyFont="1" applyFill="1" applyBorder="1" applyAlignment="1">
      <alignment horizontal="center"/>
    </xf>
    <xf numFmtId="0" fontId="0" fillId="10" borderId="109" xfId="0" applyFill="1" applyBorder="1" applyAlignment="1">
      <alignment horizontal="right"/>
    </xf>
    <xf numFmtId="167" fontId="7" fillId="10" borderId="111" xfId="1" applyNumberFormat="1" applyFont="1" applyFill="1" applyBorder="1" applyAlignment="1">
      <alignment horizontal="center"/>
    </xf>
    <xf numFmtId="0" fontId="0" fillId="20" borderId="3" xfId="0" applyFill="1" applyBorder="1" applyAlignment="1">
      <alignment horizontal="right"/>
    </xf>
    <xf numFmtId="1" fontId="7" fillId="20" borderId="19" xfId="3" applyNumberFormat="1" applyFont="1" applyFill="1" applyBorder="1" applyAlignment="1">
      <alignment horizontal="center"/>
    </xf>
    <xf numFmtId="0" fontId="0" fillId="20" borderId="109" xfId="0" applyFill="1" applyBorder="1" applyAlignment="1">
      <alignment horizontal="right"/>
    </xf>
    <xf numFmtId="167" fontId="7" fillId="20" borderId="111" xfId="1" applyNumberFormat="1" applyFont="1" applyFill="1" applyBorder="1" applyAlignment="1">
      <alignment horizontal="center"/>
    </xf>
    <xf numFmtId="167" fontId="73" fillId="0" borderId="0" xfId="0" applyNumberFormat="1" applyFont="1" applyAlignment="1">
      <alignment horizontal="center" vertical="top"/>
    </xf>
    <xf numFmtId="167" fontId="73" fillId="0" borderId="0" xfId="0" applyNumberFormat="1" applyFont="1" applyAlignment="1">
      <alignment horizontal="center" wrapText="1"/>
    </xf>
    <xf numFmtId="0" fontId="73" fillId="0" borderId="25" xfId="0" applyFont="1" applyBorder="1" applyAlignment="1">
      <alignment horizontal="center"/>
    </xf>
    <xf numFmtId="0" fontId="73" fillId="0" borderId="7" xfId="0" applyFont="1" applyBorder="1" applyAlignment="1">
      <alignment horizontal="center"/>
    </xf>
    <xf numFmtId="0" fontId="4" fillId="18" borderId="31" xfId="3" applyFill="1" applyBorder="1" applyAlignment="1">
      <alignment horizontal="center"/>
    </xf>
    <xf numFmtId="167" fontId="4" fillId="18" borderId="105" xfId="3" applyNumberFormat="1" applyFill="1" applyBorder="1" applyAlignment="1">
      <alignment horizontal="center"/>
    </xf>
    <xf numFmtId="8" fontId="4" fillId="18" borderId="105" xfId="3" applyNumberFormat="1" applyFill="1" applyBorder="1" applyAlignment="1">
      <alignment horizontal="center"/>
    </xf>
    <xf numFmtId="0" fontId="4" fillId="19" borderId="31" xfId="3" applyFill="1" applyBorder="1" applyAlignment="1">
      <alignment horizontal="center"/>
    </xf>
    <xf numFmtId="167" fontId="4" fillId="19" borderId="105" xfId="3" applyNumberFormat="1" applyFill="1" applyBorder="1" applyAlignment="1">
      <alignment horizontal="center"/>
    </xf>
    <xf numFmtId="8" fontId="4" fillId="19" borderId="105" xfId="3" applyNumberFormat="1" applyFill="1" applyBorder="1" applyAlignment="1">
      <alignment horizontal="center"/>
    </xf>
    <xf numFmtId="0" fontId="4" fillId="10" borderId="31" xfId="3" applyFill="1" applyBorder="1" applyAlignment="1">
      <alignment horizontal="center"/>
    </xf>
    <xf numFmtId="167" fontId="4" fillId="10" borderId="105" xfId="3" applyNumberFormat="1" applyFill="1" applyBorder="1" applyAlignment="1">
      <alignment horizontal="center"/>
    </xf>
    <xf numFmtId="8" fontId="4" fillId="10" borderId="105" xfId="3" applyNumberFormat="1" applyFill="1" applyBorder="1" applyAlignment="1">
      <alignment horizontal="center"/>
    </xf>
    <xf numFmtId="0" fontId="4" fillId="20" borderId="31" xfId="3" applyFill="1" applyBorder="1" applyAlignment="1">
      <alignment horizontal="center"/>
    </xf>
    <xf numFmtId="167" fontId="4" fillId="20" borderId="105" xfId="3" applyNumberFormat="1" applyFill="1" applyBorder="1" applyAlignment="1">
      <alignment horizontal="center"/>
    </xf>
    <xf numFmtId="8" fontId="4" fillId="20" borderId="105" xfId="3" applyNumberFormat="1" applyFill="1" applyBorder="1" applyAlignment="1">
      <alignment horizontal="center"/>
    </xf>
    <xf numFmtId="167" fontId="4" fillId="20" borderId="110" xfId="3" applyNumberFormat="1" applyFill="1" applyBorder="1" applyAlignment="1">
      <alignment horizontal="center"/>
    </xf>
    <xf numFmtId="0" fontId="4" fillId="0" borderId="31" xfId="3" applyBorder="1" applyAlignment="1">
      <alignment horizontal="center"/>
    </xf>
    <xf numFmtId="167" fontId="4" fillId="0" borderId="105" xfId="3" applyNumberFormat="1" applyBorder="1" applyAlignment="1">
      <alignment horizontal="center"/>
    </xf>
    <xf numFmtId="0" fontId="4" fillId="3" borderId="31" xfId="3" applyFill="1" applyBorder="1" applyAlignment="1" applyProtection="1">
      <alignment horizontal="center"/>
      <protection locked="0"/>
    </xf>
    <xf numFmtId="167" fontId="4" fillId="3" borderId="105" xfId="3" applyNumberFormat="1" applyFill="1" applyBorder="1" applyAlignment="1" applyProtection="1">
      <alignment horizontal="center"/>
      <protection locked="0"/>
    </xf>
    <xf numFmtId="167" fontId="4" fillId="19" borderId="110" xfId="3" applyNumberFormat="1" applyFill="1" applyBorder="1" applyAlignment="1">
      <alignment horizontal="center"/>
    </xf>
    <xf numFmtId="167" fontId="4" fillId="18" borderId="110" xfId="3" applyNumberFormat="1" applyFill="1" applyBorder="1" applyAlignment="1">
      <alignment horizontal="center"/>
    </xf>
    <xf numFmtId="167" fontId="0" fillId="10" borderId="24" xfId="2" applyNumberFormat="1" applyFont="1" applyFill="1" applyBorder="1" applyProtection="1">
      <protection locked="0"/>
    </xf>
    <xf numFmtId="167" fontId="23" fillId="0" borderId="49" xfId="1" applyNumberFormat="1" applyFont="1" applyBorder="1" applyProtection="1"/>
    <xf numFmtId="167" fontId="23" fillId="0" borderId="52" xfId="1" applyNumberFormat="1" applyFont="1" applyBorder="1" applyProtection="1"/>
    <xf numFmtId="167" fontId="4" fillId="3" borderId="24" xfId="3" quotePrefix="1" applyNumberFormat="1" applyFill="1" applyBorder="1" applyAlignment="1" applyProtection="1">
      <alignment horizontal="center"/>
      <protection locked="0"/>
    </xf>
    <xf numFmtId="165" fontId="4" fillId="0" borderId="0" xfId="3" applyNumberFormat="1" applyAlignment="1">
      <alignment horizontal="left" indent="3"/>
    </xf>
    <xf numFmtId="167" fontId="4" fillId="0" borderId="110" xfId="3" applyNumberFormat="1" applyBorder="1" applyAlignment="1">
      <alignment horizontal="center"/>
    </xf>
    <xf numFmtId="167" fontId="4" fillId="3" borderId="110" xfId="3" applyNumberFormat="1" applyFill="1" applyBorder="1" applyAlignment="1" applyProtection="1">
      <alignment horizontal="center"/>
      <protection locked="0"/>
    </xf>
    <xf numFmtId="0" fontId="4" fillId="0" borderId="1" xfId="3" applyBorder="1" applyAlignment="1">
      <alignment horizontal="right"/>
    </xf>
    <xf numFmtId="167" fontId="4" fillId="3" borderId="34" xfId="3" applyNumberFormat="1" applyFill="1" applyBorder="1" applyAlignment="1" applyProtection="1">
      <alignment horizontal="center"/>
      <protection locked="0"/>
    </xf>
    <xf numFmtId="167" fontId="4" fillId="3" borderId="40" xfId="3" applyNumberFormat="1" applyFill="1" applyBorder="1" applyAlignment="1" applyProtection="1">
      <alignment horizontal="center"/>
      <protection locked="0"/>
    </xf>
    <xf numFmtId="167" fontId="7" fillId="0" borderId="16" xfId="1" applyNumberFormat="1" applyFont="1" applyFill="1" applyBorder="1" applyAlignment="1">
      <alignment horizontal="center"/>
    </xf>
    <xf numFmtId="0" fontId="5" fillId="0" borderId="0" xfId="3" applyFont="1"/>
    <xf numFmtId="0" fontId="5" fillId="0" borderId="0" xfId="3" applyFont="1" applyAlignment="1">
      <alignment horizontal="right"/>
    </xf>
    <xf numFmtId="8" fontId="5" fillId="0" borderId="0" xfId="3" applyNumberFormat="1" applyFont="1"/>
    <xf numFmtId="0" fontId="5" fillId="0" borderId="0" xfId="3" applyFont="1" applyAlignment="1">
      <alignment horizontal="left"/>
    </xf>
    <xf numFmtId="168" fontId="5" fillId="4" borderId="0" xfId="2" applyNumberFormat="1" applyFont="1" applyFill="1" applyProtection="1"/>
    <xf numFmtId="0" fontId="5" fillId="4" borderId="0" xfId="3" applyFont="1" applyFill="1"/>
    <xf numFmtId="0" fontId="5" fillId="4" borderId="0" xfId="3" applyFont="1" applyFill="1" applyAlignment="1">
      <alignment horizontal="right"/>
    </xf>
    <xf numFmtId="8" fontId="5" fillId="4" borderId="0" xfId="3" applyNumberFormat="1" applyFont="1" applyFill="1"/>
    <xf numFmtId="0" fontId="5" fillId="4" borderId="0" xfId="3" applyFont="1" applyFill="1" applyAlignment="1">
      <alignment horizontal="left"/>
    </xf>
    <xf numFmtId="0" fontId="5" fillId="4" borderId="20" xfId="3" applyFont="1" applyFill="1" applyBorder="1" applyAlignment="1">
      <alignment horizontal="right" wrapText="1"/>
    </xf>
    <xf numFmtId="165" fontId="4" fillId="4" borderId="108" xfId="3" applyNumberFormat="1" applyFill="1" applyBorder="1" applyAlignment="1">
      <alignment horizontal="center" wrapText="1"/>
    </xf>
    <xf numFmtId="167" fontId="4" fillId="4" borderId="19" xfId="3" applyNumberFormat="1" applyFill="1" applyBorder="1" applyAlignment="1">
      <alignment horizontal="center" wrapText="1"/>
    </xf>
    <xf numFmtId="168" fontId="4" fillId="4" borderId="5" xfId="3" applyNumberFormat="1" applyFill="1" applyBorder="1" applyAlignment="1">
      <alignment horizontal="center" wrapText="1"/>
    </xf>
    <xf numFmtId="0" fontId="0" fillId="4" borderId="3" xfId="0" applyFill="1" applyBorder="1" applyAlignment="1">
      <alignment horizontal="right"/>
    </xf>
    <xf numFmtId="0" fontId="4" fillId="4" borderId="31" xfId="3" applyFill="1" applyBorder="1" applyAlignment="1">
      <alignment horizontal="center"/>
    </xf>
    <xf numFmtId="1" fontId="7" fillId="4" borderId="19" xfId="3" applyNumberFormat="1" applyFont="1" applyFill="1" applyBorder="1" applyAlignment="1">
      <alignment horizontal="center"/>
    </xf>
    <xf numFmtId="0" fontId="0" fillId="4" borderId="109" xfId="0" applyFill="1" applyBorder="1" applyAlignment="1">
      <alignment horizontal="right"/>
    </xf>
    <xf numFmtId="167" fontId="4" fillId="4" borderId="105" xfId="3" applyNumberFormat="1" applyFill="1" applyBorder="1" applyAlignment="1">
      <alignment horizontal="center"/>
    </xf>
    <xf numFmtId="8" fontId="4" fillId="4" borderId="105" xfId="3" applyNumberFormat="1" applyFill="1" applyBorder="1" applyAlignment="1">
      <alignment horizontal="center"/>
    </xf>
    <xf numFmtId="167" fontId="4" fillId="4" borderId="110" xfId="3" applyNumberFormat="1" applyFill="1" applyBorder="1" applyAlignment="1">
      <alignment horizontal="center"/>
    </xf>
    <xf numFmtId="167" fontId="7" fillId="4" borderId="111" xfId="1" applyNumberFormat="1" applyFont="1" applyFill="1" applyBorder="1" applyAlignment="1" applyProtection="1">
      <alignment horizontal="center"/>
    </xf>
    <xf numFmtId="44" fontId="5" fillId="4" borderId="37" xfId="3" applyNumberFormat="1" applyFont="1" applyFill="1" applyBorder="1"/>
    <xf numFmtId="44" fontId="5" fillId="4" borderId="24" xfId="3" applyNumberFormat="1" applyFont="1" applyFill="1" applyBorder="1"/>
    <xf numFmtId="168" fontId="5" fillId="4" borderId="0" xfId="3" applyNumberFormat="1" applyFont="1" applyFill="1"/>
    <xf numFmtId="44" fontId="5" fillId="4" borderId="0" xfId="3" applyNumberFormat="1" applyFont="1" applyFill="1" applyAlignment="1">
      <alignment horizontal="center"/>
    </xf>
    <xf numFmtId="8" fontId="5" fillId="4" borderId="12" xfId="3" applyNumberFormat="1" applyFont="1" applyFill="1" applyBorder="1"/>
    <xf numFmtId="44" fontId="5" fillId="4" borderId="12" xfId="3" applyNumberFormat="1" applyFont="1" applyFill="1" applyBorder="1"/>
    <xf numFmtId="2" fontId="75" fillId="4" borderId="0" xfId="3" applyNumberFormat="1" applyFont="1" applyFill="1"/>
    <xf numFmtId="2" fontId="75" fillId="0" borderId="0" xfId="3" applyNumberFormat="1" applyFont="1"/>
    <xf numFmtId="44" fontId="4" fillId="0" borderId="0" xfId="1" applyFont="1" applyAlignment="1">
      <alignment horizontal="center"/>
    </xf>
    <xf numFmtId="167" fontId="4" fillId="0" borderId="21" xfId="3" applyNumberFormat="1" applyBorder="1" applyAlignment="1">
      <alignment horizontal="right" vertical="center" wrapText="1"/>
    </xf>
    <xf numFmtId="167" fontId="0" fillId="0" borderId="0" xfId="1" applyNumberFormat="1" applyFont="1" applyAlignment="1">
      <alignment horizontal="left" indent="1"/>
    </xf>
    <xf numFmtId="10" fontId="0" fillId="0" borderId="0" xfId="0" applyNumberFormat="1"/>
    <xf numFmtId="167" fontId="0" fillId="0" borderId="0" xfId="1" applyNumberFormat="1" applyFont="1" applyAlignment="1">
      <alignment horizontal="left" indent="2"/>
    </xf>
    <xf numFmtId="167" fontId="58" fillId="14" borderId="94" xfId="77" applyNumberFormat="1" applyAlignment="1">
      <alignment horizontal="left" indent="1"/>
    </xf>
    <xf numFmtId="0" fontId="2" fillId="0" borderId="0" xfId="0" applyFont="1"/>
    <xf numFmtId="9" fontId="76" fillId="21" borderId="94" xfId="83" applyNumberFormat="1" applyProtection="1">
      <protection locked="0"/>
    </xf>
    <xf numFmtId="167" fontId="76" fillId="21" borderId="94" xfId="83" applyNumberFormat="1" applyAlignment="1" applyProtection="1">
      <alignment horizontal="left" indent="1"/>
      <protection locked="0"/>
    </xf>
    <xf numFmtId="0" fontId="76" fillId="21" borderId="94" xfId="83" applyAlignment="1" applyProtection="1">
      <alignment horizontal="left" indent="1"/>
      <protection locked="0"/>
    </xf>
    <xf numFmtId="0" fontId="21" fillId="7" borderId="101" xfId="0" applyFont="1" applyFill="1" applyBorder="1" applyAlignment="1">
      <alignment horizontal="right"/>
    </xf>
    <xf numFmtId="165" fontId="18" fillId="0" borderId="13" xfId="3" applyNumberFormat="1" applyFont="1" applyBorder="1" applyAlignment="1">
      <alignment vertical="center" wrapText="1"/>
    </xf>
    <xf numFmtId="165" fontId="18" fillId="0" borderId="14" xfId="3" applyNumberFormat="1" applyFont="1" applyBorder="1" applyAlignment="1">
      <alignment vertical="center" wrapText="1"/>
    </xf>
    <xf numFmtId="0" fontId="77" fillId="0" borderId="0" xfId="3" applyFont="1"/>
    <xf numFmtId="0" fontId="7" fillId="3" borderId="17" xfId="3" applyFont="1" applyFill="1" applyBorder="1" applyAlignment="1" applyProtection="1">
      <alignment horizontal="left"/>
      <protection locked="0"/>
    </xf>
    <xf numFmtId="8" fontId="5" fillId="4" borderId="0" xfId="3" applyNumberFormat="1" applyFont="1" applyFill="1" applyAlignment="1">
      <alignment horizontal="right"/>
    </xf>
    <xf numFmtId="0" fontId="5" fillId="4" borderId="0" xfId="3" applyFont="1" applyFill="1" applyAlignment="1">
      <alignment horizontal="center"/>
    </xf>
    <xf numFmtId="8" fontId="5" fillId="4" borderId="0" xfId="3" applyNumberFormat="1" applyFont="1" applyFill="1" applyAlignment="1">
      <alignment horizontal="left"/>
    </xf>
    <xf numFmtId="0" fontId="4" fillId="0" borderId="13" xfId="3" applyBorder="1" applyAlignment="1">
      <alignment horizontal="right" indent="1"/>
    </xf>
    <xf numFmtId="0" fontId="4" fillId="0" borderId="17" xfId="3" applyBorder="1" applyAlignment="1">
      <alignment horizontal="right" indent="1"/>
    </xf>
    <xf numFmtId="0" fontId="4" fillId="0" borderId="16" xfId="3" applyBorder="1" applyAlignment="1">
      <alignment horizontal="right" indent="1"/>
    </xf>
    <xf numFmtId="0" fontId="4" fillId="0" borderId="0" xfId="3" applyAlignment="1">
      <alignment horizontal="right" wrapText="1"/>
    </xf>
    <xf numFmtId="44" fontId="0" fillId="0" borderId="0" xfId="1" applyFont="1" applyAlignment="1">
      <alignment horizontal="center"/>
    </xf>
    <xf numFmtId="44" fontId="4" fillId="0" borderId="0" xfId="1" applyFont="1" applyAlignment="1">
      <alignment horizontal="center" wrapText="1"/>
    </xf>
    <xf numFmtId="165" fontId="4" fillId="22" borderId="0" xfId="3" applyNumberFormat="1" applyFill="1" applyAlignment="1">
      <alignment horizontal="right"/>
    </xf>
    <xf numFmtId="44" fontId="4" fillId="22" borderId="0" xfId="1" applyFont="1" applyFill="1" applyAlignment="1">
      <alignment horizontal="center"/>
    </xf>
    <xf numFmtId="165" fontId="4" fillId="19" borderId="0" xfId="3" applyNumberFormat="1" applyFill="1" applyAlignment="1">
      <alignment horizontal="right"/>
    </xf>
    <xf numFmtId="44" fontId="4" fillId="19" borderId="0" xfId="1" applyFont="1" applyFill="1" applyAlignment="1">
      <alignment horizontal="center"/>
    </xf>
    <xf numFmtId="165" fontId="4" fillId="10" borderId="0" xfId="3" applyNumberFormat="1" applyFill="1" applyAlignment="1">
      <alignment horizontal="right"/>
    </xf>
    <xf numFmtId="44" fontId="4" fillId="10" borderId="0" xfId="1" applyFont="1" applyFill="1" applyAlignment="1">
      <alignment horizontal="center"/>
    </xf>
    <xf numFmtId="165" fontId="4" fillId="20" borderId="0" xfId="3" applyNumberFormat="1" applyFill="1" applyAlignment="1">
      <alignment horizontal="right"/>
    </xf>
    <xf numFmtId="44" fontId="4" fillId="20" borderId="0" xfId="1" applyFont="1" applyFill="1" applyAlignment="1">
      <alignment horizontal="center"/>
    </xf>
    <xf numFmtId="14" fontId="51" fillId="0" borderId="24" xfId="0" applyNumberFormat="1" applyFont="1" applyBorder="1" applyAlignment="1">
      <alignment horizontal="left" vertical="center"/>
    </xf>
    <xf numFmtId="0" fontId="51" fillId="0" borderId="2" xfId="0" applyFont="1" applyBorder="1" applyAlignment="1">
      <alignment horizontal="left" vertical="center"/>
    </xf>
    <xf numFmtId="0" fontId="51" fillId="13" borderId="29" xfId="0" applyFont="1" applyFill="1" applyBorder="1" applyAlignment="1" applyProtection="1">
      <alignment vertical="center"/>
      <protection locked="0"/>
    </xf>
    <xf numFmtId="164" fontId="5" fillId="4" borderId="1" xfId="3" applyNumberFormat="1" applyFont="1" applyFill="1" applyBorder="1" applyAlignment="1">
      <alignment horizontal="left"/>
    </xf>
    <xf numFmtId="0" fontId="78" fillId="0" borderId="0" xfId="0" applyFont="1" applyAlignment="1">
      <alignment horizontal="center" vertical="center"/>
    </xf>
    <xf numFmtId="168" fontId="2" fillId="0" borderId="0" xfId="2" applyNumberFormat="1" applyFont="1" applyAlignment="1">
      <alignment horizontal="center" vertical="center"/>
    </xf>
    <xf numFmtId="0" fontId="4" fillId="0" borderId="5" xfId="3" applyBorder="1" applyProtection="1">
      <protection locked="0"/>
    </xf>
    <xf numFmtId="0" fontId="4" fillId="0" borderId="57" xfId="3" applyBorder="1" applyProtection="1">
      <protection locked="0"/>
    </xf>
    <xf numFmtId="0" fontId="4" fillId="0" borderId="41" xfId="3" applyBorder="1" applyProtection="1">
      <protection locked="0"/>
    </xf>
    <xf numFmtId="0" fontId="23" fillId="0" borderId="100" xfId="0" applyFont="1" applyBorder="1" applyAlignment="1">
      <alignment horizontal="center"/>
    </xf>
    <xf numFmtId="8" fontId="23" fillId="0" borderId="100" xfId="0" applyNumberFormat="1" applyFont="1" applyBorder="1"/>
    <xf numFmtId="8" fontId="23" fillId="0" borderId="100" xfId="1" applyNumberFormat="1" applyFont="1" applyBorder="1" applyProtection="1"/>
    <xf numFmtId="44" fontId="26" fillId="10" borderId="24" xfId="1" applyFont="1" applyFill="1" applyBorder="1" applyAlignment="1" applyProtection="1">
      <protection locked="0"/>
    </xf>
    <xf numFmtId="0" fontId="25" fillId="0" borderId="13" xfId="0" applyFont="1" applyBorder="1" applyAlignment="1">
      <alignment wrapText="1"/>
    </xf>
    <xf numFmtId="0" fontId="25" fillId="0" borderId="15" xfId="0" applyFont="1" applyBorder="1" applyAlignment="1">
      <alignment wrapText="1"/>
    </xf>
    <xf numFmtId="2" fontId="26" fillId="11" borderId="39" xfId="0" applyNumberFormat="1" applyFont="1" applyFill="1" applyBorder="1"/>
    <xf numFmtId="2" fontId="26" fillId="11" borderId="62" xfId="0" applyNumberFormat="1" applyFont="1" applyFill="1" applyBorder="1"/>
    <xf numFmtId="0" fontId="42" fillId="4" borderId="0" xfId="0" applyFont="1" applyFill="1" applyAlignment="1">
      <alignment horizontal="left" vertical="center"/>
    </xf>
    <xf numFmtId="0" fontId="42" fillId="4" borderId="41" xfId="0" applyFont="1" applyFill="1" applyBorder="1" applyAlignment="1">
      <alignment horizontal="left" vertical="center"/>
    </xf>
    <xf numFmtId="0" fontId="42" fillId="4" borderId="1" xfId="0" applyFont="1" applyFill="1" applyBorder="1" applyAlignment="1">
      <alignment horizontal="left" vertical="center"/>
    </xf>
    <xf numFmtId="0" fontId="42" fillId="4" borderId="58" xfId="0" applyFont="1" applyFill="1" applyBorder="1" applyAlignment="1">
      <alignment horizontal="left" vertical="center"/>
    </xf>
    <xf numFmtId="0" fontId="0" fillId="13" borderId="59" xfId="0" applyFill="1" applyBorder="1" applyAlignment="1" applyProtection="1">
      <alignment horizontal="left"/>
      <protection locked="0"/>
    </xf>
    <xf numFmtId="0" fontId="0" fillId="13" borderId="1" xfId="0" applyFill="1" applyBorder="1" applyAlignment="1" applyProtection="1">
      <alignment horizontal="left"/>
      <protection locked="0"/>
    </xf>
    <xf numFmtId="0" fontId="38" fillId="4" borderId="56" xfId="0" applyFont="1" applyFill="1" applyBorder="1" applyAlignment="1">
      <alignment horizontal="center"/>
    </xf>
    <xf numFmtId="0" fontId="38" fillId="4" borderId="0" xfId="0" applyFont="1" applyFill="1" applyAlignment="1">
      <alignment horizontal="center"/>
    </xf>
    <xf numFmtId="0" fontId="39" fillId="4" borderId="0" xfId="0" applyFont="1" applyFill="1" applyAlignment="1">
      <alignment horizontal="right" vertical="center"/>
    </xf>
    <xf numFmtId="0" fontId="39" fillId="4" borderId="41" xfId="0" applyFont="1" applyFill="1" applyBorder="1" applyAlignment="1">
      <alignment horizontal="right" vertical="center"/>
    </xf>
    <xf numFmtId="0" fontId="2" fillId="4" borderId="56" xfId="0" applyFont="1" applyFill="1" applyBorder="1" applyAlignment="1">
      <alignment horizontal="center" vertical="top"/>
    </xf>
    <xf numFmtId="0" fontId="2" fillId="4" borderId="0" xfId="0" applyFont="1" applyFill="1" applyAlignment="1">
      <alignment horizontal="center" vertical="top"/>
    </xf>
    <xf numFmtId="0" fontId="40" fillId="13" borderId="0" xfId="0" applyFont="1" applyFill="1" applyAlignment="1" applyProtection="1">
      <alignment horizontal="center" vertical="center"/>
      <protection locked="0"/>
    </xf>
    <xf numFmtId="0" fontId="40" fillId="13" borderId="41" xfId="0" applyFont="1" applyFill="1" applyBorder="1" applyAlignment="1" applyProtection="1">
      <alignment horizontal="center" vertical="center"/>
      <protection locked="0"/>
    </xf>
    <xf numFmtId="0" fontId="40" fillId="13" borderId="1" xfId="0" applyFont="1" applyFill="1" applyBorder="1" applyAlignment="1" applyProtection="1">
      <alignment horizontal="center" vertical="center"/>
      <protection locked="0"/>
    </xf>
    <xf numFmtId="0" fontId="40" fillId="13" borderId="58" xfId="0" applyFont="1" applyFill="1" applyBorder="1" applyAlignment="1" applyProtection="1">
      <alignment horizontal="center" vertical="center"/>
      <protection locked="0"/>
    </xf>
    <xf numFmtId="14" fontId="0" fillId="13" borderId="70" xfId="0" applyNumberFormat="1" applyFill="1" applyBorder="1" applyAlignment="1" applyProtection="1">
      <alignment horizontal="center"/>
      <protection locked="0"/>
    </xf>
    <xf numFmtId="14" fontId="0" fillId="13" borderId="1" xfId="0" applyNumberFormat="1" applyFill="1" applyBorder="1" applyAlignment="1" applyProtection="1">
      <alignment horizontal="center"/>
      <protection locked="0"/>
    </xf>
    <xf numFmtId="14" fontId="0" fillId="13" borderId="58" xfId="0" applyNumberFormat="1" applyFill="1" applyBorder="1" applyAlignment="1" applyProtection="1">
      <alignment horizontal="center"/>
      <protection locked="0"/>
    </xf>
    <xf numFmtId="0" fontId="0" fillId="13" borderId="38" xfId="0" applyFill="1" applyBorder="1" applyAlignment="1" applyProtection="1">
      <alignment horizontal="left"/>
      <protection locked="0"/>
    </xf>
    <xf numFmtId="0" fontId="0" fillId="13" borderId="83" xfId="0" applyFill="1" applyBorder="1" applyAlignment="1" applyProtection="1">
      <alignment horizontal="left"/>
      <protection locked="0"/>
    </xf>
    <xf numFmtId="14" fontId="0" fillId="13" borderId="38" xfId="0" applyNumberFormat="1" applyFill="1" applyBorder="1" applyAlignment="1" applyProtection="1">
      <alignment horizontal="center"/>
      <protection locked="0"/>
    </xf>
    <xf numFmtId="0" fontId="42" fillId="4" borderId="80" xfId="0" applyFont="1" applyFill="1" applyBorder="1" applyAlignment="1">
      <alignment vertical="center"/>
    </xf>
    <xf numFmtId="0" fontId="42" fillId="4" borderId="61" xfId="0" applyFont="1" applyFill="1" applyBorder="1" applyAlignment="1">
      <alignment vertical="center"/>
    </xf>
    <xf numFmtId="0" fontId="42" fillId="4" borderId="0" xfId="0" applyFont="1" applyFill="1" applyAlignment="1">
      <alignment vertical="center"/>
    </xf>
    <xf numFmtId="0" fontId="42" fillId="4" borderId="41" xfId="0" applyFont="1" applyFill="1" applyBorder="1" applyAlignment="1">
      <alignment vertical="center"/>
    </xf>
    <xf numFmtId="0" fontId="0" fillId="13" borderId="58" xfId="0" applyFill="1" applyBorder="1" applyAlignment="1" applyProtection="1">
      <alignment horizontal="left"/>
      <protection locked="0"/>
    </xf>
    <xf numFmtId="0" fontId="0" fillId="13" borderId="90" xfId="0" applyFill="1" applyBorder="1" applyAlignment="1" applyProtection="1">
      <alignment horizontal="left"/>
      <protection locked="0"/>
    </xf>
    <xf numFmtId="0" fontId="0" fillId="13" borderId="80" xfId="0" applyFill="1" applyBorder="1" applyAlignment="1" applyProtection="1">
      <alignment horizontal="left"/>
      <protection locked="0"/>
    </xf>
    <xf numFmtId="0" fontId="0" fillId="13" borderId="81" xfId="0" applyFill="1" applyBorder="1" applyAlignment="1" applyProtection="1">
      <alignment horizontal="left"/>
      <protection locked="0"/>
    </xf>
    <xf numFmtId="0" fontId="0" fillId="13" borderId="17" xfId="0" applyFill="1" applyBorder="1" applyAlignment="1" applyProtection="1">
      <alignment horizontal="left"/>
      <protection locked="0"/>
    </xf>
    <xf numFmtId="0" fontId="0" fillId="13" borderId="35" xfId="0" applyFill="1" applyBorder="1" applyAlignment="1" applyProtection="1">
      <alignment horizontal="left"/>
      <protection locked="0"/>
    </xf>
    <xf numFmtId="0" fontId="0" fillId="13" borderId="91" xfId="0" applyFill="1" applyBorder="1" applyAlignment="1" applyProtection="1">
      <alignment horizontal="left"/>
      <protection locked="0"/>
    </xf>
    <xf numFmtId="0" fontId="0" fillId="13" borderId="6" xfId="0" applyFill="1" applyBorder="1" applyAlignment="1" applyProtection="1">
      <alignment horizontal="left"/>
      <protection locked="0"/>
    </xf>
    <xf numFmtId="0" fontId="0" fillId="13" borderId="2" xfId="0" applyFill="1" applyBorder="1" applyAlignment="1" applyProtection="1">
      <alignment horizontal="left"/>
      <protection locked="0"/>
    </xf>
    <xf numFmtId="0" fontId="44" fillId="4" borderId="25" xfId="0" applyFont="1" applyFill="1" applyBorder="1" applyAlignment="1">
      <alignment horizontal="right" vertical="center"/>
    </xf>
    <xf numFmtId="0" fontId="44" fillId="4" borderId="7" xfId="0" applyFont="1" applyFill="1" applyBorder="1" applyAlignment="1">
      <alignment horizontal="right" vertical="center"/>
    </xf>
    <xf numFmtId="44" fontId="0" fillId="0" borderId="25" xfId="1" applyFont="1" applyFill="1" applyBorder="1" applyAlignment="1" applyProtection="1">
      <alignment horizontal="center"/>
    </xf>
    <xf numFmtId="44" fontId="0" fillId="0" borderId="66" xfId="1" applyFont="1" applyFill="1" applyBorder="1" applyAlignment="1" applyProtection="1">
      <alignment horizontal="center"/>
    </xf>
    <xf numFmtId="0" fontId="45" fillId="4" borderId="80" xfId="0" applyFont="1" applyFill="1" applyBorder="1" applyAlignment="1">
      <alignment horizontal="center" vertical="center"/>
    </xf>
    <xf numFmtId="0" fontId="45" fillId="4" borderId="81" xfId="0" applyFont="1" applyFill="1" applyBorder="1" applyAlignment="1">
      <alignment horizontal="center" vertical="center"/>
    </xf>
    <xf numFmtId="0" fontId="45" fillId="4" borderId="35" xfId="0" applyFont="1" applyFill="1" applyBorder="1" applyAlignment="1">
      <alignment horizontal="center" vertical="center"/>
    </xf>
    <xf numFmtId="0" fontId="45" fillId="4" borderId="91" xfId="0" applyFont="1" applyFill="1" applyBorder="1" applyAlignment="1">
      <alignment horizontal="center" vertical="center"/>
    </xf>
    <xf numFmtId="44" fontId="0" fillId="4" borderId="70" xfId="1" applyFont="1" applyFill="1" applyBorder="1" applyAlignment="1">
      <alignment horizontal="center"/>
    </xf>
    <xf numFmtId="44" fontId="0" fillId="4" borderId="41" xfId="1" applyFont="1" applyFill="1" applyBorder="1" applyAlignment="1">
      <alignment horizontal="center"/>
    </xf>
    <xf numFmtId="44" fontId="0" fillId="4" borderId="92" xfId="1" applyFont="1" applyFill="1" applyBorder="1" applyAlignment="1">
      <alignment horizontal="center"/>
    </xf>
    <xf numFmtId="44" fontId="0" fillId="4" borderId="57" xfId="1" applyFont="1" applyFill="1" applyBorder="1" applyAlignment="1">
      <alignment horizontal="center"/>
    </xf>
    <xf numFmtId="0" fontId="0" fillId="13" borderId="92" xfId="0" applyFill="1" applyBorder="1" applyAlignment="1" applyProtection="1">
      <alignment horizontal="left"/>
      <protection locked="0"/>
    </xf>
    <xf numFmtId="44" fontId="0" fillId="13" borderId="25" xfId="1" applyFont="1" applyFill="1" applyBorder="1" applyAlignment="1" applyProtection="1">
      <alignment horizontal="center"/>
      <protection locked="0"/>
    </xf>
    <xf numFmtId="44" fontId="0" fillId="13" borderId="66" xfId="1" applyFont="1" applyFill="1" applyBorder="1" applyAlignment="1" applyProtection="1">
      <alignment horizontal="center"/>
      <protection locked="0"/>
    </xf>
    <xf numFmtId="49" fontId="36" fillId="0" borderId="0" xfId="45" applyNumberFormat="1" applyFont="1" applyAlignment="1" applyProtection="1">
      <alignment horizontal="left"/>
      <protection locked="0"/>
    </xf>
    <xf numFmtId="49" fontId="35" fillId="0" borderId="0" xfId="45" applyNumberFormat="1" applyFont="1" applyAlignment="1">
      <alignment horizontal="center"/>
    </xf>
    <xf numFmtId="49" fontId="35" fillId="0" borderId="77" xfId="45" applyNumberFormat="1" applyFont="1" applyBorder="1" applyAlignment="1">
      <alignment horizontal="center"/>
    </xf>
    <xf numFmtId="49" fontId="31" fillId="0" borderId="89" xfId="45" applyNumberFormat="1" applyFont="1" applyBorder="1"/>
    <xf numFmtId="49" fontId="31" fillId="0" borderId="73" xfId="45" applyNumberFormat="1" applyFont="1" applyBorder="1" applyAlignment="1">
      <alignment horizontal="left"/>
    </xf>
    <xf numFmtId="49" fontId="31" fillId="0" borderId="74" xfId="45" applyNumberFormat="1" applyFont="1" applyBorder="1" applyAlignment="1">
      <alignment horizontal="left"/>
    </xf>
    <xf numFmtId="49" fontId="31" fillId="0" borderId="75" xfId="45" applyNumberFormat="1" applyFont="1" applyBorder="1" applyAlignment="1">
      <alignment horizontal="left"/>
    </xf>
    <xf numFmtId="0" fontId="46" fillId="0" borderId="76" xfId="45" applyFont="1" applyBorder="1" applyAlignment="1">
      <alignment horizontal="center"/>
    </xf>
    <xf numFmtId="0" fontId="46" fillId="0" borderId="0" xfId="45" applyFont="1" applyAlignment="1">
      <alignment horizontal="center"/>
    </xf>
    <xf numFmtId="39" fontId="32" fillId="0" borderId="1" xfId="45" applyNumberFormat="1" applyFont="1" applyBorder="1" applyAlignment="1">
      <alignment horizontal="center"/>
    </xf>
    <xf numFmtId="49" fontId="34" fillId="0" borderId="76" xfId="45" applyNumberFormat="1" applyFont="1" applyBorder="1"/>
    <xf numFmtId="49" fontId="34" fillId="0" borderId="0" xfId="45" applyNumberFormat="1" applyFont="1"/>
    <xf numFmtId="49" fontId="34" fillId="0" borderId="77" xfId="45" applyNumberFormat="1" applyFont="1" applyBorder="1"/>
    <xf numFmtId="49" fontId="31" fillId="0" borderId="78" xfId="45" applyNumberFormat="1" applyFont="1" applyBorder="1" applyAlignment="1">
      <alignment horizontal="left" indent="3"/>
    </xf>
    <xf numFmtId="49" fontId="31" fillId="0" borderId="1" xfId="45" applyNumberFormat="1" applyFont="1" applyBorder="1" applyAlignment="1">
      <alignment horizontal="left" indent="3"/>
    </xf>
    <xf numFmtId="49" fontId="31" fillId="0" borderId="84" xfId="45" applyNumberFormat="1" applyFont="1" applyBorder="1" applyAlignment="1">
      <alignment horizontal="left" indent="3"/>
    </xf>
    <xf numFmtId="0" fontId="4" fillId="0" borderId="0" xfId="45"/>
    <xf numFmtId="0" fontId="4" fillId="0" borderId="1" xfId="45" applyBorder="1"/>
    <xf numFmtId="49" fontId="9" fillId="0" borderId="80" xfId="45" applyNumberFormat="1" applyFont="1" applyBorder="1" applyAlignment="1">
      <alignment horizontal="center"/>
    </xf>
    <xf numFmtId="49" fontId="34" fillId="0" borderId="79" xfId="0" applyNumberFormat="1" applyFont="1" applyBorder="1" applyAlignment="1">
      <alignment horizontal="left" vertical="top" wrapText="1"/>
    </xf>
    <xf numFmtId="49" fontId="34" fillId="0" borderId="80" xfId="0" applyNumberFormat="1" applyFont="1" applyBorder="1" applyAlignment="1">
      <alignment horizontal="left" vertical="top" wrapText="1"/>
    </xf>
    <xf numFmtId="49" fontId="34" fillId="0" borderId="76" xfId="0" applyNumberFormat="1" applyFont="1" applyBorder="1" applyAlignment="1">
      <alignment horizontal="left" vertical="top" wrapText="1"/>
    </xf>
    <xf numFmtId="49" fontId="34" fillId="0" borderId="0" xfId="0" applyNumberFormat="1" applyFont="1" applyAlignment="1">
      <alignment horizontal="left" vertical="top" wrapText="1"/>
    </xf>
    <xf numFmtId="49" fontId="34" fillId="0" borderId="85" xfId="0" applyNumberFormat="1" applyFont="1" applyBorder="1" applyAlignment="1">
      <alignment horizontal="left" vertical="top" wrapText="1"/>
    </xf>
    <xf numFmtId="49" fontId="34" fillId="0" borderId="12" xfId="0" applyNumberFormat="1" applyFont="1" applyBorder="1" applyAlignment="1">
      <alignment horizontal="left" vertical="top" wrapText="1"/>
    </xf>
    <xf numFmtId="0" fontId="36" fillId="0" borderId="0" xfId="45" applyFont="1" applyAlignment="1" applyProtection="1">
      <alignment horizontal="left" vertical="top" wrapText="1"/>
      <protection locked="0"/>
    </xf>
    <xf numFmtId="0" fontId="36" fillId="0" borderId="77" xfId="45" applyFont="1" applyBorder="1" applyAlignment="1" applyProtection="1">
      <alignment horizontal="left" vertical="top" wrapText="1"/>
      <protection locked="0"/>
    </xf>
    <xf numFmtId="0" fontId="36" fillId="0" borderId="12" xfId="45" applyFont="1" applyBorder="1" applyAlignment="1" applyProtection="1">
      <alignment horizontal="left" vertical="top" wrapText="1"/>
      <protection locked="0"/>
    </xf>
    <xf numFmtId="0" fontId="36" fillId="0" borderId="88" xfId="45" applyFont="1" applyBorder="1" applyAlignment="1" applyProtection="1">
      <alignment horizontal="left" vertical="top" wrapText="1"/>
      <protection locked="0"/>
    </xf>
    <xf numFmtId="49" fontId="32" fillId="0" borderId="85" xfId="45" applyNumberFormat="1" applyFont="1" applyBorder="1" applyAlignment="1" applyProtection="1">
      <alignment horizontal="left" indent="2"/>
      <protection locked="0"/>
    </xf>
    <xf numFmtId="49" fontId="32" fillId="0" borderId="12" xfId="45" applyNumberFormat="1" applyFont="1" applyBorder="1" applyAlignment="1" applyProtection="1">
      <alignment horizontal="left" indent="2"/>
      <protection locked="0"/>
    </xf>
    <xf numFmtId="49" fontId="32" fillId="0" borderId="86" xfId="45" applyNumberFormat="1" applyFont="1" applyBorder="1" applyAlignment="1" applyProtection="1">
      <alignment horizontal="left" indent="2"/>
      <protection locked="0"/>
    </xf>
    <xf numFmtId="49" fontId="32" fillId="0" borderId="87" xfId="45" applyNumberFormat="1" applyFont="1" applyBorder="1" applyAlignment="1" applyProtection="1">
      <alignment horizontal="left" indent="2"/>
      <protection locked="0"/>
    </xf>
    <xf numFmtId="169" fontId="32" fillId="0" borderId="87" xfId="45" applyNumberFormat="1" applyFont="1" applyBorder="1" applyAlignment="1" applyProtection="1">
      <alignment horizontal="left" indent="1"/>
      <protection locked="0"/>
    </xf>
    <xf numFmtId="169" fontId="32" fillId="0" borderId="12" xfId="45" applyNumberFormat="1" applyFont="1" applyBorder="1" applyAlignment="1" applyProtection="1">
      <alignment horizontal="left" indent="1"/>
      <protection locked="0"/>
    </xf>
    <xf numFmtId="169" fontId="32" fillId="0" borderId="88" xfId="45" applyNumberFormat="1" applyFont="1" applyBorder="1" applyAlignment="1" applyProtection="1">
      <alignment horizontal="left" indent="1"/>
      <protection locked="0"/>
    </xf>
    <xf numFmtId="49" fontId="32" fillId="0" borderId="73" xfId="45" applyNumberFormat="1" applyFont="1" applyBorder="1" applyAlignment="1" applyProtection="1">
      <alignment horizontal="left" wrapText="1"/>
      <protection locked="0"/>
    </xf>
    <xf numFmtId="49" fontId="32" fillId="0" borderId="74" xfId="45" applyNumberFormat="1" applyFont="1" applyBorder="1" applyAlignment="1" applyProtection="1">
      <alignment horizontal="left" wrapText="1"/>
      <protection locked="0"/>
    </xf>
    <xf numFmtId="49" fontId="32" fillId="0" borderId="75" xfId="45" applyNumberFormat="1" applyFont="1" applyBorder="1" applyAlignment="1" applyProtection="1">
      <alignment horizontal="left" wrapText="1"/>
      <protection locked="0"/>
    </xf>
    <xf numFmtId="49" fontId="32" fillId="0" borderId="76" xfId="45" applyNumberFormat="1" applyFont="1" applyBorder="1" applyAlignment="1" applyProtection="1">
      <alignment horizontal="left" wrapText="1"/>
      <protection locked="0"/>
    </xf>
    <xf numFmtId="49" fontId="32" fillId="0" borderId="0" xfId="45" applyNumberFormat="1" applyFont="1" applyAlignment="1" applyProtection="1">
      <alignment horizontal="left" wrapText="1"/>
      <protection locked="0"/>
    </xf>
    <xf numFmtId="49" fontId="32" fillId="0" borderId="77" xfId="45" applyNumberFormat="1" applyFont="1" applyBorder="1" applyAlignment="1" applyProtection="1">
      <alignment horizontal="left" wrapText="1"/>
      <protection locked="0"/>
    </xf>
    <xf numFmtId="49" fontId="33" fillId="0" borderId="79" xfId="45" applyNumberFormat="1" applyFont="1" applyBorder="1"/>
    <xf numFmtId="49" fontId="33" fillId="0" borderId="80" xfId="45" applyNumberFormat="1" applyFont="1" applyBorder="1"/>
    <xf numFmtId="49" fontId="33" fillId="0" borderId="81" xfId="45" applyNumberFormat="1" applyFont="1" applyBorder="1"/>
    <xf numFmtId="49" fontId="33" fillId="0" borderId="30" xfId="45" applyNumberFormat="1" applyFont="1" applyBorder="1"/>
    <xf numFmtId="49" fontId="33" fillId="0" borderId="82" xfId="45" applyNumberFormat="1" applyFont="1" applyBorder="1"/>
    <xf numFmtId="0" fontId="32" fillId="0" borderId="78" xfId="45" applyFont="1" applyBorder="1" applyAlignment="1" applyProtection="1">
      <alignment horizontal="left" indent="2"/>
      <protection locked="0"/>
    </xf>
    <xf numFmtId="0" fontId="32" fillId="0" borderId="1" xfId="45" applyFont="1" applyBorder="1" applyAlignment="1" applyProtection="1">
      <alignment horizontal="left" indent="2"/>
      <protection locked="0"/>
    </xf>
    <xf numFmtId="0" fontId="32" fillId="0" borderId="83" xfId="45" applyFont="1" applyBorder="1" applyAlignment="1" applyProtection="1">
      <alignment horizontal="left" indent="2"/>
      <protection locked="0"/>
    </xf>
    <xf numFmtId="0" fontId="32" fillId="0" borderId="38" xfId="45" applyFont="1" applyBorder="1" applyAlignment="1">
      <alignment horizontal="left" indent="2"/>
    </xf>
    <xf numFmtId="0" fontId="32" fillId="0" borderId="1" xfId="45" applyFont="1" applyBorder="1" applyAlignment="1">
      <alignment horizontal="left" indent="2"/>
    </xf>
    <xf numFmtId="0" fontId="32" fillId="0" borderId="84" xfId="45" applyFont="1" applyBorder="1" applyAlignment="1">
      <alignment horizontal="left" indent="2"/>
    </xf>
    <xf numFmtId="49" fontId="34" fillId="0" borderId="30" xfId="45" applyNumberFormat="1" applyFont="1" applyBorder="1"/>
    <xf numFmtId="49" fontId="34" fillId="0" borderId="80" xfId="45" applyNumberFormat="1" applyFont="1" applyBorder="1"/>
    <xf numFmtId="49" fontId="34" fillId="0" borderId="81" xfId="45" applyNumberFormat="1" applyFont="1" applyBorder="1"/>
    <xf numFmtId="0" fontId="31" fillId="0" borderId="30" xfId="45" applyFont="1" applyBorder="1" applyAlignment="1">
      <alignment horizontal="center" vertical="center" wrapText="1"/>
    </xf>
    <xf numFmtId="0" fontId="31" fillId="0" borderId="80" xfId="45" applyFont="1" applyBorder="1" applyAlignment="1">
      <alignment horizontal="center" vertical="center" wrapText="1"/>
    </xf>
    <xf numFmtId="0" fontId="31" fillId="0" borderId="81" xfId="45" applyFont="1" applyBorder="1" applyAlignment="1">
      <alignment horizontal="center" vertical="center" wrapText="1"/>
    </xf>
    <xf numFmtId="0" fontId="31" fillId="0" borderId="70" xfId="45" applyFont="1" applyBorder="1" applyAlignment="1">
      <alignment horizontal="center" vertical="center" wrapText="1"/>
    </xf>
    <xf numFmtId="0" fontId="31" fillId="0" borderId="0" xfId="45" applyFont="1" applyAlignment="1">
      <alignment horizontal="center" vertical="center" wrapText="1"/>
    </xf>
    <xf numFmtId="0" fontId="31" fillId="0" borderId="104" xfId="45" applyFont="1" applyBorder="1" applyAlignment="1">
      <alignment horizontal="center" vertical="center" wrapText="1"/>
    </xf>
    <xf numFmtId="0" fontId="31" fillId="0" borderId="38" xfId="45" applyFont="1" applyBorder="1" applyAlignment="1">
      <alignment horizontal="center" vertical="center" wrapText="1"/>
    </xf>
    <xf numFmtId="0" fontId="31" fillId="0" borderId="1" xfId="45" applyFont="1" applyBorder="1" applyAlignment="1">
      <alignment horizontal="center" vertical="center" wrapText="1"/>
    </xf>
    <xf numFmtId="0" fontId="31" fillId="0" borderId="83" xfId="45" applyFont="1" applyBorder="1" applyAlignment="1">
      <alignment horizontal="center" vertical="center" wrapText="1"/>
    </xf>
    <xf numFmtId="0" fontId="32" fillId="0" borderId="78" xfId="45" applyFont="1" applyBorder="1" applyAlignment="1" applyProtection="1">
      <alignment horizontal="left" wrapText="1" indent="2"/>
      <protection locked="0"/>
    </xf>
    <xf numFmtId="1" fontId="32" fillId="0" borderId="38" xfId="45" applyNumberFormat="1" applyFont="1" applyBorder="1" applyAlignment="1">
      <alignment horizontal="left" indent="2"/>
    </xf>
    <xf numFmtId="0" fontId="31" fillId="0" borderId="76" xfId="45" applyFont="1" applyBorder="1" applyAlignment="1">
      <alignment horizontal="center"/>
    </xf>
    <xf numFmtId="0" fontId="31" fillId="0" borderId="0" xfId="45" applyFont="1" applyAlignment="1">
      <alignment horizontal="center"/>
    </xf>
    <xf numFmtId="0" fontId="31" fillId="0" borderId="77" xfId="45" applyFont="1" applyBorder="1" applyAlignment="1">
      <alignment horizontal="center"/>
    </xf>
    <xf numFmtId="0" fontId="32" fillId="0" borderId="76" xfId="45" applyFont="1" applyBorder="1" applyAlignment="1">
      <alignment horizontal="center"/>
    </xf>
    <xf numFmtId="0" fontId="32" fillId="0" borderId="0" xfId="45" applyFont="1" applyAlignment="1">
      <alignment horizontal="center"/>
    </xf>
    <xf numFmtId="0" fontId="32" fillId="0" borderId="77" xfId="45" applyFont="1" applyBorder="1" applyAlignment="1">
      <alignment horizontal="center"/>
    </xf>
    <xf numFmtId="49" fontId="10" fillId="0" borderId="78" xfId="45" applyNumberFormat="1" applyFont="1" applyBorder="1" applyAlignment="1">
      <alignment horizontal="right"/>
    </xf>
    <xf numFmtId="49" fontId="10" fillId="0" borderId="1" xfId="45" applyNumberFormat="1" applyFont="1" applyBorder="1" applyAlignment="1">
      <alignment horizontal="right"/>
    </xf>
    <xf numFmtId="0" fontId="10" fillId="0" borderId="1" xfId="45" applyFont="1" applyBorder="1" applyProtection="1">
      <protection locked="0"/>
    </xf>
    <xf numFmtId="169" fontId="32" fillId="0" borderId="38" xfId="45" applyNumberFormat="1" applyFont="1" applyBorder="1" applyAlignment="1" applyProtection="1">
      <alignment horizontal="left" indent="2"/>
      <protection locked="0"/>
    </xf>
    <xf numFmtId="169" fontId="32" fillId="0" borderId="1" xfId="45" applyNumberFormat="1" applyFont="1" applyBorder="1" applyAlignment="1" applyProtection="1">
      <alignment horizontal="left" indent="2"/>
      <protection locked="0"/>
    </xf>
    <xf numFmtId="169" fontId="32" fillId="0" borderId="83" xfId="45" applyNumberFormat="1" applyFont="1" applyBorder="1" applyAlignment="1" applyProtection="1">
      <alignment horizontal="left" indent="2"/>
      <protection locked="0"/>
    </xf>
    <xf numFmtId="14" fontId="32" fillId="0" borderId="38" xfId="45" applyNumberFormat="1" applyFont="1" applyBorder="1" applyAlignment="1" applyProtection="1">
      <alignment horizontal="left" indent="1"/>
      <protection locked="0"/>
    </xf>
    <xf numFmtId="14" fontId="32" fillId="0" borderId="1" xfId="45" applyNumberFormat="1" applyFont="1" applyBorder="1" applyAlignment="1" applyProtection="1">
      <alignment horizontal="left" indent="1"/>
      <protection locked="0"/>
    </xf>
    <xf numFmtId="14" fontId="32" fillId="0" borderId="84" xfId="45" applyNumberFormat="1" applyFont="1" applyBorder="1" applyAlignment="1" applyProtection="1">
      <alignment horizontal="left" indent="1"/>
      <protection locked="0"/>
    </xf>
    <xf numFmtId="0" fontId="5" fillId="4" borderId="2" xfId="3" applyFont="1" applyFill="1" applyBorder="1" applyAlignment="1">
      <alignment horizontal="left"/>
    </xf>
    <xf numFmtId="0" fontId="5" fillId="4" borderId="0" xfId="3" applyFont="1" applyFill="1" applyAlignment="1">
      <alignment horizontal="right"/>
    </xf>
    <xf numFmtId="0" fontId="5" fillId="4" borderId="2" xfId="3" applyFont="1" applyFill="1" applyBorder="1" applyAlignment="1">
      <alignment horizontal="center"/>
    </xf>
    <xf numFmtId="8" fontId="5" fillId="4" borderId="2" xfId="3" applyNumberFormat="1" applyFont="1" applyFill="1" applyBorder="1" applyAlignment="1">
      <alignment horizontal="left"/>
    </xf>
    <xf numFmtId="0" fontId="5" fillId="4" borderId="24" xfId="3" applyFont="1" applyFill="1" applyBorder="1" applyAlignment="1">
      <alignment horizontal="right"/>
    </xf>
    <xf numFmtId="0" fontId="5" fillId="4" borderId="1" xfId="3" applyFont="1" applyFill="1" applyBorder="1" applyAlignment="1">
      <alignment horizontal="left"/>
    </xf>
    <xf numFmtId="0" fontId="24" fillId="4" borderId="0" xfId="3" applyFont="1" applyFill="1" applyAlignment="1">
      <alignment horizontal="center"/>
    </xf>
    <xf numFmtId="0" fontId="5" fillId="4" borderId="25" xfId="3" applyFont="1" applyFill="1" applyBorder="1" applyAlignment="1">
      <alignment horizontal="right"/>
    </xf>
    <xf numFmtId="0" fontId="5" fillId="4" borderId="7" xfId="3" applyFont="1" applyFill="1" applyBorder="1" applyAlignment="1">
      <alignment horizontal="right"/>
    </xf>
    <xf numFmtId="8" fontId="5" fillId="4" borderId="1" xfId="3" applyNumberFormat="1" applyFont="1" applyFill="1" applyBorder="1" applyAlignment="1">
      <alignment horizontal="left"/>
    </xf>
    <xf numFmtId="0" fontId="5" fillId="4" borderId="0" xfId="3" applyFont="1" applyFill="1" applyAlignment="1">
      <alignment horizontal="right" vertical="top"/>
    </xf>
    <xf numFmtId="0" fontId="6" fillId="4" borderId="13" xfId="3" applyFont="1" applyFill="1" applyBorder="1" applyAlignment="1">
      <alignment horizontal="center"/>
    </xf>
    <xf numFmtId="0" fontId="6" fillId="4" borderId="14" xfId="3" applyFont="1" applyFill="1" applyBorder="1" applyAlignment="1">
      <alignment horizontal="center"/>
    </xf>
    <xf numFmtId="0" fontId="6" fillId="4" borderId="15" xfId="3" applyFont="1" applyFill="1" applyBorder="1" applyAlignment="1">
      <alignment horizontal="center"/>
    </xf>
    <xf numFmtId="0" fontId="5" fillId="4" borderId="39" xfId="3" applyFont="1" applyFill="1" applyBorder="1" applyAlignment="1">
      <alignment horizontal="right"/>
    </xf>
    <xf numFmtId="0" fontId="5" fillId="4" borderId="62" xfId="3" applyFont="1" applyFill="1" applyBorder="1" applyAlignment="1">
      <alignment horizontal="right"/>
    </xf>
    <xf numFmtId="0" fontId="4" fillId="0" borderId="42" xfId="3" applyBorder="1" applyAlignment="1">
      <alignment horizontal="right" vertical="center" indent="1"/>
    </xf>
    <xf numFmtId="0" fontId="4" fillId="0" borderId="67" xfId="3" applyBorder="1" applyAlignment="1">
      <alignment horizontal="right" vertical="center" indent="1"/>
    </xf>
    <xf numFmtId="0" fontId="4" fillId="0" borderId="18" xfId="3" applyBorder="1" applyAlignment="1">
      <alignment horizontal="right" vertical="center" indent="1"/>
    </xf>
    <xf numFmtId="0" fontId="4" fillId="3" borderId="13" xfId="3" applyFill="1" applyBorder="1" applyAlignment="1" applyProtection="1">
      <alignment horizontal="left"/>
      <protection locked="0"/>
    </xf>
    <xf numFmtId="0" fontId="4" fillId="3" borderId="14" xfId="3" applyFill="1" applyBorder="1" applyAlignment="1" applyProtection="1">
      <alignment horizontal="left"/>
      <protection locked="0"/>
    </xf>
    <xf numFmtId="167" fontId="4" fillId="3" borderId="6" xfId="3" applyNumberFormat="1" applyFill="1" applyBorder="1" applyAlignment="1" applyProtection="1">
      <alignment horizontal="left"/>
      <protection locked="0"/>
    </xf>
    <xf numFmtId="167" fontId="4" fillId="3" borderId="2" xfId="3" applyNumberFormat="1" applyFill="1" applyBorder="1" applyAlignment="1" applyProtection="1">
      <alignment horizontal="left"/>
      <protection locked="0"/>
    </xf>
    <xf numFmtId="167" fontId="4" fillId="3" borderId="7" xfId="3" applyNumberFormat="1" applyFill="1" applyBorder="1" applyAlignment="1" applyProtection="1">
      <alignment horizontal="left"/>
      <protection locked="0"/>
    </xf>
    <xf numFmtId="0" fontId="4" fillId="0" borderId="13" xfId="3" applyBorder="1" applyAlignment="1">
      <alignment horizontal="center"/>
    </xf>
    <xf numFmtId="0" fontId="4" fillId="0" borderId="14" xfId="3" applyBorder="1" applyAlignment="1">
      <alignment horizontal="center"/>
    </xf>
    <xf numFmtId="0" fontId="4" fillId="0" borderId="15" xfId="3" applyBorder="1" applyAlignment="1">
      <alignment horizontal="center"/>
    </xf>
    <xf numFmtId="0" fontId="8" fillId="0" borderId="43" xfId="3" applyFont="1" applyBorder="1" applyAlignment="1">
      <alignment horizontal="left" vertical="center" wrapText="1"/>
    </xf>
    <xf numFmtId="0" fontId="8" fillId="0" borderId="64" xfId="3" applyFont="1" applyBorder="1" applyAlignment="1">
      <alignment horizontal="left" vertical="center" wrapText="1"/>
    </xf>
    <xf numFmtId="0" fontId="4" fillId="3" borderId="9" xfId="3" applyFill="1" applyBorder="1" applyAlignment="1" applyProtection="1">
      <alignment horizontal="left"/>
      <protection locked="0"/>
    </xf>
    <xf numFmtId="0" fontId="4" fillId="3" borderId="65" xfId="3" applyFill="1" applyBorder="1" applyAlignment="1" applyProtection="1">
      <alignment horizontal="left"/>
      <protection locked="0"/>
    </xf>
    <xf numFmtId="0" fontId="4" fillId="3" borderId="10" xfId="3" applyFill="1" applyBorder="1" applyAlignment="1" applyProtection="1">
      <alignment horizontal="left"/>
      <protection locked="0"/>
    </xf>
    <xf numFmtId="0" fontId="4" fillId="3" borderId="6" xfId="3" applyFill="1" applyBorder="1" applyAlignment="1" applyProtection="1">
      <alignment horizontal="left" wrapText="1"/>
      <protection locked="0"/>
    </xf>
    <xf numFmtId="0" fontId="4" fillId="3" borderId="2" xfId="3" applyFill="1" applyBorder="1" applyAlignment="1" applyProtection="1">
      <alignment horizontal="left" wrapText="1"/>
      <protection locked="0"/>
    </xf>
    <xf numFmtId="0" fontId="4" fillId="3" borderId="7" xfId="3" applyFill="1" applyBorder="1" applyAlignment="1" applyProtection="1">
      <alignment horizontal="left" wrapText="1"/>
      <protection locked="0"/>
    </xf>
    <xf numFmtId="0" fontId="8" fillId="0" borderId="43" xfId="3" applyFont="1" applyBorder="1" applyAlignment="1">
      <alignment horizontal="center"/>
    </xf>
    <xf numFmtId="0" fontId="8" fillId="0" borderId="44" xfId="3" applyFont="1" applyBorder="1" applyAlignment="1">
      <alignment horizontal="center"/>
    </xf>
    <xf numFmtId="167" fontId="4" fillId="3" borderId="9" xfId="3" applyNumberFormat="1" applyFill="1" applyBorder="1" applyAlignment="1" applyProtection="1">
      <alignment horizontal="left"/>
      <protection locked="0"/>
    </xf>
    <xf numFmtId="167" fontId="4" fillId="3" borderId="65" xfId="3" applyNumberFormat="1" applyFill="1" applyBorder="1" applyAlignment="1" applyProtection="1">
      <alignment horizontal="left"/>
      <protection locked="0"/>
    </xf>
    <xf numFmtId="167" fontId="4" fillId="3" borderId="10" xfId="3" applyNumberFormat="1" applyFill="1" applyBorder="1" applyAlignment="1" applyProtection="1">
      <alignment horizontal="left"/>
      <protection locked="0"/>
    </xf>
    <xf numFmtId="0" fontId="11" fillId="0" borderId="13" xfId="3" applyFont="1" applyBorder="1" applyAlignment="1">
      <alignment horizontal="left"/>
    </xf>
    <xf numFmtId="0" fontId="11" fillId="0" borderId="14" xfId="3" applyFont="1" applyBorder="1" applyAlignment="1">
      <alignment horizontal="left"/>
    </xf>
    <xf numFmtId="0" fontId="6" fillId="0" borderId="13" xfId="3" applyFont="1" applyBorder="1" applyAlignment="1">
      <alignment horizontal="left"/>
    </xf>
    <xf numFmtId="0" fontId="6" fillId="0" borderId="14" xfId="3" applyFont="1" applyBorder="1" applyAlignment="1">
      <alignment horizontal="left"/>
    </xf>
    <xf numFmtId="0" fontId="6" fillId="0" borderId="15" xfId="3" applyFont="1" applyBorder="1" applyAlignment="1">
      <alignment horizontal="left"/>
    </xf>
    <xf numFmtId="0" fontId="4" fillId="0" borderId="13" xfId="3" applyBorder="1" applyAlignment="1">
      <alignment horizontal="left"/>
    </xf>
    <xf numFmtId="0" fontId="4" fillId="0" borderId="14" xfId="3" applyBorder="1" applyAlignment="1">
      <alignment horizontal="left"/>
    </xf>
    <xf numFmtId="0" fontId="6" fillId="0" borderId="13" xfId="3" applyFont="1" applyBorder="1" applyAlignment="1">
      <alignment horizontal="left" wrapText="1"/>
    </xf>
    <xf numFmtId="0" fontId="6" fillId="0" borderId="14" xfId="3" applyFont="1" applyBorder="1" applyAlignment="1">
      <alignment horizontal="left" wrapText="1"/>
    </xf>
    <xf numFmtId="0" fontId="6" fillId="0" borderId="60" xfId="3" applyFont="1" applyBorder="1" applyAlignment="1">
      <alignment horizontal="left" wrapText="1"/>
    </xf>
    <xf numFmtId="0" fontId="2" fillId="3" borderId="13" xfId="0" applyFont="1" applyFill="1" applyBorder="1" applyAlignment="1" applyProtection="1">
      <alignment horizontal="left"/>
      <protection locked="0"/>
    </xf>
    <xf numFmtId="0" fontId="2" fillId="3" borderId="14" xfId="0" applyFont="1" applyFill="1" applyBorder="1" applyAlignment="1" applyProtection="1">
      <alignment horizontal="left"/>
      <protection locked="0"/>
    </xf>
    <xf numFmtId="0" fontId="4" fillId="0" borderId="6" xfId="3" applyBorder="1" applyAlignment="1">
      <alignment horizontal="left"/>
    </xf>
    <xf numFmtId="0" fontId="4" fillId="0" borderId="2" xfId="3" applyBorder="1" applyAlignment="1">
      <alignment horizontal="left"/>
    </xf>
    <xf numFmtId="0" fontId="6" fillId="0" borderId="13" xfId="3" applyFont="1" applyBorder="1" applyAlignment="1">
      <alignment horizontal="center" vertical="center" wrapText="1"/>
    </xf>
    <xf numFmtId="0" fontId="6" fillId="0" borderId="14" xfId="3" applyFont="1" applyBorder="1" applyAlignment="1">
      <alignment horizontal="center" vertical="center" wrapText="1"/>
    </xf>
    <xf numFmtId="0" fontId="6" fillId="0" borderId="15" xfId="3" applyFont="1" applyBorder="1" applyAlignment="1">
      <alignment horizontal="center" vertical="center" wrapText="1"/>
    </xf>
    <xf numFmtId="0" fontId="8" fillId="0" borderId="56" xfId="3" applyFont="1" applyBorder="1" applyAlignment="1">
      <alignment horizontal="left" wrapText="1" indent="14"/>
    </xf>
    <xf numFmtId="0" fontId="8" fillId="0" borderId="0" xfId="3" applyFont="1" applyAlignment="1">
      <alignment horizontal="left" wrapText="1" indent="14"/>
    </xf>
    <xf numFmtId="0" fontId="4" fillId="0" borderId="59" xfId="3" applyBorder="1" applyAlignment="1">
      <alignment horizontal="left" wrapText="1"/>
    </xf>
    <xf numFmtId="0" fontId="4" fillId="0" borderId="1" xfId="3" applyBorder="1" applyAlignment="1">
      <alignment horizontal="left" wrapText="1"/>
    </xf>
    <xf numFmtId="0" fontId="4" fillId="0" borderId="60" xfId="3" applyBorder="1" applyAlignment="1">
      <alignment horizontal="left"/>
    </xf>
    <xf numFmtId="0" fontId="4" fillId="3" borderId="43" xfId="3" applyFill="1" applyBorder="1" applyAlignment="1" applyProtection="1">
      <alignment horizontal="left" wrapText="1"/>
      <protection locked="0"/>
    </xf>
    <xf numFmtId="0" fontId="4" fillId="3" borderId="64" xfId="3" applyFill="1" applyBorder="1" applyAlignment="1" applyProtection="1">
      <alignment horizontal="left" wrapText="1"/>
      <protection locked="0"/>
    </xf>
    <xf numFmtId="0" fontId="4" fillId="3" borderId="62" xfId="3" applyFill="1" applyBorder="1" applyAlignment="1" applyProtection="1">
      <alignment horizontal="left" wrapText="1"/>
      <protection locked="0"/>
    </xf>
    <xf numFmtId="0" fontId="4" fillId="3" borderId="59" xfId="3" applyFill="1" applyBorder="1" applyAlignment="1" applyProtection="1">
      <alignment horizontal="left" wrapText="1"/>
      <protection locked="0"/>
    </xf>
    <xf numFmtId="0" fontId="4" fillId="3" borderId="1" xfId="3" applyFill="1" applyBorder="1" applyAlignment="1" applyProtection="1">
      <alignment horizontal="left" wrapText="1"/>
      <protection locked="0"/>
    </xf>
    <xf numFmtId="0" fontId="4" fillId="3" borderId="83" xfId="3" applyFill="1" applyBorder="1" applyAlignment="1" applyProtection="1">
      <alignment horizontal="left" wrapText="1"/>
      <protection locked="0"/>
    </xf>
    <xf numFmtId="0" fontId="4" fillId="3" borderId="9" xfId="3" applyFill="1" applyBorder="1" applyAlignment="1" applyProtection="1">
      <alignment horizontal="left" wrapText="1"/>
      <protection locked="0"/>
    </xf>
    <xf numFmtId="0" fontId="4" fillId="3" borderId="65" xfId="3" applyFill="1" applyBorder="1" applyAlignment="1" applyProtection="1">
      <alignment horizontal="left" wrapText="1"/>
      <protection locked="0"/>
    </xf>
    <xf numFmtId="0" fontId="4" fillId="3" borderId="10" xfId="3" applyFill="1" applyBorder="1" applyAlignment="1" applyProtection="1">
      <alignment horizontal="left" wrapText="1"/>
      <protection locked="0"/>
    </xf>
    <xf numFmtId="165" fontId="18" fillId="0" borderId="14" xfId="3" applyNumberFormat="1" applyFont="1" applyBorder="1" applyAlignment="1">
      <alignment horizontal="center" vertical="center" wrapText="1"/>
    </xf>
    <xf numFmtId="165" fontId="18" fillId="0" borderId="15" xfId="3" applyNumberFormat="1" applyFont="1" applyBorder="1" applyAlignment="1">
      <alignment horizontal="center" vertical="center" wrapText="1"/>
    </xf>
    <xf numFmtId="0" fontId="4" fillId="3" borderId="15" xfId="3" applyFill="1" applyBorder="1" applyAlignment="1" applyProtection="1">
      <alignment horizontal="left"/>
      <protection locked="0"/>
    </xf>
    <xf numFmtId="44" fontId="26" fillId="10" borderId="24" xfId="1" applyFont="1" applyFill="1" applyBorder="1" applyAlignment="1" applyProtection="1">
      <alignment horizontal="left"/>
      <protection locked="0"/>
    </xf>
    <xf numFmtId="0" fontId="25" fillId="0" borderId="13" xfId="0" applyFont="1" applyBorder="1" applyAlignment="1">
      <alignment horizontal="left" wrapText="1"/>
    </xf>
    <xf numFmtId="0" fontId="25" fillId="0" borderId="15" xfId="0" applyFont="1" applyBorder="1" applyAlignment="1">
      <alignment horizontal="left" wrapText="1"/>
    </xf>
    <xf numFmtId="2" fontId="26" fillId="11" borderId="39" xfId="0" applyNumberFormat="1" applyFont="1" applyFill="1" applyBorder="1" applyAlignment="1">
      <alignment horizontal="left"/>
    </xf>
    <xf numFmtId="2" fontId="26" fillId="11" borderId="62" xfId="0" applyNumberFormat="1" applyFont="1" applyFill="1" applyBorder="1" applyAlignment="1">
      <alignment horizontal="left"/>
    </xf>
    <xf numFmtId="0" fontId="25" fillId="0" borderId="13" xfId="0" applyFont="1" applyBorder="1" applyAlignment="1">
      <alignment horizontal="left" vertical="center" wrapText="1"/>
    </xf>
    <xf numFmtId="0" fontId="25" fillId="0" borderId="15" xfId="0" applyFont="1" applyBorder="1" applyAlignment="1">
      <alignment horizontal="left" vertical="center" wrapText="1"/>
    </xf>
    <xf numFmtId="0" fontId="21" fillId="7" borderId="101" xfId="0" applyFont="1" applyFill="1" applyBorder="1" applyAlignment="1">
      <alignment horizontal="right"/>
    </xf>
    <xf numFmtId="0" fontId="21" fillId="7" borderId="55" xfId="0" applyFont="1" applyFill="1" applyBorder="1" applyAlignment="1">
      <alignment horizontal="right"/>
    </xf>
    <xf numFmtId="0" fontId="21" fillId="7" borderId="54" xfId="0" applyFont="1" applyFill="1" applyBorder="1" applyAlignment="1">
      <alignment horizontal="right"/>
    </xf>
    <xf numFmtId="0" fontId="21" fillId="7" borderId="35" xfId="0" applyFont="1" applyFill="1" applyBorder="1" applyAlignment="1">
      <alignment horizontal="center"/>
    </xf>
    <xf numFmtId="8" fontId="21" fillId="15" borderId="101" xfId="0" applyNumberFormat="1" applyFont="1" applyFill="1" applyBorder="1" applyAlignment="1">
      <alignment horizontal="center"/>
    </xf>
    <xf numFmtId="8" fontId="21" fillId="15" borderId="55" xfId="0" applyNumberFormat="1" applyFont="1" applyFill="1" applyBorder="1" applyAlignment="1">
      <alignment horizontal="center"/>
    </xf>
    <xf numFmtId="8" fontId="21" fillId="15" borderId="102" xfId="0" applyNumberFormat="1" applyFont="1" applyFill="1" applyBorder="1" applyAlignment="1">
      <alignment horizontal="center"/>
    </xf>
    <xf numFmtId="8" fontId="21" fillId="12" borderId="101" xfId="0" applyNumberFormat="1" applyFont="1" applyFill="1" applyBorder="1" applyAlignment="1">
      <alignment horizontal="center"/>
    </xf>
    <xf numFmtId="8" fontId="21" fillId="12" borderId="55" xfId="0" applyNumberFormat="1" applyFont="1" applyFill="1" applyBorder="1" applyAlignment="1">
      <alignment horizontal="center"/>
    </xf>
    <xf numFmtId="8" fontId="21" fillId="12" borderId="102" xfId="0" applyNumberFormat="1" applyFont="1" applyFill="1" applyBorder="1" applyAlignment="1">
      <alignment horizontal="center"/>
    </xf>
    <xf numFmtId="8" fontId="21" fillId="16" borderId="101" xfId="0" applyNumberFormat="1" applyFont="1" applyFill="1" applyBorder="1" applyAlignment="1">
      <alignment horizontal="center"/>
    </xf>
    <xf numFmtId="8" fontId="21" fillId="16" borderId="55" xfId="0" applyNumberFormat="1" applyFont="1" applyFill="1" applyBorder="1" applyAlignment="1">
      <alignment horizontal="center"/>
    </xf>
    <xf numFmtId="8" fontId="21" fillId="16" borderId="102" xfId="0" applyNumberFormat="1" applyFont="1" applyFill="1" applyBorder="1" applyAlignment="1">
      <alignment horizontal="center"/>
    </xf>
    <xf numFmtId="0" fontId="2" fillId="0" borderId="0" xfId="0" applyFont="1" applyAlignment="1">
      <alignment horizontal="center"/>
    </xf>
    <xf numFmtId="0" fontId="51" fillId="13" borderId="25" xfId="0" applyFont="1" applyFill="1" applyBorder="1" applyAlignment="1" applyProtection="1">
      <alignment horizontal="left" vertical="center"/>
      <protection locked="0"/>
    </xf>
    <xf numFmtId="0" fontId="51" fillId="13" borderId="7" xfId="0" applyFont="1" applyFill="1" applyBorder="1" applyAlignment="1" applyProtection="1">
      <alignment horizontal="left" vertical="center"/>
      <protection locked="0"/>
    </xf>
    <xf numFmtId="0" fontId="52" fillId="13" borderId="59" xfId="0" applyFont="1" applyFill="1" applyBorder="1" applyAlignment="1" applyProtection="1">
      <alignment horizontal="center" vertical="center"/>
      <protection locked="0"/>
    </xf>
    <xf numFmtId="0" fontId="52" fillId="13" borderId="1" xfId="0" applyFont="1" applyFill="1" applyBorder="1" applyAlignment="1" applyProtection="1">
      <alignment horizontal="center" vertical="center"/>
      <protection locked="0"/>
    </xf>
    <xf numFmtId="0" fontId="52" fillId="13" borderId="83" xfId="0" applyFont="1" applyFill="1" applyBorder="1" applyAlignment="1" applyProtection="1">
      <alignment horizontal="center" vertical="center"/>
      <protection locked="0"/>
    </xf>
    <xf numFmtId="0" fontId="51" fillId="13" borderId="34" xfId="1" applyNumberFormat="1" applyFont="1" applyFill="1" applyBorder="1" applyAlignment="1" applyProtection="1">
      <alignment horizontal="center" vertical="center"/>
      <protection locked="0"/>
    </xf>
    <xf numFmtId="8" fontId="51" fillId="13" borderId="34" xfId="1" applyNumberFormat="1" applyFont="1" applyFill="1" applyBorder="1" applyAlignment="1" applyProtection="1">
      <alignment horizontal="center" vertical="center"/>
      <protection locked="0"/>
    </xf>
    <xf numFmtId="40" fontId="54" fillId="0" borderId="93" xfId="0" applyNumberFormat="1" applyFont="1" applyBorder="1" applyAlignment="1">
      <alignment horizontal="center" vertical="center"/>
    </xf>
    <xf numFmtId="0" fontId="51" fillId="13" borderId="24" xfId="1" applyNumberFormat="1" applyFont="1" applyFill="1" applyBorder="1" applyAlignment="1" applyProtection="1">
      <alignment horizontal="center" vertical="center"/>
      <protection locked="0"/>
    </xf>
    <xf numFmtId="8" fontId="51" fillId="13" borderId="24" xfId="1" applyNumberFormat="1" applyFont="1" applyFill="1" applyBorder="1" applyAlignment="1" applyProtection="1">
      <alignment horizontal="center" vertical="center"/>
      <protection locked="0"/>
    </xf>
    <xf numFmtId="0" fontId="51" fillId="13" borderId="25" xfId="1" applyNumberFormat="1" applyFont="1" applyFill="1" applyBorder="1" applyAlignment="1" applyProtection="1">
      <alignment horizontal="center" vertical="center"/>
      <protection locked="0"/>
    </xf>
    <xf numFmtId="0" fontId="51" fillId="13" borderId="7" xfId="1" applyNumberFormat="1" applyFont="1" applyFill="1" applyBorder="1" applyAlignment="1" applyProtection="1">
      <alignment horizontal="center" vertical="center"/>
      <protection locked="0"/>
    </xf>
    <xf numFmtId="0" fontId="56" fillId="17" borderId="0" xfId="0" applyFont="1" applyFill="1" applyAlignment="1">
      <alignment horizontal="center" vertical="center"/>
    </xf>
    <xf numFmtId="0" fontId="51" fillId="13" borderId="37" xfId="1" applyNumberFormat="1" applyFont="1" applyFill="1" applyBorder="1" applyAlignment="1" applyProtection="1">
      <alignment horizontal="center" vertical="center"/>
      <protection locked="0"/>
    </xf>
    <xf numFmtId="8" fontId="51" fillId="13" borderId="37" xfId="1" applyNumberFormat="1" applyFont="1" applyFill="1" applyBorder="1" applyAlignment="1" applyProtection="1">
      <alignment horizontal="center" vertical="center"/>
      <protection locked="0"/>
    </xf>
    <xf numFmtId="0" fontId="51" fillId="0" borderId="3" xfId="0" applyFont="1" applyBorder="1" applyAlignment="1">
      <alignment horizontal="center" vertical="center"/>
    </xf>
    <xf numFmtId="0" fontId="51" fillId="0" borderId="5" xfId="0" applyFont="1" applyBorder="1" applyAlignment="1">
      <alignment horizontal="center" vertical="center"/>
    </xf>
    <xf numFmtId="0" fontId="51" fillId="0" borderId="17" xfId="0" applyFont="1" applyBorder="1" applyAlignment="1">
      <alignment horizontal="center" vertical="center"/>
    </xf>
    <xf numFmtId="0" fontId="51" fillId="0" borderId="57" xfId="0" applyFont="1" applyBorder="1" applyAlignment="1">
      <alignment horizontal="center" vertical="center"/>
    </xf>
    <xf numFmtId="0" fontId="51" fillId="0" borderId="42" xfId="0" applyFont="1" applyBorder="1" applyAlignment="1">
      <alignment horizontal="center" vertical="center" wrapText="1"/>
    </xf>
    <xf numFmtId="0" fontId="51" fillId="0" borderId="18" xfId="0" applyFont="1" applyBorder="1" applyAlignment="1">
      <alignment horizontal="center" vertical="center" wrapText="1"/>
    </xf>
    <xf numFmtId="0" fontId="51" fillId="0" borderId="42" xfId="0" applyFont="1" applyBorder="1" applyAlignment="1">
      <alignment horizontal="center" vertical="center"/>
    </xf>
    <xf numFmtId="0" fontId="51" fillId="0" borderId="18" xfId="0" applyFont="1" applyBorder="1" applyAlignment="1">
      <alignment horizontal="center" vertical="center"/>
    </xf>
    <xf numFmtId="0" fontId="51" fillId="0" borderId="4" xfId="0" applyFont="1" applyBorder="1" applyAlignment="1">
      <alignment horizontal="center" vertical="center"/>
    </xf>
    <xf numFmtId="0" fontId="51" fillId="0" borderId="35" xfId="0" applyFont="1" applyBorder="1" applyAlignment="1">
      <alignment horizontal="center" vertical="center"/>
    </xf>
    <xf numFmtId="0" fontId="51" fillId="0" borderId="1" xfId="0" applyFont="1" applyBorder="1" applyAlignment="1">
      <alignment horizontal="left" vertical="center" indent="1"/>
    </xf>
    <xf numFmtId="0" fontId="50" fillId="0" borderId="0" xfId="0" applyFont="1" applyAlignment="1">
      <alignment horizontal="center" vertical="center"/>
    </xf>
    <xf numFmtId="0" fontId="51" fillId="0" borderId="0" xfId="0" applyFont="1" applyAlignment="1">
      <alignment horizontal="center" vertical="center"/>
    </xf>
    <xf numFmtId="0" fontId="48" fillId="0" borderId="0" xfId="0" applyFont="1" applyAlignment="1">
      <alignment horizontal="right" vertical="center" indent="1"/>
    </xf>
    <xf numFmtId="0" fontId="50" fillId="0" borderId="0" xfId="0" applyFont="1" applyAlignment="1">
      <alignment horizontal="right" vertical="center" indent="1"/>
    </xf>
    <xf numFmtId="44" fontId="56" fillId="0" borderId="25" xfId="1" applyFont="1" applyBorder="1" applyAlignment="1" applyProtection="1">
      <alignment horizontal="center" vertical="center"/>
    </xf>
    <xf numFmtId="44" fontId="56" fillId="0" borderId="7" xfId="1" applyFont="1" applyBorder="1" applyAlignment="1" applyProtection="1">
      <alignment horizontal="center" vertical="center"/>
    </xf>
  </cellXfs>
  <cellStyles count="84">
    <cellStyle name="Calculation" xfId="77" builtinId="22"/>
    <cellStyle name="Comma 2" xfId="4" xr:uid="{00000000-0005-0000-0000-000001000000}"/>
    <cellStyle name="Comma 2 2" xfId="5" xr:uid="{00000000-0005-0000-0000-000002000000}"/>
    <cellStyle name="Comma 2 2 2" xfId="6" xr:uid="{00000000-0005-0000-0000-000003000000}"/>
    <cellStyle name="Comma 2 3" xfId="7" xr:uid="{00000000-0005-0000-0000-000004000000}"/>
    <cellStyle name="Comma 2 3 2" xfId="8" xr:uid="{00000000-0005-0000-0000-000005000000}"/>
    <cellStyle name="Comma 2 4" xfId="9" xr:uid="{00000000-0005-0000-0000-000006000000}"/>
    <cellStyle name="Comma 2 4 2" xfId="10" xr:uid="{00000000-0005-0000-0000-000007000000}"/>
    <cellStyle name="Comma 3" xfId="11" xr:uid="{00000000-0005-0000-0000-000008000000}"/>
    <cellStyle name="Comma 4" xfId="81" xr:uid="{00000000-0005-0000-0000-000009000000}"/>
    <cellStyle name="Currency" xfId="1" builtinId="4"/>
    <cellStyle name="Currency 2" xfId="12" xr:uid="{00000000-0005-0000-0000-00000B000000}"/>
    <cellStyle name="Currency 2 2" xfId="13" xr:uid="{00000000-0005-0000-0000-00000C000000}"/>
    <cellStyle name="Currency 2 2 2" xfId="14" xr:uid="{00000000-0005-0000-0000-00000D000000}"/>
    <cellStyle name="Currency 2 3" xfId="15" xr:uid="{00000000-0005-0000-0000-00000E000000}"/>
    <cellStyle name="Currency 2 3 2" xfId="16" xr:uid="{00000000-0005-0000-0000-00000F000000}"/>
    <cellStyle name="Currency 2 4" xfId="17" xr:uid="{00000000-0005-0000-0000-000010000000}"/>
    <cellStyle name="Currency 2 4 2" xfId="18" xr:uid="{00000000-0005-0000-0000-000011000000}"/>
    <cellStyle name="Currency 2 5" xfId="19" xr:uid="{00000000-0005-0000-0000-000012000000}"/>
    <cellStyle name="Currency 3" xfId="20" xr:uid="{00000000-0005-0000-0000-000013000000}"/>
    <cellStyle name="Currency 4" xfId="21" xr:uid="{00000000-0005-0000-0000-000014000000}"/>
    <cellStyle name="Currency 5" xfId="22" xr:uid="{00000000-0005-0000-0000-000015000000}"/>
    <cellStyle name="Currency 6" xfId="76" xr:uid="{00000000-0005-0000-0000-000016000000}"/>
    <cellStyle name="Date" xfId="23" xr:uid="{00000000-0005-0000-0000-000017000000}"/>
    <cellStyle name="Date 2" xfId="24" xr:uid="{00000000-0005-0000-0000-000018000000}"/>
    <cellStyle name="F2" xfId="25" xr:uid="{00000000-0005-0000-0000-000019000000}"/>
    <cellStyle name="F2 2" xfId="26" xr:uid="{00000000-0005-0000-0000-00001A000000}"/>
    <cellStyle name="F3" xfId="27" xr:uid="{00000000-0005-0000-0000-00001B000000}"/>
    <cellStyle name="F3 2" xfId="28" xr:uid="{00000000-0005-0000-0000-00001C000000}"/>
    <cellStyle name="F4" xfId="29" xr:uid="{00000000-0005-0000-0000-00001D000000}"/>
    <cellStyle name="F4 2" xfId="30" xr:uid="{00000000-0005-0000-0000-00001E000000}"/>
    <cellStyle name="F5" xfId="31" xr:uid="{00000000-0005-0000-0000-00001F000000}"/>
    <cellStyle name="F5 2" xfId="32" xr:uid="{00000000-0005-0000-0000-000020000000}"/>
    <cellStyle name="F6" xfId="33" xr:uid="{00000000-0005-0000-0000-000021000000}"/>
    <cellStyle name="F6 2" xfId="34" xr:uid="{00000000-0005-0000-0000-000022000000}"/>
    <cellStyle name="F7" xfId="35" xr:uid="{00000000-0005-0000-0000-000023000000}"/>
    <cellStyle name="F7 2" xfId="36" xr:uid="{00000000-0005-0000-0000-000024000000}"/>
    <cellStyle name="F8" xfId="37" xr:uid="{00000000-0005-0000-0000-000025000000}"/>
    <cellStyle name="F8 2" xfId="38" xr:uid="{00000000-0005-0000-0000-000026000000}"/>
    <cellStyle name="Fixed" xfId="39" xr:uid="{00000000-0005-0000-0000-000027000000}"/>
    <cellStyle name="Fixed 2" xfId="40" xr:uid="{00000000-0005-0000-0000-000028000000}"/>
    <cellStyle name="Heading 3" xfId="78" builtinId="18"/>
    <cellStyle name="HEADING1" xfId="41" xr:uid="{00000000-0005-0000-0000-00002A000000}"/>
    <cellStyle name="HEADING1 2" xfId="42" xr:uid="{00000000-0005-0000-0000-00002B000000}"/>
    <cellStyle name="HEADING2" xfId="43" xr:uid="{00000000-0005-0000-0000-00002C000000}"/>
    <cellStyle name="HEADING2 2" xfId="44" xr:uid="{00000000-0005-0000-0000-00002D000000}"/>
    <cellStyle name="Input" xfId="83" builtinId="20"/>
    <cellStyle name="Normal" xfId="0" builtinId="0"/>
    <cellStyle name="Normal 10" xfId="80" xr:uid="{00000000-0005-0000-0000-00002F000000}"/>
    <cellStyle name="Normal 13" xfId="45" xr:uid="{00000000-0005-0000-0000-000030000000}"/>
    <cellStyle name="Normal 14" xfId="46" xr:uid="{00000000-0005-0000-0000-000031000000}"/>
    <cellStyle name="Normal 15" xfId="47" xr:uid="{00000000-0005-0000-0000-000032000000}"/>
    <cellStyle name="Normal 16" xfId="48" xr:uid="{00000000-0005-0000-0000-000033000000}"/>
    <cellStyle name="Normal 2" xfId="49" xr:uid="{00000000-0005-0000-0000-000034000000}"/>
    <cellStyle name="Normal 2 2" xfId="50" xr:uid="{00000000-0005-0000-0000-000035000000}"/>
    <cellStyle name="Normal 2 3" xfId="79" xr:uid="{00000000-0005-0000-0000-000036000000}"/>
    <cellStyle name="Normal 3" xfId="51" xr:uid="{00000000-0005-0000-0000-000037000000}"/>
    <cellStyle name="Normal 3 10" xfId="52" xr:uid="{00000000-0005-0000-0000-000038000000}"/>
    <cellStyle name="Normal 3 2" xfId="53" xr:uid="{00000000-0005-0000-0000-000039000000}"/>
    <cellStyle name="Normal 3 3" xfId="54" xr:uid="{00000000-0005-0000-0000-00003A000000}"/>
    <cellStyle name="Normal 3 4" xfId="55" xr:uid="{00000000-0005-0000-0000-00003B000000}"/>
    <cellStyle name="Normal 3 5" xfId="56" xr:uid="{00000000-0005-0000-0000-00003C000000}"/>
    <cellStyle name="Normal 3 6" xfId="57" xr:uid="{00000000-0005-0000-0000-00003D000000}"/>
    <cellStyle name="Normal 3 7" xfId="58" xr:uid="{00000000-0005-0000-0000-00003E000000}"/>
    <cellStyle name="Normal 3 8" xfId="59" xr:uid="{00000000-0005-0000-0000-00003F000000}"/>
    <cellStyle name="Normal 3 9" xfId="60" xr:uid="{00000000-0005-0000-0000-000040000000}"/>
    <cellStyle name="Normal 4" xfId="61" xr:uid="{00000000-0005-0000-0000-000041000000}"/>
    <cellStyle name="Normal 4 2" xfId="62" xr:uid="{00000000-0005-0000-0000-000042000000}"/>
    <cellStyle name="Normal 5" xfId="63" xr:uid="{00000000-0005-0000-0000-000043000000}"/>
    <cellStyle name="Normal 6" xfId="64" xr:uid="{00000000-0005-0000-0000-000044000000}"/>
    <cellStyle name="Normal 7" xfId="65" xr:uid="{00000000-0005-0000-0000-000045000000}"/>
    <cellStyle name="Normal 8" xfId="66" xr:uid="{00000000-0005-0000-0000-000046000000}"/>
    <cellStyle name="Normal 9" xfId="3" xr:uid="{00000000-0005-0000-0000-000047000000}"/>
    <cellStyle name="Percent" xfId="2" builtinId="5"/>
    <cellStyle name="Percent 2" xfId="67" xr:uid="{00000000-0005-0000-0000-000049000000}"/>
    <cellStyle name="Percent 2 2" xfId="68" xr:uid="{00000000-0005-0000-0000-00004A000000}"/>
    <cellStyle name="Percent 3" xfId="69" xr:uid="{00000000-0005-0000-0000-00004B000000}"/>
    <cellStyle name="Percent 4" xfId="70" xr:uid="{00000000-0005-0000-0000-00004C000000}"/>
    <cellStyle name="Percent 5" xfId="71" xr:uid="{00000000-0005-0000-0000-00004D000000}"/>
    <cellStyle name="Percent 6" xfId="75" xr:uid="{00000000-0005-0000-0000-00004E000000}"/>
    <cellStyle name="Percent 7" xfId="82" xr:uid="{00000000-0005-0000-0000-00004F000000}"/>
    <cellStyle name="Title" xfId="74" builtinId="15"/>
    <cellStyle name="Total 2" xfId="72" xr:uid="{00000000-0005-0000-0000-000051000000}"/>
    <cellStyle name="Total 3" xfId="73" xr:uid="{00000000-0005-0000-0000-000052000000}"/>
  </cellStyles>
  <dxfs count="61">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patternType="solid">
          <fgColor auto="1"/>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Cost</a:t>
            </a:r>
            <a:r>
              <a:rPr lang="en-US" baseline="0"/>
              <a:t> Summary</a:t>
            </a:r>
            <a:endParaRPr lang="en-US"/>
          </a:p>
        </c:rich>
      </c:tx>
      <c:overlay val="0"/>
    </c:title>
    <c:autoTitleDeleted val="0"/>
    <c:view3D>
      <c:rotX val="15"/>
      <c:rotY val="0"/>
      <c:rAngAx val="0"/>
      <c:perspective val="0"/>
    </c:view3D>
    <c:floor>
      <c:thickness val="0"/>
    </c:floor>
    <c:sideWall>
      <c:thickness val="0"/>
    </c:sideWall>
    <c:backWall>
      <c:thickness val="0"/>
    </c:backWall>
    <c:plotArea>
      <c:layout/>
      <c:pie3DChart>
        <c:varyColors val="1"/>
        <c:ser>
          <c:idx val="0"/>
          <c:order val="0"/>
          <c:dPt>
            <c:idx val="1"/>
            <c:bubble3D val="0"/>
            <c:extLst>
              <c:ext xmlns:c16="http://schemas.microsoft.com/office/drawing/2014/chart" uri="{C3380CC4-5D6E-409C-BE32-E72D297353CC}">
                <c16:uniqueId val="{00000000-1D83-4591-B439-B0F7B3741542}"/>
              </c:ext>
            </c:extLst>
          </c:dPt>
          <c:dPt>
            <c:idx val="2"/>
            <c:bubble3D val="0"/>
            <c:extLst>
              <c:ext xmlns:c16="http://schemas.microsoft.com/office/drawing/2014/chart" uri="{C3380CC4-5D6E-409C-BE32-E72D297353CC}">
                <c16:uniqueId val="{00000001-1D83-4591-B439-B0F7B3741542}"/>
              </c:ext>
            </c:extLst>
          </c:dPt>
          <c:dPt>
            <c:idx val="3"/>
            <c:bubble3D val="0"/>
            <c:extLst>
              <c:ext xmlns:c16="http://schemas.microsoft.com/office/drawing/2014/chart" uri="{C3380CC4-5D6E-409C-BE32-E72D297353CC}">
                <c16:uniqueId val="{00000002-1D83-4591-B439-B0F7B3741542}"/>
              </c:ext>
            </c:extLst>
          </c:dPt>
          <c:dPt>
            <c:idx val="4"/>
            <c:bubble3D val="0"/>
            <c:extLst>
              <c:ext xmlns:c16="http://schemas.microsoft.com/office/drawing/2014/chart" uri="{C3380CC4-5D6E-409C-BE32-E72D297353CC}">
                <c16:uniqueId val="{00000003-1D83-4591-B439-B0F7B3741542}"/>
              </c:ext>
            </c:extLst>
          </c:dPt>
          <c:dPt>
            <c:idx val="5"/>
            <c:bubble3D val="0"/>
            <c:extLst>
              <c:ext xmlns:c16="http://schemas.microsoft.com/office/drawing/2014/chart" uri="{C3380CC4-5D6E-409C-BE32-E72D297353CC}">
                <c16:uniqueId val="{00000004-1D83-4591-B439-B0F7B3741542}"/>
              </c:ext>
            </c:extLst>
          </c:dPt>
          <c:dPt>
            <c:idx val="6"/>
            <c:bubble3D val="0"/>
            <c:extLst>
              <c:ext xmlns:c16="http://schemas.microsoft.com/office/drawing/2014/chart" uri="{C3380CC4-5D6E-409C-BE32-E72D297353CC}">
                <c16:uniqueId val="{00000005-1D83-4591-B439-B0F7B374154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'CP Backup'!$A$129:$A$135</c:f>
              <c:strCache>
                <c:ptCount val="7"/>
                <c:pt idx="0">
                  <c:v>Material</c:v>
                </c:pt>
                <c:pt idx="1">
                  <c:v>Bought Out</c:v>
                </c:pt>
                <c:pt idx="2">
                  <c:v>Shop Labor </c:v>
                </c:pt>
                <c:pt idx="3">
                  <c:v>Field Labor</c:v>
                </c:pt>
                <c:pt idx="4">
                  <c:v>Other Labor</c:v>
                </c:pt>
                <c:pt idx="5">
                  <c:v>Subcontractors</c:v>
                </c:pt>
                <c:pt idx="6">
                  <c:v>Tools, Rentals, Misc</c:v>
                </c:pt>
              </c:strCache>
            </c:strRef>
          </c:cat>
          <c:val>
            <c:numRef>
              <c:f>'CP Backup'!$B$129:$B$135</c:f>
              <c:numCache>
                <c:formatCode>"$"#,##0.00_);[Red]\("$"#,##0.00\)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1D83-4591-B439-B0F7B3741542}"/>
            </c:ext>
          </c:extLst>
        </c:ser>
        <c:dLbls>
          <c:showLegendKey val="0"/>
          <c:showVal val="0"/>
          <c:showCatName val="0"/>
          <c:showSerName val="0"/>
          <c:showPercent val="1"/>
          <c:showBubbleSize val="0"/>
          <c:showLeaderLines val="1"/>
        </c:dLbls>
      </c:pie3DChart>
    </c:plotArea>
    <c:legend>
      <c:legendPos val="t"/>
      <c:overlay val="0"/>
      <c:txPr>
        <a:bodyPr/>
        <a:lstStyle/>
        <a:p>
          <a:pPr>
            <a:defRPr sz="1200"/>
          </a:pPr>
          <a:endParaRPr lang="en-US"/>
        </a:p>
      </c:txPr>
    </c:legend>
    <c:plotVisOnly val="1"/>
    <c:dispBlanksAs val="zero"/>
    <c:showDLblsOverMax val="0"/>
  </c:chart>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lrMapOvr bg1="lt1" tx1="dk1" bg2="lt2" tx2="dk2" accent1="accent1" accent2="accent2" accent3="accent3" accent4="accent4" accent5="accent5" accent6="accent6" hlink="hlink" folHlink="folHlink"/>
  <c:chart>
    <c:title>
      <c:tx>
        <c:rich>
          <a:bodyPr/>
          <a:lstStyle/>
          <a:p>
            <a:pPr>
              <a:defRPr/>
            </a:pPr>
            <a:r>
              <a:rPr lang="en-US"/>
              <a:t>Bid Summary</a:t>
            </a:r>
          </a:p>
        </c:rich>
      </c:tx>
      <c:overlay val="0"/>
    </c:title>
    <c:autoTitleDeleted val="0"/>
    <c:view3D>
      <c:rotX val="15"/>
      <c:rotY val="0"/>
      <c:rAngAx val="0"/>
      <c:perspective val="0"/>
    </c:view3D>
    <c:floor>
      <c:thickness val="0"/>
    </c:floor>
    <c:sideWall>
      <c:thickness val="0"/>
    </c:sideWall>
    <c:backWall>
      <c:thickness val="0"/>
    </c:backWall>
    <c:plotArea>
      <c:layout/>
      <c:pie3DChart>
        <c:varyColors val="1"/>
        <c:ser>
          <c:idx val="0"/>
          <c:order val="0"/>
          <c:dPt>
            <c:idx val="1"/>
            <c:bubble3D val="0"/>
            <c:extLst>
              <c:ext xmlns:c16="http://schemas.microsoft.com/office/drawing/2014/chart" uri="{C3380CC4-5D6E-409C-BE32-E72D297353CC}">
                <c16:uniqueId val="{00000000-B06A-45B6-98C3-E43AC26A3E5A}"/>
              </c:ext>
            </c:extLst>
          </c:dPt>
          <c:dPt>
            <c:idx val="2"/>
            <c:bubble3D val="0"/>
            <c:extLst>
              <c:ext xmlns:c16="http://schemas.microsoft.com/office/drawing/2014/chart" uri="{C3380CC4-5D6E-409C-BE32-E72D297353CC}">
                <c16:uniqueId val="{00000001-B06A-45B6-98C3-E43AC26A3E5A}"/>
              </c:ext>
            </c:extLst>
          </c:dPt>
          <c:dPt>
            <c:idx val="3"/>
            <c:bubble3D val="0"/>
            <c:extLst>
              <c:ext xmlns:c16="http://schemas.microsoft.com/office/drawing/2014/chart" uri="{C3380CC4-5D6E-409C-BE32-E72D297353CC}">
                <c16:uniqueId val="{00000002-B06A-45B6-98C3-E43AC26A3E5A}"/>
              </c:ext>
            </c:extLst>
          </c:dPt>
          <c:dPt>
            <c:idx val="4"/>
            <c:bubble3D val="0"/>
            <c:extLst>
              <c:ext xmlns:c16="http://schemas.microsoft.com/office/drawing/2014/chart" uri="{C3380CC4-5D6E-409C-BE32-E72D297353CC}">
                <c16:uniqueId val="{00000003-B06A-45B6-98C3-E43AC26A3E5A}"/>
              </c:ext>
            </c:extLst>
          </c:dPt>
          <c:dPt>
            <c:idx val="5"/>
            <c:bubble3D val="0"/>
            <c:extLst>
              <c:ext xmlns:c16="http://schemas.microsoft.com/office/drawing/2014/chart" uri="{C3380CC4-5D6E-409C-BE32-E72D297353CC}">
                <c16:uniqueId val="{00000004-B06A-45B6-98C3-E43AC26A3E5A}"/>
              </c:ext>
            </c:extLst>
          </c:dPt>
          <c:dPt>
            <c:idx val="6"/>
            <c:bubble3D val="0"/>
            <c:extLst>
              <c:ext xmlns:c16="http://schemas.microsoft.com/office/drawing/2014/chart" uri="{C3380CC4-5D6E-409C-BE32-E72D297353CC}">
                <c16:uniqueId val="{00000005-B06A-45B6-98C3-E43AC26A3E5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'CP Backup'!$A$158:$A$163</c:f>
              <c:strCache>
                <c:ptCount val="6"/>
                <c:pt idx="0">
                  <c:v>Mat and Shop Labor Costs</c:v>
                </c:pt>
                <c:pt idx="1">
                  <c:v>Field Labor</c:v>
                </c:pt>
                <c:pt idx="2">
                  <c:v>Subcontractors</c:v>
                </c:pt>
                <c:pt idx="3">
                  <c:v>Rentals</c:v>
                </c:pt>
                <c:pt idx="4">
                  <c:v>Markup</c:v>
                </c:pt>
                <c:pt idx="5">
                  <c:v>Bond,Contingency,OCIP &amp; Tax</c:v>
                </c:pt>
              </c:strCache>
            </c:strRef>
          </c:cat>
          <c:val>
            <c:numRef>
              <c:f>'CP Backup'!$B$158:$B$163</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6-B06A-45B6-98C3-E43AC26A3E5A}"/>
            </c:ext>
          </c:extLst>
        </c:ser>
        <c:dLbls>
          <c:showLegendKey val="0"/>
          <c:showVal val="0"/>
          <c:showCatName val="0"/>
          <c:showSerName val="0"/>
          <c:showPercent val="1"/>
          <c:showBubbleSize val="0"/>
          <c:showLeaderLines val="1"/>
        </c:dLbls>
      </c:pie3DChart>
    </c:plotArea>
    <c:legend>
      <c:legendPos val="t"/>
      <c:overlay val="0"/>
      <c:txPr>
        <a:bodyPr/>
        <a:lstStyle/>
        <a:p>
          <a:pPr>
            <a:defRPr sz="1200"/>
          </a:pPr>
          <a:endParaRPr lang="en-US"/>
        </a:p>
      </c:txPr>
    </c:legend>
    <c:plotVisOnly val="1"/>
    <c:dispBlanksAs val="zero"/>
    <c:showDLblsOverMax val="0"/>
  </c:chart>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Radio" firstButton="1" lockText="1" noThreeD="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Radio" checked="Checked" lockText="1"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Radio" firstButton="1" fmlaLink="$J$36" lockText="1" noThreeD="1"/>
</file>

<file path=xl/ctrlProps/ctrlProp22.xml><?xml version="1.0" encoding="utf-8"?>
<formControlPr xmlns="http://schemas.microsoft.com/office/spreadsheetml/2009/9/main" objectType="Radio"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8</xdr:col>
          <xdr:colOff>0</xdr:colOff>
          <xdr:row>15</xdr:row>
          <xdr:rowOff>0</xdr:rowOff>
        </xdr:to>
        <xdr:sp macro="" textlink="">
          <xdr:nvSpPr>
            <xdr:cNvPr id="9217" name="Group Box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11</xdr:row>
          <xdr:rowOff>31750</xdr:rowOff>
        </xdr:from>
        <xdr:to>
          <xdr:col>6</xdr:col>
          <xdr:colOff>304800</xdr:colOff>
          <xdr:row>12</xdr:row>
          <xdr:rowOff>165100</xdr:rowOff>
        </xdr:to>
        <xdr:sp macro="" textlink="">
          <xdr:nvSpPr>
            <xdr:cNvPr id="9218" name="Option 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13</xdr:row>
          <xdr:rowOff>31750</xdr:rowOff>
        </xdr:from>
        <xdr:to>
          <xdr:col>6</xdr:col>
          <xdr:colOff>317500</xdr:colOff>
          <xdr:row>14</xdr:row>
          <xdr:rowOff>152400</xdr:rowOff>
        </xdr:to>
        <xdr:sp macro="" textlink="">
          <xdr:nvSpPr>
            <xdr:cNvPr id="9219" name="Option 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244755</xdr:colOff>
      <xdr:row>10</xdr:row>
      <xdr:rowOff>39342</xdr:rowOff>
    </xdr:from>
    <xdr:to>
      <xdr:col>6</xdr:col>
      <xdr:colOff>349530</xdr:colOff>
      <xdr:row>10</xdr:row>
      <xdr:rowOff>144117</xdr:rowOff>
    </xdr:to>
    <xdr:cxnSp macro="">
      <xdr:nvCxnSpPr>
        <xdr:cNvPr id="5" name="Straight Connector 4">
          <a:extLst>
            <a:ext uri="{FF2B5EF4-FFF2-40B4-BE49-F238E27FC236}">
              <a16:creationId xmlns:a16="http://schemas.microsoft.com/office/drawing/2014/main" id="{00000000-0008-0000-0100-000005000000}"/>
            </a:ext>
          </a:extLst>
        </xdr:cNvPr>
        <xdr:cNvCxnSpPr/>
      </xdr:nvCxnSpPr>
      <xdr:spPr>
        <a:xfrm flipV="1">
          <a:off x="3616605" y="1572867"/>
          <a:ext cx="104775" cy="10477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8</xdr:col>
          <xdr:colOff>0</xdr:colOff>
          <xdr:row>17</xdr:row>
          <xdr:rowOff>0</xdr:rowOff>
        </xdr:to>
        <xdr:sp macro="" textlink="">
          <xdr:nvSpPr>
            <xdr:cNvPr id="9220" name="Group Box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8</xdr:col>
          <xdr:colOff>0</xdr:colOff>
          <xdr:row>19</xdr:row>
          <xdr:rowOff>0</xdr:rowOff>
        </xdr:to>
        <xdr:sp macro="" textlink="">
          <xdr:nvSpPr>
            <xdr:cNvPr id="9221" name="Group Box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8</xdr:col>
          <xdr:colOff>0</xdr:colOff>
          <xdr:row>21</xdr:row>
          <xdr:rowOff>0</xdr:rowOff>
        </xdr:to>
        <xdr:sp macro="" textlink="">
          <xdr:nvSpPr>
            <xdr:cNvPr id="9222" name="Group Box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8</xdr:col>
          <xdr:colOff>0</xdr:colOff>
          <xdr:row>23</xdr:row>
          <xdr:rowOff>0</xdr:rowOff>
        </xdr:to>
        <xdr:sp macro="" textlink="">
          <xdr:nvSpPr>
            <xdr:cNvPr id="9223" name="Group Box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8</xdr:col>
          <xdr:colOff>0</xdr:colOff>
          <xdr:row>25</xdr:row>
          <xdr:rowOff>0</xdr:rowOff>
        </xdr:to>
        <xdr:sp macro="" textlink="">
          <xdr:nvSpPr>
            <xdr:cNvPr id="9224" name="Group Box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222250</xdr:colOff>
          <xdr:row>16</xdr:row>
          <xdr:rowOff>31750</xdr:rowOff>
        </xdr:from>
        <xdr:to>
          <xdr:col>6</xdr:col>
          <xdr:colOff>107950</xdr:colOff>
          <xdr:row>16</xdr:row>
          <xdr:rowOff>171450</xdr:rowOff>
        </xdr:to>
        <xdr:sp macro="" textlink="">
          <xdr:nvSpPr>
            <xdr:cNvPr id="9225" name="Option 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146050</xdr:colOff>
          <xdr:row>16</xdr:row>
          <xdr:rowOff>31750</xdr:rowOff>
        </xdr:from>
        <xdr:to>
          <xdr:col>7</xdr:col>
          <xdr:colOff>381000</xdr:colOff>
          <xdr:row>16</xdr:row>
          <xdr:rowOff>184150</xdr:rowOff>
        </xdr:to>
        <xdr:sp macro="" textlink="">
          <xdr:nvSpPr>
            <xdr:cNvPr id="9226" name="Option Button 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222250</xdr:colOff>
          <xdr:row>18</xdr:row>
          <xdr:rowOff>31750</xdr:rowOff>
        </xdr:from>
        <xdr:to>
          <xdr:col>6</xdr:col>
          <xdr:colOff>107950</xdr:colOff>
          <xdr:row>18</xdr:row>
          <xdr:rowOff>171450</xdr:rowOff>
        </xdr:to>
        <xdr:sp macro="" textlink="">
          <xdr:nvSpPr>
            <xdr:cNvPr id="9227" name="Option 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222250</xdr:colOff>
          <xdr:row>20</xdr:row>
          <xdr:rowOff>31750</xdr:rowOff>
        </xdr:from>
        <xdr:to>
          <xdr:col>6</xdr:col>
          <xdr:colOff>107950</xdr:colOff>
          <xdr:row>20</xdr:row>
          <xdr:rowOff>171450</xdr:rowOff>
        </xdr:to>
        <xdr:sp macro="" textlink="">
          <xdr:nvSpPr>
            <xdr:cNvPr id="9228" name="Option 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146050</xdr:colOff>
          <xdr:row>20</xdr:row>
          <xdr:rowOff>31750</xdr:rowOff>
        </xdr:from>
        <xdr:to>
          <xdr:col>7</xdr:col>
          <xdr:colOff>381000</xdr:colOff>
          <xdr:row>20</xdr:row>
          <xdr:rowOff>184150</xdr:rowOff>
        </xdr:to>
        <xdr:sp macro="" textlink="">
          <xdr:nvSpPr>
            <xdr:cNvPr id="9229" name="Option 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222250</xdr:colOff>
          <xdr:row>22</xdr:row>
          <xdr:rowOff>31750</xdr:rowOff>
        </xdr:from>
        <xdr:to>
          <xdr:col>6</xdr:col>
          <xdr:colOff>107950</xdr:colOff>
          <xdr:row>22</xdr:row>
          <xdr:rowOff>171450</xdr:rowOff>
        </xdr:to>
        <xdr:sp macro="" textlink="">
          <xdr:nvSpPr>
            <xdr:cNvPr id="9230" name="Option Button 14" hidden="1">
              <a:extLst>
                <a:ext uri="{63B3BB69-23CF-44E3-9099-C40C66FF867C}">
                  <a14:compatExt spid="_x0000_s9230"/>
                </a:ext>
                <a:ext uri="{FF2B5EF4-FFF2-40B4-BE49-F238E27FC236}">
                  <a16:creationId xmlns:a16="http://schemas.microsoft.com/office/drawing/2014/main" id="{00000000-0008-0000-0100-00000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146050</xdr:colOff>
          <xdr:row>22</xdr:row>
          <xdr:rowOff>31750</xdr:rowOff>
        </xdr:from>
        <xdr:to>
          <xdr:col>7</xdr:col>
          <xdr:colOff>381000</xdr:colOff>
          <xdr:row>22</xdr:row>
          <xdr:rowOff>184150</xdr:rowOff>
        </xdr:to>
        <xdr:sp macro="" textlink="">
          <xdr:nvSpPr>
            <xdr:cNvPr id="9231" name="Option 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222250</xdr:colOff>
          <xdr:row>24</xdr:row>
          <xdr:rowOff>31750</xdr:rowOff>
        </xdr:from>
        <xdr:to>
          <xdr:col>6</xdr:col>
          <xdr:colOff>107950</xdr:colOff>
          <xdr:row>24</xdr:row>
          <xdr:rowOff>171450</xdr:rowOff>
        </xdr:to>
        <xdr:sp macro="" textlink="">
          <xdr:nvSpPr>
            <xdr:cNvPr id="9232" name="Option Button 16" hidden="1">
              <a:extLst>
                <a:ext uri="{63B3BB69-23CF-44E3-9099-C40C66FF867C}">
                  <a14:compatExt spid="_x0000_s9232"/>
                </a:ext>
                <a:ext uri="{FF2B5EF4-FFF2-40B4-BE49-F238E27FC236}">
                  <a16:creationId xmlns:a16="http://schemas.microsoft.com/office/drawing/2014/main" id="{00000000-0008-0000-0100-00001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146050</xdr:colOff>
          <xdr:row>24</xdr:row>
          <xdr:rowOff>31750</xdr:rowOff>
        </xdr:from>
        <xdr:to>
          <xdr:col>7</xdr:col>
          <xdr:colOff>381000</xdr:colOff>
          <xdr:row>24</xdr:row>
          <xdr:rowOff>184150</xdr:rowOff>
        </xdr:to>
        <xdr:sp macro="" textlink="">
          <xdr:nvSpPr>
            <xdr:cNvPr id="9233" name="Option Button 17" hidden="1">
              <a:extLst>
                <a:ext uri="{63B3BB69-23CF-44E3-9099-C40C66FF867C}">
                  <a14:compatExt spid="_x0000_s9233"/>
                </a:ext>
                <a:ext uri="{FF2B5EF4-FFF2-40B4-BE49-F238E27FC236}">
                  <a16:creationId xmlns:a16="http://schemas.microsoft.com/office/drawing/2014/main" id="{00000000-0008-0000-01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146050</xdr:colOff>
          <xdr:row>18</xdr:row>
          <xdr:rowOff>31750</xdr:rowOff>
        </xdr:from>
        <xdr:to>
          <xdr:col>7</xdr:col>
          <xdr:colOff>381000</xdr:colOff>
          <xdr:row>18</xdr:row>
          <xdr:rowOff>171450</xdr:rowOff>
        </xdr:to>
        <xdr:sp macro="" textlink="">
          <xdr:nvSpPr>
            <xdr:cNvPr id="9234" name="Option Button 18" hidden="1">
              <a:extLst>
                <a:ext uri="{63B3BB69-23CF-44E3-9099-C40C66FF867C}">
                  <a14:compatExt spid="_x0000_s9234"/>
                </a:ext>
                <a:ext uri="{FF2B5EF4-FFF2-40B4-BE49-F238E27FC236}">
                  <a16:creationId xmlns:a16="http://schemas.microsoft.com/office/drawing/2014/main" id="{00000000-0008-0000-0100-00001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0</xdr:colOff>
          <xdr:row>2</xdr:row>
          <xdr:rowOff>0</xdr:rowOff>
        </xdr:from>
        <xdr:to>
          <xdr:col>22</xdr:col>
          <xdr:colOff>0</xdr:colOff>
          <xdr:row>4</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Spell Check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114300</xdr:colOff>
      <xdr:row>0</xdr:row>
      <xdr:rowOff>208664</xdr:rowOff>
    </xdr:from>
    <xdr:to>
      <xdr:col>1</xdr:col>
      <xdr:colOff>474514</xdr:colOff>
      <xdr:row>0</xdr:row>
      <xdr:rowOff>600075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114300" y="208664"/>
          <a:ext cx="2236639" cy="391411"/>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135</xdr:row>
      <xdr:rowOff>9525</xdr:rowOff>
    </xdr:from>
    <xdr:to>
      <xdr:col>5</xdr:col>
      <xdr:colOff>542925</xdr:colOff>
      <xdr:row>155</xdr:row>
      <xdr:rowOff>142875</xdr:rowOff>
    </xdr:to>
    <xdr:graphicFrame macro="">
      <xdr:nvGraphicFramePr>
        <xdr:cNvPr id="2" name="Chart 2">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57150</xdr:colOff>
      <xdr:row>164</xdr:row>
      <xdr:rowOff>66675</xdr:rowOff>
    </xdr:from>
    <xdr:to>
      <xdr:col>5</xdr:col>
      <xdr:colOff>485775</xdr:colOff>
      <xdr:row>187</xdr:row>
      <xdr:rowOff>0</xdr:rowOff>
    </xdr:to>
    <xdr:graphicFrame macro="">
      <xdr:nvGraphicFramePr>
        <xdr:cNvPr id="3" name="Chart 3">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100538</xdr:colOff>
      <xdr:row>0</xdr:row>
      <xdr:rowOff>28575</xdr:rowOff>
    </xdr:from>
    <xdr:to>
      <xdr:col>1</xdr:col>
      <xdr:colOff>840285</xdr:colOff>
      <xdr:row>0</xdr:row>
      <xdr:rowOff>485775</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100538" y="28575"/>
          <a:ext cx="2597122" cy="457200"/>
        </a:xfrm>
        <a:prstGeom prst="rect">
          <a:avLst/>
        </a:prstGeom>
      </xdr:spPr>
    </xdr:pic>
    <xdr:clientData/>
  </xdr:twoCellAnchor>
  <xdr:twoCellAnchor>
    <xdr:from>
      <xdr:col>7</xdr:col>
      <xdr:colOff>0</xdr:colOff>
      <xdr:row>12</xdr:row>
      <xdr:rowOff>47625</xdr:rowOff>
    </xdr:from>
    <xdr:to>
      <xdr:col>9</xdr:col>
      <xdr:colOff>342900</xdr:colOff>
      <xdr:row>32</xdr:row>
      <xdr:rowOff>57150</xdr:rowOff>
    </xdr:to>
    <xdr:sp macro="" textlink="">
      <xdr:nvSpPr>
        <xdr:cNvPr id="8" name="Text Box 2">
          <a:extLst>
            <a:ext uri="{FF2B5EF4-FFF2-40B4-BE49-F238E27FC236}">
              <a16:creationId xmlns:a16="http://schemas.microsoft.com/office/drawing/2014/main" id="{00000000-0008-0000-0400-000008000000}"/>
            </a:ext>
          </a:extLst>
        </xdr:cNvPr>
        <xdr:cNvSpPr txBox="1">
          <a:spLocks noChangeArrowheads="1"/>
        </xdr:cNvSpPr>
      </xdr:nvSpPr>
      <xdr:spPr bwMode="auto">
        <a:xfrm>
          <a:off x="6667500" y="1714500"/>
          <a:ext cx="1562100" cy="24384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DuctWrap</a:t>
          </a:r>
        </a:p>
        <a:p>
          <a:pPr algn="l" rtl="0">
            <a:defRPr sz="1000"/>
          </a:pPr>
          <a:r>
            <a:rPr lang="en-US" sz="1000" b="0" i="0" u="none" strike="noStrike" baseline="0">
              <a:solidFill>
                <a:srgbClr val="000000"/>
              </a:solidFill>
              <a:latin typeface="Times New Roman"/>
              <a:cs typeface="Times New Roman"/>
            </a:rPr>
            <a:t>Air Balance</a:t>
          </a:r>
        </a:p>
        <a:p>
          <a:pPr algn="l" rtl="0">
            <a:defRPr sz="1000"/>
          </a:pPr>
          <a:r>
            <a:rPr lang="en-US" sz="1000" b="0" i="0" u="none" strike="noStrike" baseline="0">
              <a:solidFill>
                <a:srgbClr val="000000"/>
              </a:solidFill>
              <a:latin typeface="Times New Roman"/>
              <a:cs typeface="Times New Roman"/>
            </a:rPr>
            <a:t>AC Equipment</a:t>
          </a:r>
        </a:p>
        <a:p>
          <a:pPr algn="l" rtl="0">
            <a:defRPr sz="1000"/>
          </a:pPr>
          <a:r>
            <a:rPr lang="en-US" sz="1000" b="0" i="0" u="none" strike="noStrike" baseline="0">
              <a:solidFill>
                <a:srgbClr val="000000"/>
              </a:solidFill>
              <a:latin typeface="Times New Roman"/>
              <a:cs typeface="Times New Roman"/>
            </a:rPr>
            <a:t>Plumbing</a:t>
          </a:r>
        </a:p>
        <a:p>
          <a:pPr algn="l" rtl="0">
            <a:defRPr sz="1000"/>
          </a:pPr>
          <a:r>
            <a:rPr lang="en-US" sz="1000" b="0" i="0" u="none" strike="noStrike" baseline="0">
              <a:solidFill>
                <a:srgbClr val="000000"/>
              </a:solidFill>
              <a:latin typeface="Times New Roman"/>
              <a:cs typeface="Times New Roman"/>
            </a:rPr>
            <a:t>Piping</a:t>
          </a:r>
        </a:p>
        <a:p>
          <a:pPr algn="l" rtl="0">
            <a:defRPr sz="1000"/>
          </a:pPr>
          <a:r>
            <a:rPr lang="en-US" sz="1000" b="0" i="0" u="none" strike="noStrike" baseline="0">
              <a:solidFill>
                <a:srgbClr val="000000"/>
              </a:solidFill>
              <a:latin typeface="Times New Roman"/>
              <a:cs typeface="Times New Roman"/>
            </a:rPr>
            <a:t>Cut &amp; Patch</a:t>
          </a:r>
        </a:p>
        <a:p>
          <a:pPr algn="l" rtl="0">
            <a:defRPr sz="1000"/>
          </a:pPr>
          <a:r>
            <a:rPr lang="en-US" sz="1000" b="0" i="0" u="none" strike="noStrike" baseline="0">
              <a:solidFill>
                <a:srgbClr val="000000"/>
              </a:solidFill>
              <a:latin typeface="Times New Roman"/>
              <a:cs typeface="Times New Roman"/>
            </a:rPr>
            <a:t>Abatement</a:t>
          </a:r>
        </a:p>
        <a:p>
          <a:pPr algn="l" rtl="0">
            <a:defRPr sz="1000"/>
          </a:pPr>
          <a:r>
            <a:rPr lang="en-US" sz="1000" b="0" i="0" u="none" strike="noStrike" baseline="0">
              <a:solidFill>
                <a:srgbClr val="000000"/>
              </a:solidFill>
              <a:latin typeface="Times New Roman"/>
              <a:cs typeface="Times New Roman"/>
            </a:rPr>
            <a:t>Curbs</a:t>
          </a:r>
        </a:p>
        <a:p>
          <a:pPr algn="l" rtl="0">
            <a:defRPr sz="1000"/>
          </a:pPr>
          <a:r>
            <a:rPr lang="en-US" sz="1000" b="0" i="0" u="none" strike="noStrike" baseline="0">
              <a:solidFill>
                <a:srgbClr val="000000"/>
              </a:solidFill>
              <a:latin typeface="Times New Roman"/>
              <a:cs typeface="Times New Roman"/>
            </a:rPr>
            <a:t>FireMaster</a:t>
          </a:r>
        </a:p>
        <a:p>
          <a:pPr algn="l" rtl="0">
            <a:defRPr sz="1000"/>
          </a:pPr>
          <a:r>
            <a:rPr lang="en-US" sz="1000" b="0" i="0" u="none" strike="noStrike" baseline="0">
              <a:solidFill>
                <a:srgbClr val="000000"/>
              </a:solidFill>
              <a:latin typeface="Times New Roman"/>
              <a:cs typeface="Times New Roman"/>
            </a:rPr>
            <a:t>Duct Shafts</a:t>
          </a:r>
        </a:p>
        <a:p>
          <a:pPr algn="l" rtl="0">
            <a:defRPr sz="1000"/>
          </a:pPr>
          <a:r>
            <a:rPr lang="en-US" sz="1000" b="0" i="0" u="none" strike="noStrike" baseline="0">
              <a:solidFill>
                <a:srgbClr val="000000"/>
              </a:solidFill>
              <a:latin typeface="Times New Roman"/>
              <a:cs typeface="Times New Roman"/>
            </a:rPr>
            <a:t>Louvers</a:t>
          </a:r>
        </a:p>
        <a:p>
          <a:pPr algn="l" rtl="0">
            <a:defRPr sz="1000"/>
          </a:pPr>
          <a:r>
            <a:rPr lang="en-US" sz="1000" b="0" i="0" u="none" strike="noStrike" baseline="0">
              <a:solidFill>
                <a:srgbClr val="000000"/>
              </a:solidFill>
              <a:latin typeface="Times New Roman"/>
              <a:cs typeface="Times New Roman"/>
            </a:rPr>
            <a:t>Struct. Work/Calcs.</a:t>
          </a:r>
        </a:p>
        <a:p>
          <a:pPr algn="l" rtl="0">
            <a:defRPr sz="1000"/>
          </a:pPr>
          <a:r>
            <a:rPr lang="en-US" sz="1000" b="0" i="0" u="none" strike="noStrike" baseline="0">
              <a:solidFill>
                <a:srgbClr val="000000"/>
              </a:solidFill>
              <a:latin typeface="Times New Roman"/>
              <a:cs typeface="Times New Roman"/>
            </a:rPr>
            <a:t>Temp. Dust Partitions</a:t>
          </a:r>
        </a:p>
        <a:p>
          <a:pPr algn="l" rtl="0">
            <a:defRPr sz="1000"/>
          </a:pPr>
          <a:endParaRPr lang="en-US" sz="1000" b="0" i="0" u="none" strike="noStrike" baseline="0">
            <a:solidFill>
              <a:srgbClr val="000000"/>
            </a:solidFill>
            <a:latin typeface="Times New Roman"/>
            <a:cs typeface="Times New Roman"/>
          </a:endParaRPr>
        </a:p>
        <a:p>
          <a:pPr algn="l" rtl="0">
            <a:defRPr sz="1000"/>
          </a:pPr>
          <a:endParaRPr lang="en-US" sz="1000" b="0" i="0" u="none" strike="noStrike" baseline="0">
            <a:solidFill>
              <a:srgbClr val="000000"/>
            </a:solidFill>
            <a:latin typeface="Times New Roman"/>
            <a:cs typeface="Times New Roman"/>
          </a:endParaRPr>
        </a:p>
        <a:p>
          <a:pPr algn="l" rtl="0">
            <a:defRPr sz="1000"/>
          </a:pPr>
          <a:endParaRPr lang="en-US"/>
        </a:p>
      </xdr:txBody>
    </xdr:sp>
    <xdr:clientData/>
  </xdr:twoCellAnchor>
  <xdr:twoCellAnchor>
    <xdr:from>
      <xdr:col>8</xdr:col>
      <xdr:colOff>533400</xdr:colOff>
      <xdr:row>12</xdr:row>
      <xdr:rowOff>47625</xdr:rowOff>
    </xdr:from>
    <xdr:to>
      <xdr:col>10</xdr:col>
      <xdr:colOff>342900</xdr:colOff>
      <xdr:row>32</xdr:row>
      <xdr:rowOff>0</xdr:rowOff>
    </xdr:to>
    <xdr:sp macro="" textlink="">
      <xdr:nvSpPr>
        <xdr:cNvPr id="9" name="Text Box 3">
          <a:extLst>
            <a:ext uri="{FF2B5EF4-FFF2-40B4-BE49-F238E27FC236}">
              <a16:creationId xmlns:a16="http://schemas.microsoft.com/office/drawing/2014/main" id="{00000000-0008-0000-0400-000009000000}"/>
            </a:ext>
          </a:extLst>
        </xdr:cNvPr>
        <xdr:cNvSpPr txBox="1">
          <a:spLocks noChangeArrowheads="1"/>
        </xdr:cNvSpPr>
      </xdr:nvSpPr>
      <xdr:spPr bwMode="auto">
        <a:xfrm>
          <a:off x="7810500" y="1714500"/>
          <a:ext cx="1028700" cy="23812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Refrigeration</a:t>
          </a:r>
        </a:p>
        <a:p>
          <a:pPr algn="l" rtl="0">
            <a:defRPr sz="1000"/>
          </a:pPr>
          <a:r>
            <a:rPr lang="en-US" sz="1000" b="0" i="0" u="none" strike="noStrike" baseline="0">
              <a:solidFill>
                <a:srgbClr val="000000"/>
              </a:solidFill>
              <a:latin typeface="Times New Roman"/>
              <a:cs typeface="Times New Roman"/>
            </a:rPr>
            <a:t>Starters</a:t>
          </a:r>
        </a:p>
        <a:p>
          <a:pPr algn="l" rtl="0">
            <a:defRPr sz="1000"/>
          </a:pPr>
          <a:r>
            <a:rPr lang="en-US" sz="1000" b="0" i="0" u="none" strike="noStrike" baseline="0">
              <a:solidFill>
                <a:srgbClr val="000000"/>
              </a:solidFill>
              <a:latin typeface="Times New Roman"/>
              <a:cs typeface="Times New Roman"/>
            </a:rPr>
            <a:t>Controls</a:t>
          </a:r>
        </a:p>
        <a:p>
          <a:pPr algn="l" rtl="0">
            <a:defRPr sz="1000"/>
          </a:pPr>
          <a:r>
            <a:rPr lang="en-US" sz="1000" b="0" i="0" u="none" strike="noStrike" baseline="0">
              <a:solidFill>
                <a:srgbClr val="000000"/>
              </a:solidFill>
              <a:latin typeface="Times New Roman"/>
              <a:cs typeface="Times New Roman"/>
            </a:rPr>
            <a:t>Startup</a:t>
          </a:r>
        </a:p>
        <a:p>
          <a:pPr algn="l" rtl="0">
            <a:defRPr sz="1000"/>
          </a:pPr>
          <a:r>
            <a:rPr lang="en-US" sz="1000" b="0" i="0" u="none" strike="noStrike" baseline="0">
              <a:solidFill>
                <a:srgbClr val="000000"/>
              </a:solidFill>
              <a:latin typeface="Times New Roman"/>
              <a:cs typeface="Times New Roman"/>
            </a:rPr>
            <a:t>Crane</a:t>
          </a:r>
        </a:p>
        <a:p>
          <a:pPr algn="l" rtl="0">
            <a:defRPr sz="1000"/>
          </a:pPr>
          <a:r>
            <a:rPr lang="en-US" sz="1000" b="0" i="0" u="none" strike="noStrike" baseline="0">
              <a:solidFill>
                <a:srgbClr val="000000"/>
              </a:solidFill>
              <a:latin typeface="Times New Roman"/>
              <a:cs typeface="Times New Roman"/>
            </a:rPr>
            <a:t>Premium Time</a:t>
          </a:r>
        </a:p>
        <a:p>
          <a:pPr algn="l" rtl="0">
            <a:defRPr sz="1000"/>
          </a:pPr>
          <a:r>
            <a:rPr lang="en-US" sz="1000" b="0" i="0" u="none" strike="noStrike" baseline="0">
              <a:solidFill>
                <a:srgbClr val="000000"/>
              </a:solidFill>
              <a:latin typeface="Times New Roman"/>
              <a:cs typeface="Times New Roman"/>
            </a:rPr>
            <a:t>Drawings</a:t>
          </a:r>
        </a:p>
        <a:p>
          <a:pPr algn="l" rtl="0">
            <a:defRPr sz="1000"/>
          </a:pPr>
          <a:r>
            <a:rPr lang="en-US" sz="1000" b="0" i="0" u="none" strike="noStrike" baseline="0">
              <a:solidFill>
                <a:srgbClr val="000000"/>
              </a:solidFill>
              <a:latin typeface="Times New Roman"/>
              <a:cs typeface="Times New Roman"/>
            </a:rPr>
            <a:t>Permits</a:t>
          </a:r>
        </a:p>
        <a:p>
          <a:pPr algn="l" rtl="0">
            <a:defRPr sz="1000"/>
          </a:pPr>
          <a:r>
            <a:rPr lang="en-US" sz="1000" b="0" i="0" u="none" strike="noStrike" baseline="0">
              <a:solidFill>
                <a:srgbClr val="000000"/>
              </a:solidFill>
              <a:latin typeface="Times New Roman"/>
              <a:cs typeface="Times New Roman"/>
            </a:rPr>
            <a:t>Quickship</a:t>
          </a:r>
        </a:p>
        <a:p>
          <a:pPr algn="l" rtl="0">
            <a:defRPr sz="1000"/>
          </a:pPr>
          <a:r>
            <a:rPr lang="en-US" sz="1000" b="0" i="0" u="none" strike="noStrike" baseline="0">
              <a:solidFill>
                <a:srgbClr val="000000"/>
              </a:solidFill>
              <a:latin typeface="Times New Roman"/>
              <a:cs typeface="Times New Roman"/>
            </a:rPr>
            <a:t>CAD Drawings</a:t>
          </a:r>
        </a:p>
        <a:p>
          <a:pPr algn="l" rtl="0">
            <a:defRPr sz="1000"/>
          </a:pPr>
          <a:r>
            <a:rPr lang="en-US" sz="1000" b="0" i="0" u="none" strike="noStrike" baseline="0">
              <a:solidFill>
                <a:srgbClr val="000000"/>
              </a:solidFill>
              <a:latin typeface="Times New Roman"/>
              <a:cs typeface="Times New Roman"/>
            </a:rPr>
            <a:t>Warranty</a:t>
          </a:r>
          <a:endParaRPr lang="en-US" sz="1200" b="0" i="0" u="none" strike="noStrike" baseline="0">
            <a:solidFill>
              <a:srgbClr val="000000"/>
            </a:solidFill>
            <a:latin typeface="Times New Roman"/>
            <a:cs typeface="Times New Roman"/>
          </a:endParaRPr>
        </a:p>
        <a:p>
          <a:pPr algn="l" rtl="0">
            <a:defRPr sz="1000"/>
          </a:pPr>
          <a:r>
            <a:rPr lang="en-US" sz="1000" b="0" i="0" u="none" strike="noStrike" baseline="0">
              <a:solidFill>
                <a:srgbClr val="000000"/>
              </a:solidFill>
              <a:latin typeface="Times New Roman"/>
              <a:cs typeface="Times New Roman"/>
            </a:rPr>
            <a:t>Painting</a:t>
          </a:r>
          <a:endParaRPr lang="en-US" sz="1200" b="0" i="0" u="none" strike="noStrike" baseline="0">
            <a:solidFill>
              <a:srgbClr val="000000"/>
            </a:solidFill>
            <a:latin typeface="Times New Roman"/>
            <a:cs typeface="Times New Roman"/>
          </a:endParaRPr>
        </a:p>
        <a:p>
          <a:pPr algn="l" rtl="0">
            <a:defRPr sz="1000"/>
          </a:pPr>
          <a:r>
            <a:rPr lang="en-US" sz="1000" b="0" i="0" u="none" strike="noStrike" baseline="0">
              <a:solidFill>
                <a:srgbClr val="000000"/>
              </a:solidFill>
              <a:latin typeface="Times New Roman"/>
              <a:cs typeface="Times New Roman"/>
            </a:rPr>
            <a:t>Duct Cleaning</a:t>
          </a:r>
          <a:endParaRPr lang="en-US"/>
        </a:p>
      </xdr:txBody>
    </xdr:sp>
    <xdr:clientData/>
  </xdr:twoCellAnchor>
  <xdr:twoCellAnchor editAs="oneCell">
    <xdr:from>
      <xdr:col>8</xdr:col>
      <xdr:colOff>314325</xdr:colOff>
      <xdr:row>5</xdr:row>
      <xdr:rowOff>66675</xdr:rowOff>
    </xdr:from>
    <xdr:to>
      <xdr:col>10</xdr:col>
      <xdr:colOff>314325</xdr:colOff>
      <xdr:row>8</xdr:row>
      <xdr:rowOff>123825</xdr:rowOff>
    </xdr:to>
    <xdr:sp macro="" textlink="">
      <xdr:nvSpPr>
        <xdr:cNvPr id="10" name="AutoShape 5">
          <a:extLst>
            <a:ext uri="{FF2B5EF4-FFF2-40B4-BE49-F238E27FC236}">
              <a16:creationId xmlns:a16="http://schemas.microsoft.com/office/drawing/2014/main" id="{00000000-0008-0000-0400-00000A000000}"/>
            </a:ext>
          </a:extLst>
        </xdr:cNvPr>
        <xdr:cNvSpPr>
          <a:spLocks noChangeArrowheads="1"/>
        </xdr:cNvSpPr>
      </xdr:nvSpPr>
      <xdr:spPr bwMode="auto">
        <a:xfrm>
          <a:off x="7591425" y="971550"/>
          <a:ext cx="1400175" cy="628650"/>
        </a:xfrm>
        <a:prstGeom prst="cloudCallout">
          <a:avLst>
            <a:gd name="adj1" fmla="val -53403"/>
            <a:gd name="adj2" fmla="val 75759"/>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2860" rIns="0" bIns="0" anchor="t" upright="1"/>
        <a:lstStyle/>
        <a:p>
          <a:pPr algn="l" rtl="0">
            <a:defRPr sz="1000"/>
          </a:pPr>
          <a:r>
            <a:rPr lang="en-US" sz="1200" b="1" i="1" u="none" strike="noStrike" baseline="0">
              <a:solidFill>
                <a:srgbClr val="000000"/>
              </a:solidFill>
              <a:latin typeface="Arial"/>
              <a:cs typeface="Arial"/>
            </a:rPr>
            <a:t>Orphan Reminders</a:t>
          </a:r>
          <a:endParaRPr lang="en-US"/>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32</xdr:row>
          <xdr:rowOff>165100</xdr:rowOff>
        </xdr:from>
        <xdr:to>
          <xdr:col>9</xdr:col>
          <xdr:colOff>419100</xdr:colOff>
          <xdr:row>36</xdr:row>
          <xdr:rowOff>152400</xdr:rowOff>
        </xdr:to>
        <xdr:sp macro="" textlink="">
          <xdr:nvSpPr>
            <xdr:cNvPr id="2066" name="Group Box 18"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Override Pay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88900</xdr:colOff>
          <xdr:row>33</xdr:row>
          <xdr:rowOff>19050</xdr:rowOff>
        </xdr:from>
        <xdr:to>
          <xdr:col>9</xdr:col>
          <xdr:colOff>209550</xdr:colOff>
          <xdr:row>34</xdr:row>
          <xdr:rowOff>184150</xdr:rowOff>
        </xdr:to>
        <xdr:sp macro="" textlink="">
          <xdr:nvSpPr>
            <xdr:cNvPr id="2067" name="Option Button 19" hidden="1">
              <a:extLst>
                <a:ext uri="{63B3BB69-23CF-44E3-9099-C40C66FF867C}">
                  <a14:compatExt spid="_x0000_s2067"/>
                </a:ext>
                <a:ext uri="{FF2B5EF4-FFF2-40B4-BE49-F238E27FC236}">
                  <a16:creationId xmlns:a16="http://schemas.microsoft.com/office/drawing/2014/main" id="{00000000-0008-0000-04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Use Crew Mix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88900</xdr:colOff>
          <xdr:row>35</xdr:row>
          <xdr:rowOff>19050</xdr:rowOff>
        </xdr:from>
        <xdr:to>
          <xdr:col>9</xdr:col>
          <xdr:colOff>298450</xdr:colOff>
          <xdr:row>36</xdr:row>
          <xdr:rowOff>38100</xdr:rowOff>
        </xdr:to>
        <xdr:sp macro="" textlink="">
          <xdr:nvSpPr>
            <xdr:cNvPr id="2070" name="Option Button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Use Custom Labor  Rates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140628</xdr:rowOff>
    </xdr:from>
    <xdr:to>
      <xdr:col>1</xdr:col>
      <xdr:colOff>733425</xdr:colOff>
      <xdr:row>2</xdr:row>
      <xdr:rowOff>19050</xdr:rowOff>
    </xdr:to>
    <xdr:pic>
      <xdr:nvPicPr>
        <xdr:cNvPr id="3" name="Picture 2">
          <a:extLst>
            <a:ext uri="{FF2B5EF4-FFF2-40B4-BE49-F238E27FC236}">
              <a16:creationId xmlns:a16="http://schemas.microsoft.com/office/drawing/2014/main" id="{DFB7C17C-52E4-40FA-8023-C7C7BBDC61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140628"/>
          <a:ext cx="1800225" cy="3165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FESTR151_Update%20Permit%20schedules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ivot"/>
      <sheetName val="QP Pipe Audit Trail"/>
      <sheetName val="QP SM Audit Trail"/>
      <sheetName val="SM Audit Trail"/>
      <sheetName val="Phase Codes"/>
      <sheetName val="Pipe Import"/>
      <sheetName val="Plumbing Sheets"/>
      <sheetName val="Piping Sheets"/>
      <sheetName val="SM Import"/>
      <sheetName val="SM Sheets"/>
      <sheetName val="SM Schedule"/>
      <sheetName val="EMO"/>
      <sheetName val="Takeoff Notes"/>
      <sheetName val="Crew Mix"/>
      <sheetName val="Bond"/>
      <sheetName val="Breakdown"/>
      <sheetName val="MCAA RECAP"/>
      <sheetName val="Permits"/>
      <sheetName val="Proposal"/>
      <sheetName val="OCIP"/>
      <sheetName val="Booking Report"/>
      <sheetName val="Macros"/>
      <sheetName val="Booking CSV"/>
    </sheetNames>
    <sheetDataSet>
      <sheetData sheetId="0"/>
      <sheetData sheetId="1" refreshError="1"/>
      <sheetData sheetId="2">
        <row r="1">
          <cell r="A1" t="str">
            <v>Floor</v>
          </cell>
          <cell r="B1" t="str">
            <v>Service Type</v>
          </cell>
          <cell r="C1" t="str">
            <v>Material</v>
          </cell>
          <cell r="D1" t="str">
            <v>Shape</v>
          </cell>
          <cell r="E1" t="str">
            <v>Cut Type</v>
          </cell>
          <cell r="F1" t="str">
            <v>Labor Type</v>
          </cell>
          <cell r="G1" t="str">
            <v>Material Cost</v>
          </cell>
          <cell r="H1" t="str">
            <v>Base Labor Cost</v>
          </cell>
          <cell r="I1" t="str">
            <v>Fringe Cost</v>
          </cell>
          <cell r="J1" t="str">
            <v>Labor Hours</v>
          </cell>
          <cell r="K1" t="str">
            <v>$/hr</v>
          </cell>
          <cell r="L1" t="str">
            <v>Weight</v>
          </cell>
          <cell r="M1" t="str">
            <v>Length</v>
          </cell>
          <cell r="N1" t="str">
            <v>Area</v>
          </cell>
          <cell r="O1" t="str">
            <v>Qty</v>
          </cell>
        </row>
      </sheetData>
      <sheetData sheetId="3">
        <row r="1">
          <cell r="A1" t="str">
            <v>Drawing</v>
          </cell>
          <cell r="B1" t="str">
            <v>Section</v>
          </cell>
          <cell r="C1" t="str">
            <v>Zone</v>
          </cell>
          <cell r="D1" t="str">
            <v>Service</v>
          </cell>
          <cell r="E1" t="str">
            <v>Service Type</v>
          </cell>
          <cell r="F1" t="str">
            <v>Description</v>
          </cell>
          <cell r="G1" t="str">
            <v>Alias</v>
          </cell>
          <cell r="H1" t="str">
            <v>Qty</v>
          </cell>
          <cell r="I1" t="str">
            <v>Specification</v>
          </cell>
          <cell r="J1" t="str">
            <v>Cut Type</v>
          </cell>
          <cell r="K1" t="str">
            <v>Bought Out</v>
          </cell>
          <cell r="L1" t="str">
            <v>Length</v>
          </cell>
          <cell r="M1" t="str">
            <v>Material</v>
          </cell>
          <cell r="N1" t="str">
            <v>Gauge</v>
          </cell>
          <cell r="O1" t="str">
            <v>M-Rate</v>
          </cell>
          <cell r="P1" t="str">
            <v>Fab time</v>
          </cell>
          <cell r="Q1" t="str">
            <v>Install time</v>
          </cell>
          <cell r="R1" t="str">
            <v>Insulation</v>
          </cell>
          <cell r="S1" t="str">
            <v>Insul Material</v>
          </cell>
          <cell r="T1" t="str">
            <v>Insul Thickness</v>
          </cell>
          <cell r="U1" t="str">
            <v>Liner Area</v>
          </cell>
          <cell r="V1" t="str">
            <v>Liner Cost</v>
          </cell>
          <cell r="W1" t="str">
            <v>Ext Wrap Area</v>
          </cell>
          <cell r="X1" t="str">
            <v>Ext Wrap Cost</v>
          </cell>
          <cell r="Y1" t="str">
            <v>Insul Fab time</v>
          </cell>
          <cell r="Z1" t="str">
            <v>Job Name</v>
          </cell>
          <cell r="AA1" t="str">
            <v>Job No</v>
          </cell>
          <cell r="AB1" t="str">
            <v>Date</v>
          </cell>
          <cell r="AC1" t="str">
            <v>Time</v>
          </cell>
          <cell r="AD1" t="str">
            <v>Estimate Tables</v>
          </cell>
        </row>
      </sheetData>
      <sheetData sheetId="4">
        <row r="4">
          <cell r="B4" t="str">
            <v>Project Management Time</v>
          </cell>
          <cell r="H4" t="str">
            <v>Test and Balance</v>
          </cell>
        </row>
        <row r="5">
          <cell r="B5" t="str">
            <v>Site Administration</v>
          </cell>
          <cell r="H5" t="str">
            <v>Instrumentation and Control</v>
          </cell>
        </row>
        <row r="6">
          <cell r="B6" t="str">
            <v>CAD Operator</v>
          </cell>
          <cell r="H6" t="str">
            <v>Insulation and Lagging</v>
          </cell>
        </row>
        <row r="7">
          <cell r="B7" t="str">
            <v>Site/Project Safety Staff</v>
          </cell>
          <cell r="H7" t="str">
            <v>Refrigeration and Startup</v>
          </cell>
        </row>
        <row r="8">
          <cell r="B8" t="str">
            <v>General Labor</v>
          </cell>
          <cell r="H8" t="str">
            <v>Scaffolding</v>
          </cell>
        </row>
        <row r="9">
          <cell r="B9" t="str">
            <v>Drivers and Delivery</v>
          </cell>
          <cell r="H9" t="str">
            <v>Fire Protection</v>
          </cell>
        </row>
        <row r="10">
          <cell r="B10" t="str">
            <v>Miscellaneous</v>
          </cell>
          <cell r="H10" t="str">
            <v>Engineering</v>
          </cell>
        </row>
        <row r="11">
          <cell r="B11" t="str">
            <v>Site Office Supplies</v>
          </cell>
          <cell r="H11" t="str">
            <v>Water Treatment</v>
          </cell>
        </row>
        <row r="12">
          <cell r="B12" t="str">
            <v>Site Office Equipment</v>
          </cell>
          <cell r="H12" t="str">
            <v>Demolition</v>
          </cell>
        </row>
        <row r="13">
          <cell r="B13" t="str">
            <v>Safety Supplies</v>
          </cell>
          <cell r="H13" t="str">
            <v>Painting</v>
          </cell>
        </row>
        <row r="14">
          <cell r="B14" t="str">
            <v>Site Office Rental</v>
          </cell>
          <cell r="H14" t="str">
            <v>Excavation and Backfill</v>
          </cell>
        </row>
        <row r="15">
          <cell r="B15" t="str">
            <v>On Site Storage</v>
          </cell>
          <cell r="H15" t="str">
            <v>Concrete Work</v>
          </cell>
        </row>
        <row r="16">
          <cell r="B16" t="str">
            <v>Temporary Fencing</v>
          </cell>
          <cell r="H16" t="str">
            <v>Electrical Work</v>
          </cell>
        </row>
        <row r="17">
          <cell r="B17" t="str">
            <v>Site Office Plumbing and Elect</v>
          </cell>
          <cell r="H17" t="str">
            <v>Heavy Hauling</v>
          </cell>
        </row>
        <row r="18">
          <cell r="B18" t="str">
            <v>Small Tools and Consumeables</v>
          </cell>
          <cell r="H18" t="str">
            <v>Crane and Hoisting</v>
          </cell>
        </row>
        <row r="19">
          <cell r="B19" t="str">
            <v>Third Party Equipment</v>
          </cell>
          <cell r="H19" t="str">
            <v>Chlorination</v>
          </cell>
        </row>
        <row r="20">
          <cell r="B20" t="str">
            <v>Permits and Fees</v>
          </cell>
        </row>
        <row r="21">
          <cell r="B21" t="str">
            <v>Reprographic Costs</v>
          </cell>
        </row>
        <row r="22">
          <cell r="B22" t="str">
            <v>Equipment Rental</v>
          </cell>
        </row>
        <row r="23">
          <cell r="B23" t="str">
            <v>Third Party Training</v>
          </cell>
        </row>
        <row r="24">
          <cell r="B24" t="str">
            <v>Testing and Certification</v>
          </cell>
        </row>
        <row r="25">
          <cell r="B25" t="str">
            <v>Scope Allowance</v>
          </cell>
        </row>
        <row r="26">
          <cell r="B26" t="str">
            <v>Purchasing and Warehousing</v>
          </cell>
        </row>
        <row r="27">
          <cell r="B27" t="str">
            <v>Freight - Third Party</v>
          </cell>
        </row>
        <row r="28">
          <cell r="B28" t="str">
            <v>Subsistence and Travel</v>
          </cell>
        </row>
        <row r="29">
          <cell r="B29" t="str">
            <v>Phone Expenses</v>
          </cell>
        </row>
        <row r="30">
          <cell r="B30" t="str">
            <v>Bond</v>
          </cell>
        </row>
        <row r="31">
          <cell r="B31" t="str">
            <v>Fuel</v>
          </cell>
        </row>
        <row r="41">
          <cell r="H41" t="str">
            <v>Service</v>
          </cell>
        </row>
      </sheetData>
      <sheetData sheetId="5">
        <row r="7">
          <cell r="D7">
            <v>0</v>
          </cell>
          <cell r="E7">
            <v>0</v>
          </cell>
        </row>
        <row r="9">
          <cell r="D9">
            <v>0</v>
          </cell>
        </row>
        <row r="10">
          <cell r="D10">
            <v>0</v>
          </cell>
        </row>
      </sheetData>
      <sheetData sheetId="6">
        <row r="7">
          <cell r="H7">
            <v>0</v>
          </cell>
          <cell r="K7">
            <v>0</v>
          </cell>
        </row>
      </sheetData>
      <sheetData sheetId="7">
        <row r="7">
          <cell r="H7">
            <v>0</v>
          </cell>
          <cell r="K7">
            <v>0</v>
          </cell>
        </row>
      </sheetData>
      <sheetData sheetId="8">
        <row r="7">
          <cell r="H7">
            <v>0</v>
          </cell>
          <cell r="J7">
            <v>0</v>
          </cell>
          <cell r="K7">
            <v>0</v>
          </cell>
        </row>
        <row r="9">
          <cell r="H9">
            <v>0</v>
          </cell>
          <cell r="J9">
            <v>0</v>
          </cell>
        </row>
      </sheetData>
      <sheetData sheetId="9">
        <row r="7">
          <cell r="H7">
            <v>0</v>
          </cell>
          <cell r="K7">
            <v>0</v>
          </cell>
          <cell r="M7">
            <v>0</v>
          </cell>
        </row>
      </sheetData>
      <sheetData sheetId="10" refreshError="1"/>
      <sheetData sheetId="11" refreshError="1"/>
      <sheetData sheetId="12" refreshError="1"/>
      <sheetData sheetId="13">
        <row r="5">
          <cell r="J5">
            <v>40725</v>
          </cell>
        </row>
        <row r="7">
          <cell r="D7">
            <v>0</v>
          </cell>
          <cell r="J7">
            <v>41059</v>
          </cell>
        </row>
        <row r="22">
          <cell r="J22">
            <v>62.891414007000002</v>
          </cell>
        </row>
        <row r="27">
          <cell r="O27">
            <v>-1.4077716</v>
          </cell>
        </row>
        <row r="42">
          <cell r="J42">
            <v>85.712121010499999</v>
          </cell>
        </row>
        <row r="67">
          <cell r="D67">
            <v>0</v>
          </cell>
        </row>
        <row r="82">
          <cell r="J82">
            <v>68.970036340000007</v>
          </cell>
        </row>
        <row r="87">
          <cell r="D87">
            <v>0</v>
          </cell>
        </row>
        <row r="102">
          <cell r="J102">
            <v>56</v>
          </cell>
        </row>
        <row r="107">
          <cell r="D107">
            <v>0</v>
          </cell>
        </row>
        <row r="122">
          <cell r="J122">
            <v>56</v>
          </cell>
        </row>
      </sheetData>
      <sheetData sheetId="14">
        <row r="9">
          <cell r="E9">
            <v>0</v>
          </cell>
        </row>
      </sheetData>
      <sheetData sheetId="15" refreshError="1"/>
      <sheetData sheetId="16">
        <row r="23">
          <cell r="G23">
            <v>62.891414007000002</v>
          </cell>
        </row>
        <row r="24">
          <cell r="H24">
            <v>68.970036340000007</v>
          </cell>
        </row>
        <row r="25">
          <cell r="K25">
            <v>1</v>
          </cell>
        </row>
        <row r="26">
          <cell r="K26">
            <v>2</v>
          </cell>
        </row>
        <row r="59">
          <cell r="H59">
            <v>0</v>
          </cell>
        </row>
        <row r="61">
          <cell r="K61">
            <v>1</v>
          </cell>
        </row>
        <row r="64">
          <cell r="H64">
            <v>0</v>
          </cell>
        </row>
      </sheetData>
      <sheetData sheetId="17" refreshError="1"/>
      <sheetData sheetId="18" refreshError="1"/>
      <sheetData sheetId="19">
        <row r="173">
          <cell r="O173">
            <v>0</v>
          </cell>
        </row>
      </sheetData>
      <sheetData sheetId="20">
        <row r="10">
          <cell r="C10">
            <v>1</v>
          </cell>
        </row>
        <row r="16">
          <cell r="B16">
            <v>1</v>
          </cell>
        </row>
      </sheetData>
      <sheetData sheetId="21" refreshError="1"/>
      <sheetData sheetId="22"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3"/>
  <sheetViews>
    <sheetView workbookViewId="0"/>
  </sheetViews>
  <sheetFormatPr defaultColWidth="9.1796875" defaultRowHeight="12.5"/>
  <cols>
    <col min="1" max="1" width="54.81640625" style="55" bestFit="1" customWidth="1"/>
    <col min="2" max="16384" width="9.1796875" style="55"/>
  </cols>
  <sheetData>
    <row r="1" spans="1:1" ht="22.5">
      <c r="A1" s="54" t="s">
        <v>122</v>
      </c>
    </row>
    <row r="3" spans="1:1" ht="22.5">
      <c r="A3" s="54" t="s">
        <v>123</v>
      </c>
    </row>
  </sheetData>
  <sheetProtection algorithmName="SHA-512" hashValue="J0nCfpr77SMHidFcS0PX9pzxxNofjanNZB1pAPf/CR2W+nVcXWQlih6o0OzGmAlhBMFMZ7sZDKYoTMv97DMFzw==" saltValue="6gcKcdI256DkGkbApd/IkA==" spinCount="100000" sheet="1" objects="1" scenarios="1" formatCells="0" selectLockedCells="1" autoFilter="0" selectUnlockedCell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H40"/>
  <sheetViews>
    <sheetView topLeftCell="B1" workbookViewId="0">
      <selection activeCell="B18" sqref="B18:E19"/>
    </sheetView>
  </sheetViews>
  <sheetFormatPr defaultColWidth="9.1796875" defaultRowHeight="14.5"/>
  <cols>
    <col min="1" max="1" width="3.54296875" style="61" hidden="1" customWidth="1"/>
    <col min="2" max="2" width="18.54296875" style="61" customWidth="1"/>
    <col min="3" max="3" width="13.26953125" style="61" customWidth="1"/>
    <col min="4" max="5" width="6.7265625" style="61" customWidth="1"/>
    <col min="6" max="6" width="5.26953125" style="61" customWidth="1"/>
    <col min="7" max="8" width="7.453125" style="61" customWidth="1"/>
    <col min="9" max="16384" width="9.1796875" style="61"/>
  </cols>
  <sheetData>
    <row r="1" spans="2:8" ht="13.5" customHeight="1">
      <c r="B1" s="58"/>
      <c r="C1" s="59"/>
      <c r="D1" s="59"/>
      <c r="E1" s="59"/>
      <c r="F1" s="59"/>
      <c r="G1" s="59"/>
      <c r="H1" s="60"/>
    </row>
    <row r="2" spans="2:8" ht="13.5" customHeight="1">
      <c r="B2" s="62"/>
      <c r="H2" s="63"/>
    </row>
    <row r="3" spans="2:8" ht="18" customHeight="1">
      <c r="B3" s="563" t="s">
        <v>94</v>
      </c>
      <c r="C3" s="564"/>
      <c r="D3" s="565" t="s">
        <v>126</v>
      </c>
      <c r="E3" s="565"/>
      <c r="F3" s="565"/>
      <c r="G3" s="565"/>
      <c r="H3" s="566"/>
    </row>
    <row r="4" spans="2:8" ht="13.5" customHeight="1">
      <c r="B4" s="567" t="s">
        <v>95</v>
      </c>
      <c r="C4" s="568"/>
      <c r="E4" s="569"/>
      <c r="F4" s="569"/>
      <c r="G4" s="569"/>
      <c r="H4" s="570"/>
    </row>
    <row r="5" spans="2:8" ht="13.5" customHeight="1">
      <c r="B5" s="567" t="s">
        <v>127</v>
      </c>
      <c r="C5" s="568"/>
      <c r="E5" s="571"/>
      <c r="F5" s="571"/>
      <c r="G5" s="571"/>
      <c r="H5" s="572"/>
    </row>
    <row r="6" spans="2:8" ht="6.75" customHeight="1">
      <c r="B6" s="567" t="s">
        <v>128</v>
      </c>
      <c r="C6" s="568"/>
      <c r="E6" s="64" t="s">
        <v>129</v>
      </c>
      <c r="F6" s="65"/>
      <c r="G6" s="65"/>
      <c r="H6" s="66"/>
    </row>
    <row r="7" spans="2:8" ht="13.5" customHeight="1">
      <c r="B7" s="567"/>
      <c r="C7" s="568"/>
      <c r="E7" s="573"/>
      <c r="F7" s="574"/>
      <c r="G7" s="574"/>
      <c r="H7" s="575"/>
    </row>
    <row r="8" spans="2:8" ht="6.75" customHeight="1">
      <c r="B8" s="67" t="s">
        <v>130</v>
      </c>
      <c r="C8" s="68" t="s">
        <v>100</v>
      </c>
      <c r="D8" s="64" t="s">
        <v>131</v>
      </c>
      <c r="E8" s="69"/>
      <c r="F8" s="64" t="s">
        <v>132</v>
      </c>
      <c r="G8" s="65"/>
      <c r="H8" s="66"/>
    </row>
    <row r="9" spans="2:8" ht="15" customHeight="1">
      <c r="B9" s="70"/>
      <c r="C9" s="71" t="str">
        <f>IF(Proposal!F9="","",Proposal!F9)</f>
        <v/>
      </c>
      <c r="D9" s="576"/>
      <c r="E9" s="577"/>
      <c r="F9" s="578"/>
      <c r="G9" s="574"/>
      <c r="H9" s="575"/>
    </row>
    <row r="10" spans="2:8" ht="6.75" customHeight="1">
      <c r="B10" s="72" t="s">
        <v>133</v>
      </c>
      <c r="C10" s="73"/>
      <c r="D10" s="73"/>
      <c r="E10" s="69"/>
      <c r="F10" s="64" t="s">
        <v>134</v>
      </c>
      <c r="G10" s="65"/>
      <c r="H10" s="66"/>
    </row>
    <row r="11" spans="2:8" ht="15" customHeight="1">
      <c r="B11" s="561">
        <f>Proposal!A9</f>
        <v>0</v>
      </c>
      <c r="C11" s="562"/>
      <c r="D11" s="562"/>
      <c r="E11" s="577"/>
      <c r="F11" s="74"/>
      <c r="G11" s="75"/>
      <c r="H11" s="76"/>
    </row>
    <row r="12" spans="2:8" ht="6.75" customHeight="1">
      <c r="B12" s="72" t="s">
        <v>135</v>
      </c>
      <c r="C12" s="73"/>
      <c r="D12" s="73"/>
      <c r="E12" s="65"/>
      <c r="F12" s="77"/>
      <c r="G12" s="579" t="s">
        <v>136</v>
      </c>
      <c r="H12" s="580"/>
    </row>
    <row r="13" spans="2:8" ht="15" customHeight="1">
      <c r="B13" s="561" t="str">
        <f>IF(Proposal!A11="","",Proposal!A11)</f>
        <v/>
      </c>
      <c r="C13" s="562"/>
      <c r="D13" s="562"/>
      <c r="E13" s="562"/>
      <c r="F13" s="78"/>
      <c r="G13" s="581"/>
      <c r="H13" s="582"/>
    </row>
    <row r="14" spans="2:8" ht="6.75" customHeight="1">
      <c r="B14" s="72" t="s">
        <v>137</v>
      </c>
      <c r="C14" s="73"/>
      <c r="D14" s="73"/>
      <c r="E14" s="65"/>
      <c r="F14" s="78"/>
      <c r="G14" s="557" t="s">
        <v>138</v>
      </c>
      <c r="H14" s="558"/>
    </row>
    <row r="15" spans="2:8" ht="15" customHeight="1">
      <c r="B15" s="561" t="str">
        <f>IF(Proposal!A13="","",Proposal!A13)</f>
        <v/>
      </c>
      <c r="C15" s="562"/>
      <c r="D15" s="562"/>
      <c r="E15" s="562"/>
      <c r="F15" s="79"/>
      <c r="G15" s="559"/>
      <c r="H15" s="560"/>
    </row>
    <row r="16" spans="2:8" ht="6.75" customHeight="1">
      <c r="B16" s="72" t="s">
        <v>139</v>
      </c>
      <c r="C16" s="73"/>
      <c r="D16" s="73"/>
      <c r="E16" s="69"/>
      <c r="F16" s="80" t="s">
        <v>140</v>
      </c>
      <c r="H16" s="63"/>
    </row>
    <row r="17" spans="2:8" ht="15" customHeight="1">
      <c r="B17" s="561" t="str">
        <f>IF('CP Backup'!D2="","",'CP Backup'!D2)</f>
        <v/>
      </c>
      <c r="C17" s="562"/>
      <c r="D17" s="562"/>
      <c r="E17" s="577"/>
      <c r="F17" s="81" t="s">
        <v>141</v>
      </c>
      <c r="G17" s="82" t="s">
        <v>142</v>
      </c>
      <c r="H17" s="83"/>
    </row>
    <row r="18" spans="2:8" ht="6.75" customHeight="1">
      <c r="B18" s="584" t="str">
        <f>IF('CP Backup'!D6="","",'CP Backup'!D6)</f>
        <v/>
      </c>
      <c r="C18" s="585"/>
      <c r="D18" s="585"/>
      <c r="E18" s="586"/>
      <c r="F18" s="64" t="s">
        <v>143</v>
      </c>
      <c r="G18" s="84"/>
      <c r="H18" s="85"/>
    </row>
    <row r="19" spans="2:8" ht="15" customHeight="1">
      <c r="B19" s="561"/>
      <c r="C19" s="562"/>
      <c r="D19" s="562"/>
      <c r="E19" s="577"/>
      <c r="F19" s="81" t="s">
        <v>141</v>
      </c>
      <c r="G19" s="82" t="s">
        <v>142</v>
      </c>
      <c r="H19" s="83"/>
    </row>
    <row r="20" spans="2:8" ht="6.75" customHeight="1">
      <c r="B20" s="584"/>
      <c r="C20" s="585"/>
      <c r="D20" s="585"/>
      <c r="E20" s="586"/>
      <c r="F20" s="64" t="s">
        <v>144</v>
      </c>
      <c r="G20" s="84"/>
      <c r="H20" s="85"/>
    </row>
    <row r="21" spans="2:8" ht="15" customHeight="1">
      <c r="B21" s="561"/>
      <c r="C21" s="562"/>
      <c r="D21" s="562"/>
      <c r="E21" s="577"/>
      <c r="F21" s="81" t="s">
        <v>141</v>
      </c>
      <c r="G21" s="82" t="s">
        <v>142</v>
      </c>
      <c r="H21" s="83"/>
    </row>
    <row r="22" spans="2:8" ht="6.75" customHeight="1">
      <c r="B22" s="584"/>
      <c r="C22" s="585"/>
      <c r="D22" s="585"/>
      <c r="E22" s="586"/>
      <c r="F22" s="64" t="s">
        <v>145</v>
      </c>
      <c r="G22" s="84"/>
      <c r="H22" s="85"/>
    </row>
    <row r="23" spans="2:8" ht="15" customHeight="1">
      <c r="B23" s="561"/>
      <c r="C23" s="562"/>
      <c r="D23" s="562"/>
      <c r="E23" s="577"/>
      <c r="F23" s="81" t="s">
        <v>141</v>
      </c>
      <c r="G23" s="82" t="s">
        <v>142</v>
      </c>
      <c r="H23" s="83"/>
    </row>
    <row r="24" spans="2:8" ht="6.75" customHeight="1">
      <c r="B24" s="584"/>
      <c r="C24" s="585"/>
      <c r="D24" s="585"/>
      <c r="E24" s="586"/>
      <c r="F24" s="64" t="s">
        <v>146</v>
      </c>
      <c r="G24" s="84"/>
      <c r="H24" s="85"/>
    </row>
    <row r="25" spans="2:8" ht="15" customHeight="1" thickBot="1">
      <c r="B25" s="587"/>
      <c r="C25" s="588"/>
      <c r="D25" s="588"/>
      <c r="E25" s="589"/>
      <c r="F25" s="86" t="s">
        <v>141</v>
      </c>
      <c r="G25" s="87" t="s">
        <v>142</v>
      </c>
      <c r="H25" s="88"/>
    </row>
    <row r="26" spans="2:8" ht="6.75" customHeight="1">
      <c r="B26" s="89" t="s">
        <v>147</v>
      </c>
      <c r="C26" s="90"/>
      <c r="D26" s="90"/>
      <c r="F26" s="90"/>
      <c r="H26" s="63"/>
    </row>
    <row r="27" spans="2:8" ht="15" customHeight="1">
      <c r="B27" s="561" t="str">
        <f>IF('CP Backup'!B7="","",'CP Backup'!B7)</f>
        <v/>
      </c>
      <c r="C27" s="562"/>
      <c r="D27" s="562"/>
      <c r="E27" s="562"/>
      <c r="F27" s="562"/>
      <c r="G27" s="562"/>
      <c r="H27" s="583"/>
    </row>
    <row r="28" spans="2:8" ht="15.75" customHeight="1">
      <c r="B28" s="561" t="str">
        <f>IF('CP Backup'!B8="","",'CP Backup'!B8)</f>
        <v/>
      </c>
      <c r="C28" s="562"/>
      <c r="D28" s="562"/>
      <c r="E28" s="562"/>
      <c r="F28" s="562"/>
      <c r="G28" s="562"/>
      <c r="H28" s="583"/>
    </row>
    <row r="29" spans="2:8" ht="15.75" customHeight="1">
      <c r="B29" s="561" t="str">
        <f>IF('CP Backup'!B9="","",'CP Backup'!B9)</f>
        <v/>
      </c>
      <c r="C29" s="562"/>
      <c r="D29" s="562"/>
      <c r="E29" s="562"/>
      <c r="F29" s="562"/>
      <c r="G29" s="562"/>
      <c r="H29" s="583"/>
    </row>
    <row r="30" spans="2:8" ht="15.75" customHeight="1">
      <c r="B30" s="561" t="str">
        <f>IF('CP Backup'!B10="","",'CP Backup'!B10)</f>
        <v/>
      </c>
      <c r="C30" s="562"/>
      <c r="D30" s="562"/>
      <c r="E30" s="562"/>
      <c r="F30" s="562"/>
      <c r="G30" s="562"/>
      <c r="H30" s="583"/>
    </row>
    <row r="31" spans="2:8" ht="15.75" customHeight="1">
      <c r="B31" s="561" t="str">
        <f>IF('CP Backup'!B11="","",'CP Backup'!B11)</f>
        <v/>
      </c>
      <c r="C31" s="562"/>
      <c r="D31" s="562"/>
      <c r="E31" s="562"/>
      <c r="F31" s="562"/>
      <c r="G31" s="562"/>
      <c r="H31" s="583"/>
    </row>
    <row r="32" spans="2:8" ht="15.75" customHeight="1">
      <c r="B32" s="561" t="str">
        <f>IF('CP Backup'!B12="","",'CP Backup'!B12)</f>
        <v/>
      </c>
      <c r="C32" s="562"/>
      <c r="D32" s="562"/>
      <c r="E32" s="562"/>
      <c r="F32" s="562"/>
      <c r="G32" s="562"/>
      <c r="H32" s="583"/>
    </row>
    <row r="33" spans="2:8" ht="15.75" customHeight="1">
      <c r="B33" s="561" t="str">
        <f>IF('CP Backup'!B13="","",'CP Backup'!B13)</f>
        <v/>
      </c>
      <c r="C33" s="562"/>
      <c r="D33" s="562"/>
      <c r="E33" s="562"/>
      <c r="F33" s="562"/>
      <c r="G33" s="562"/>
      <c r="H33" s="583"/>
    </row>
    <row r="34" spans="2:8" ht="15.75" customHeight="1">
      <c r="B34" s="561"/>
      <c r="C34" s="562"/>
      <c r="D34" s="562"/>
      <c r="E34" s="562"/>
      <c r="F34" s="562"/>
      <c r="G34" s="562"/>
      <c r="H34" s="583"/>
    </row>
    <row r="35" spans="2:8" ht="15.75" customHeight="1">
      <c r="B35" s="590"/>
      <c r="C35" s="591"/>
      <c r="D35" s="591"/>
      <c r="E35" s="592" t="s">
        <v>148</v>
      </c>
      <c r="F35" s="593"/>
      <c r="G35" s="594">
        <f>'CP Backup'!D31+'CP Backup'!D43</f>
        <v>0</v>
      </c>
      <c r="H35" s="595"/>
    </row>
    <row r="36" spans="2:8" ht="15.75" customHeight="1">
      <c r="B36" s="590"/>
      <c r="C36" s="591"/>
      <c r="D36" s="591"/>
      <c r="E36" s="592" t="s">
        <v>149</v>
      </c>
      <c r="F36" s="593"/>
      <c r="G36" s="594">
        <f>'CP Backup'!D48</f>
        <v>0</v>
      </c>
      <c r="H36" s="595"/>
    </row>
    <row r="37" spans="2:8" ht="15.75" customHeight="1">
      <c r="B37" s="590"/>
      <c r="C37" s="591"/>
      <c r="D37" s="591"/>
      <c r="E37" s="592" t="s">
        <v>150</v>
      </c>
      <c r="F37" s="593"/>
      <c r="G37" s="594">
        <f>'CP Backup'!D92-'CP Backup'!D48</f>
        <v>0</v>
      </c>
      <c r="H37" s="595"/>
    </row>
    <row r="38" spans="2:8" ht="15.75" customHeight="1">
      <c r="B38" s="584"/>
      <c r="C38" s="585"/>
      <c r="D38" s="585"/>
      <c r="E38" s="592" t="s">
        <v>151</v>
      </c>
      <c r="F38" s="593"/>
      <c r="G38" s="605"/>
      <c r="H38" s="606"/>
    </row>
    <row r="39" spans="2:8" ht="6.75" customHeight="1">
      <c r="B39" s="67" t="s">
        <v>152</v>
      </c>
      <c r="C39" s="64" t="s">
        <v>153</v>
      </c>
      <c r="D39" s="91"/>
      <c r="E39" s="596" t="s">
        <v>154</v>
      </c>
      <c r="F39" s="597"/>
      <c r="G39" s="600">
        <f>'CP Backup'!D125</f>
        <v>0</v>
      </c>
      <c r="H39" s="601"/>
    </row>
    <row r="40" spans="2:8" ht="18.75" customHeight="1" thickBot="1">
      <c r="B40" s="92"/>
      <c r="C40" s="604" t="str">
        <f>IF(Proposal!C7="","",Proposal!C7)</f>
        <v/>
      </c>
      <c r="D40" s="589"/>
      <c r="E40" s="598"/>
      <c r="F40" s="599"/>
      <c r="G40" s="602"/>
      <c r="H40" s="603"/>
    </row>
  </sheetData>
  <sheetProtection algorithmName="SHA-512" hashValue="AKmU+nOWkWVCJEk8KmpTQIUcrO7qEVnXkwhBVzv37ERCn9UqAaS70IwxpNNVX+PYinANlcPU0kivHazs/tX02w==" saltValue="fLUs+xRz/xKsxzqjsHCTxQ==" spinCount="100000" sheet="1" objects="1" scenarios="1" formatCells="0" selectLockedCells="1" autoFilter="0"/>
  <mergeCells count="42">
    <mergeCell ref="E39:F40"/>
    <mergeCell ref="G39:H40"/>
    <mergeCell ref="C40:D40"/>
    <mergeCell ref="B37:D37"/>
    <mergeCell ref="E37:F37"/>
    <mergeCell ref="G37:H37"/>
    <mergeCell ref="B38:D38"/>
    <mergeCell ref="E38:F38"/>
    <mergeCell ref="G38:H38"/>
    <mergeCell ref="B34:H34"/>
    <mergeCell ref="B35:D35"/>
    <mergeCell ref="E35:F35"/>
    <mergeCell ref="G35:H35"/>
    <mergeCell ref="B36:D36"/>
    <mergeCell ref="E36:F36"/>
    <mergeCell ref="G36:H36"/>
    <mergeCell ref="B33:H33"/>
    <mergeCell ref="B17:E17"/>
    <mergeCell ref="B18:E19"/>
    <mergeCell ref="B20:E21"/>
    <mergeCell ref="B22:E23"/>
    <mergeCell ref="B24:E25"/>
    <mergeCell ref="B27:H27"/>
    <mergeCell ref="B28:H28"/>
    <mergeCell ref="B29:H29"/>
    <mergeCell ref="B30:H30"/>
    <mergeCell ref="B31:H31"/>
    <mergeCell ref="B32:H32"/>
    <mergeCell ref="G14:H15"/>
    <mergeCell ref="B15:E15"/>
    <mergeCell ref="B3:C3"/>
    <mergeCell ref="D3:H3"/>
    <mergeCell ref="B4:C4"/>
    <mergeCell ref="E4:H5"/>
    <mergeCell ref="B5:C5"/>
    <mergeCell ref="B6:C7"/>
    <mergeCell ref="E7:H7"/>
    <mergeCell ref="D9:E9"/>
    <mergeCell ref="F9:H9"/>
    <mergeCell ref="B11:E11"/>
    <mergeCell ref="G12:H13"/>
    <mergeCell ref="B13:E13"/>
  </mergeCells>
  <dataValidations xWindow="486" yWindow="319" count="8">
    <dataValidation allowBlank="1" showInputMessage="1" showErrorMessage="1" promptTitle="CITY / STATE / ZIP" prompt="Billing city/state/zip" sqref="B15:E15" xr:uid="{00000000-0002-0000-0100-000000000000}"/>
    <dataValidation allowBlank="1" showInputMessage="1" showErrorMessage="1" promptTitle="ADDRESS" prompt="Customer billing address" sqref="B13:E13" xr:uid="{00000000-0002-0000-0100-000001000000}"/>
    <dataValidation allowBlank="1" showInputMessage="1" showErrorMessage="1" promptTitle="NAME" prompt="Customer name" sqref="B11:E11" xr:uid="{00000000-0002-0000-0100-000002000000}"/>
    <dataValidation allowBlank="1" showInputMessage="1" showErrorMessage="1" promptTitle="PHONE" prompt="Customer phone number" sqref="C9" xr:uid="{00000000-0002-0000-0100-000003000000}"/>
    <dataValidation allowBlank="1" showInputMessage="1" showErrorMessage="1" promptTitle="CUSTOMER ORDER NO." prompt="Customer purchase number" sqref="B9" xr:uid="{00000000-0002-0000-0100-000004000000}"/>
    <dataValidation allowBlank="1" showInputMessage="1" showErrorMessage="1" promptTitle="Date of order" prompt="Date the order was requested" sqref="E7:H7" xr:uid="{00000000-0002-0000-0100-000005000000}"/>
    <dataValidation allowBlank="1" showInputMessage="1" showErrorMessage="1" promptTitle="Starting Date" prompt="Date the project will start" sqref="F9:H9" xr:uid="{00000000-0002-0000-0100-000006000000}"/>
    <dataValidation allowBlank="1" showInputMessage="1" showErrorMessage="1" promptTitle="Job Number" prompt="Enter Job Number here" sqref="E4:H5" xr:uid="{00000000-0002-0000-0100-000007000000}"/>
  </dataValidations>
  <pageMargins left="2.7" right="0.2" top="0.25" bottom="0.25" header="0.3" footer="0.3"/>
  <pageSetup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Group Box 1">
              <controlPr defaultSize="0" autoFill="0" autoPict="0">
                <anchor moveWithCells="1">
                  <from>
                    <xdr:col>5</xdr:col>
                    <xdr:colOff>0</xdr:colOff>
                    <xdr:row>11</xdr:row>
                    <xdr:rowOff>0</xdr:rowOff>
                  </from>
                  <to>
                    <xdr:col>8</xdr:col>
                    <xdr:colOff>0</xdr:colOff>
                    <xdr:row>15</xdr:row>
                    <xdr:rowOff>0</xdr:rowOff>
                  </to>
                </anchor>
              </controlPr>
            </control>
          </mc:Choice>
        </mc:AlternateContent>
        <mc:AlternateContent xmlns:mc="http://schemas.openxmlformats.org/markup-compatibility/2006">
          <mc:Choice Requires="x14">
            <control shapeId="9218" r:id="rId5" name="Option Button 2">
              <controlPr defaultSize="0" autoFill="0" autoLine="0" autoPict="0">
                <anchor moveWithCells="1">
                  <from>
                    <xdr:col>5</xdr:col>
                    <xdr:colOff>38100</xdr:colOff>
                    <xdr:row>11</xdr:row>
                    <xdr:rowOff>31750</xdr:rowOff>
                  </from>
                  <to>
                    <xdr:col>6</xdr:col>
                    <xdr:colOff>304800</xdr:colOff>
                    <xdr:row>12</xdr:row>
                    <xdr:rowOff>165100</xdr:rowOff>
                  </to>
                </anchor>
              </controlPr>
            </control>
          </mc:Choice>
        </mc:AlternateContent>
        <mc:AlternateContent xmlns:mc="http://schemas.openxmlformats.org/markup-compatibility/2006">
          <mc:Choice Requires="x14">
            <control shapeId="9219" r:id="rId6" name="Option Button 3">
              <controlPr defaultSize="0" autoFill="0" autoLine="0" autoPict="0">
                <anchor moveWithCells="1">
                  <from>
                    <xdr:col>5</xdr:col>
                    <xdr:colOff>50800</xdr:colOff>
                    <xdr:row>13</xdr:row>
                    <xdr:rowOff>31750</xdr:rowOff>
                  </from>
                  <to>
                    <xdr:col>6</xdr:col>
                    <xdr:colOff>317500</xdr:colOff>
                    <xdr:row>14</xdr:row>
                    <xdr:rowOff>152400</xdr:rowOff>
                  </to>
                </anchor>
              </controlPr>
            </control>
          </mc:Choice>
        </mc:AlternateContent>
        <mc:AlternateContent xmlns:mc="http://schemas.openxmlformats.org/markup-compatibility/2006">
          <mc:Choice Requires="x14">
            <control shapeId="9220" r:id="rId7" name="Group Box 4">
              <controlPr defaultSize="0" autoFill="0" autoPict="0">
                <anchor moveWithCells="1">
                  <from>
                    <xdr:col>5</xdr:col>
                    <xdr:colOff>0</xdr:colOff>
                    <xdr:row>15</xdr:row>
                    <xdr:rowOff>0</xdr:rowOff>
                  </from>
                  <to>
                    <xdr:col>8</xdr:col>
                    <xdr:colOff>0</xdr:colOff>
                    <xdr:row>17</xdr:row>
                    <xdr:rowOff>0</xdr:rowOff>
                  </to>
                </anchor>
              </controlPr>
            </control>
          </mc:Choice>
        </mc:AlternateContent>
        <mc:AlternateContent xmlns:mc="http://schemas.openxmlformats.org/markup-compatibility/2006">
          <mc:Choice Requires="x14">
            <control shapeId="9221" r:id="rId8" name="Group Box 5">
              <controlPr defaultSize="0" autoFill="0" autoPict="0">
                <anchor moveWithCells="1">
                  <from>
                    <xdr:col>5</xdr:col>
                    <xdr:colOff>0</xdr:colOff>
                    <xdr:row>17</xdr:row>
                    <xdr:rowOff>0</xdr:rowOff>
                  </from>
                  <to>
                    <xdr:col>8</xdr:col>
                    <xdr:colOff>0</xdr:colOff>
                    <xdr:row>19</xdr:row>
                    <xdr:rowOff>0</xdr:rowOff>
                  </to>
                </anchor>
              </controlPr>
            </control>
          </mc:Choice>
        </mc:AlternateContent>
        <mc:AlternateContent xmlns:mc="http://schemas.openxmlformats.org/markup-compatibility/2006">
          <mc:Choice Requires="x14">
            <control shapeId="9222" r:id="rId9" name="Group Box 6">
              <controlPr defaultSize="0" autoFill="0" autoPict="0">
                <anchor moveWithCells="1">
                  <from>
                    <xdr:col>5</xdr:col>
                    <xdr:colOff>0</xdr:colOff>
                    <xdr:row>19</xdr:row>
                    <xdr:rowOff>0</xdr:rowOff>
                  </from>
                  <to>
                    <xdr:col>8</xdr:col>
                    <xdr:colOff>0</xdr:colOff>
                    <xdr:row>21</xdr:row>
                    <xdr:rowOff>0</xdr:rowOff>
                  </to>
                </anchor>
              </controlPr>
            </control>
          </mc:Choice>
        </mc:AlternateContent>
        <mc:AlternateContent xmlns:mc="http://schemas.openxmlformats.org/markup-compatibility/2006">
          <mc:Choice Requires="x14">
            <control shapeId="9223" r:id="rId10" name="Group Box 7">
              <controlPr defaultSize="0" autoFill="0" autoPict="0">
                <anchor moveWithCells="1">
                  <from>
                    <xdr:col>5</xdr:col>
                    <xdr:colOff>0</xdr:colOff>
                    <xdr:row>21</xdr:row>
                    <xdr:rowOff>0</xdr:rowOff>
                  </from>
                  <to>
                    <xdr:col>8</xdr:col>
                    <xdr:colOff>0</xdr:colOff>
                    <xdr:row>23</xdr:row>
                    <xdr:rowOff>0</xdr:rowOff>
                  </to>
                </anchor>
              </controlPr>
            </control>
          </mc:Choice>
        </mc:AlternateContent>
        <mc:AlternateContent xmlns:mc="http://schemas.openxmlformats.org/markup-compatibility/2006">
          <mc:Choice Requires="x14">
            <control shapeId="9224" r:id="rId11" name="Group Box 8">
              <controlPr defaultSize="0" autoFill="0" autoPict="0">
                <anchor moveWithCells="1">
                  <from>
                    <xdr:col>5</xdr:col>
                    <xdr:colOff>0</xdr:colOff>
                    <xdr:row>23</xdr:row>
                    <xdr:rowOff>0</xdr:rowOff>
                  </from>
                  <to>
                    <xdr:col>8</xdr:col>
                    <xdr:colOff>0</xdr:colOff>
                    <xdr:row>25</xdr:row>
                    <xdr:rowOff>0</xdr:rowOff>
                  </to>
                </anchor>
              </controlPr>
            </control>
          </mc:Choice>
        </mc:AlternateContent>
        <mc:AlternateContent xmlns:mc="http://schemas.openxmlformats.org/markup-compatibility/2006">
          <mc:Choice Requires="x14">
            <control shapeId="9225" r:id="rId12" name="Option Button 9">
              <controlPr defaultSize="0" autoFill="0" autoLine="0" autoPict="0">
                <anchor moveWithCells="1">
                  <from>
                    <xdr:col>5</xdr:col>
                    <xdr:colOff>222250</xdr:colOff>
                    <xdr:row>16</xdr:row>
                    <xdr:rowOff>31750</xdr:rowOff>
                  </from>
                  <to>
                    <xdr:col>6</xdr:col>
                    <xdr:colOff>107950</xdr:colOff>
                    <xdr:row>16</xdr:row>
                    <xdr:rowOff>171450</xdr:rowOff>
                  </to>
                </anchor>
              </controlPr>
            </control>
          </mc:Choice>
        </mc:AlternateContent>
        <mc:AlternateContent xmlns:mc="http://schemas.openxmlformats.org/markup-compatibility/2006">
          <mc:Choice Requires="x14">
            <control shapeId="9226" r:id="rId13" name="Option Button 10">
              <controlPr defaultSize="0" autoFill="0" autoLine="0" autoPict="0">
                <anchor moveWithCells="1">
                  <from>
                    <xdr:col>7</xdr:col>
                    <xdr:colOff>146050</xdr:colOff>
                    <xdr:row>16</xdr:row>
                    <xdr:rowOff>31750</xdr:rowOff>
                  </from>
                  <to>
                    <xdr:col>7</xdr:col>
                    <xdr:colOff>381000</xdr:colOff>
                    <xdr:row>16</xdr:row>
                    <xdr:rowOff>184150</xdr:rowOff>
                  </to>
                </anchor>
              </controlPr>
            </control>
          </mc:Choice>
        </mc:AlternateContent>
        <mc:AlternateContent xmlns:mc="http://schemas.openxmlformats.org/markup-compatibility/2006">
          <mc:Choice Requires="x14">
            <control shapeId="9227" r:id="rId14" name="Option Button 11">
              <controlPr defaultSize="0" autoFill="0" autoLine="0" autoPict="0">
                <anchor moveWithCells="1">
                  <from>
                    <xdr:col>5</xdr:col>
                    <xdr:colOff>222250</xdr:colOff>
                    <xdr:row>18</xdr:row>
                    <xdr:rowOff>31750</xdr:rowOff>
                  </from>
                  <to>
                    <xdr:col>6</xdr:col>
                    <xdr:colOff>107950</xdr:colOff>
                    <xdr:row>18</xdr:row>
                    <xdr:rowOff>171450</xdr:rowOff>
                  </to>
                </anchor>
              </controlPr>
            </control>
          </mc:Choice>
        </mc:AlternateContent>
        <mc:AlternateContent xmlns:mc="http://schemas.openxmlformats.org/markup-compatibility/2006">
          <mc:Choice Requires="x14">
            <control shapeId="9228" r:id="rId15" name="Option Button 12">
              <controlPr defaultSize="0" autoFill="0" autoLine="0" autoPict="0">
                <anchor moveWithCells="1">
                  <from>
                    <xdr:col>5</xdr:col>
                    <xdr:colOff>222250</xdr:colOff>
                    <xdr:row>20</xdr:row>
                    <xdr:rowOff>31750</xdr:rowOff>
                  </from>
                  <to>
                    <xdr:col>6</xdr:col>
                    <xdr:colOff>107950</xdr:colOff>
                    <xdr:row>20</xdr:row>
                    <xdr:rowOff>171450</xdr:rowOff>
                  </to>
                </anchor>
              </controlPr>
            </control>
          </mc:Choice>
        </mc:AlternateContent>
        <mc:AlternateContent xmlns:mc="http://schemas.openxmlformats.org/markup-compatibility/2006">
          <mc:Choice Requires="x14">
            <control shapeId="9229" r:id="rId16" name="Option Button 13">
              <controlPr defaultSize="0" autoFill="0" autoLine="0" autoPict="0">
                <anchor moveWithCells="1">
                  <from>
                    <xdr:col>7</xdr:col>
                    <xdr:colOff>146050</xdr:colOff>
                    <xdr:row>20</xdr:row>
                    <xdr:rowOff>31750</xdr:rowOff>
                  </from>
                  <to>
                    <xdr:col>7</xdr:col>
                    <xdr:colOff>381000</xdr:colOff>
                    <xdr:row>20</xdr:row>
                    <xdr:rowOff>184150</xdr:rowOff>
                  </to>
                </anchor>
              </controlPr>
            </control>
          </mc:Choice>
        </mc:AlternateContent>
        <mc:AlternateContent xmlns:mc="http://schemas.openxmlformats.org/markup-compatibility/2006">
          <mc:Choice Requires="x14">
            <control shapeId="9230" r:id="rId17" name="Option Button 14">
              <controlPr defaultSize="0" autoFill="0" autoLine="0" autoPict="0">
                <anchor moveWithCells="1">
                  <from>
                    <xdr:col>5</xdr:col>
                    <xdr:colOff>222250</xdr:colOff>
                    <xdr:row>22</xdr:row>
                    <xdr:rowOff>31750</xdr:rowOff>
                  </from>
                  <to>
                    <xdr:col>6</xdr:col>
                    <xdr:colOff>107950</xdr:colOff>
                    <xdr:row>22</xdr:row>
                    <xdr:rowOff>171450</xdr:rowOff>
                  </to>
                </anchor>
              </controlPr>
            </control>
          </mc:Choice>
        </mc:AlternateContent>
        <mc:AlternateContent xmlns:mc="http://schemas.openxmlformats.org/markup-compatibility/2006">
          <mc:Choice Requires="x14">
            <control shapeId="9231" r:id="rId18" name="Option Button 15">
              <controlPr defaultSize="0" autoFill="0" autoLine="0" autoPict="0">
                <anchor moveWithCells="1">
                  <from>
                    <xdr:col>7</xdr:col>
                    <xdr:colOff>146050</xdr:colOff>
                    <xdr:row>22</xdr:row>
                    <xdr:rowOff>31750</xdr:rowOff>
                  </from>
                  <to>
                    <xdr:col>7</xdr:col>
                    <xdr:colOff>381000</xdr:colOff>
                    <xdr:row>22</xdr:row>
                    <xdr:rowOff>184150</xdr:rowOff>
                  </to>
                </anchor>
              </controlPr>
            </control>
          </mc:Choice>
        </mc:AlternateContent>
        <mc:AlternateContent xmlns:mc="http://schemas.openxmlformats.org/markup-compatibility/2006">
          <mc:Choice Requires="x14">
            <control shapeId="9232" r:id="rId19" name="Option Button 16">
              <controlPr defaultSize="0" autoFill="0" autoLine="0" autoPict="0">
                <anchor moveWithCells="1">
                  <from>
                    <xdr:col>5</xdr:col>
                    <xdr:colOff>222250</xdr:colOff>
                    <xdr:row>24</xdr:row>
                    <xdr:rowOff>31750</xdr:rowOff>
                  </from>
                  <to>
                    <xdr:col>6</xdr:col>
                    <xdr:colOff>107950</xdr:colOff>
                    <xdr:row>24</xdr:row>
                    <xdr:rowOff>171450</xdr:rowOff>
                  </to>
                </anchor>
              </controlPr>
            </control>
          </mc:Choice>
        </mc:AlternateContent>
        <mc:AlternateContent xmlns:mc="http://schemas.openxmlformats.org/markup-compatibility/2006">
          <mc:Choice Requires="x14">
            <control shapeId="9233" r:id="rId20" name="Option Button 17">
              <controlPr defaultSize="0" autoFill="0" autoLine="0" autoPict="0">
                <anchor moveWithCells="1">
                  <from>
                    <xdr:col>7</xdr:col>
                    <xdr:colOff>146050</xdr:colOff>
                    <xdr:row>24</xdr:row>
                    <xdr:rowOff>31750</xdr:rowOff>
                  </from>
                  <to>
                    <xdr:col>7</xdr:col>
                    <xdr:colOff>381000</xdr:colOff>
                    <xdr:row>24</xdr:row>
                    <xdr:rowOff>184150</xdr:rowOff>
                  </to>
                </anchor>
              </controlPr>
            </control>
          </mc:Choice>
        </mc:AlternateContent>
        <mc:AlternateContent xmlns:mc="http://schemas.openxmlformats.org/markup-compatibility/2006">
          <mc:Choice Requires="x14">
            <control shapeId="9234" r:id="rId21" name="Option Button 18">
              <controlPr defaultSize="0" autoFill="0" autoLine="0" autoPict="0">
                <anchor moveWithCells="1">
                  <from>
                    <xdr:col>7</xdr:col>
                    <xdr:colOff>146050</xdr:colOff>
                    <xdr:row>18</xdr:row>
                    <xdr:rowOff>31750</xdr:rowOff>
                  </from>
                  <to>
                    <xdr:col>7</xdr:col>
                    <xdr:colOff>381000</xdr:colOff>
                    <xdr:row>18</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AC82"/>
  <sheetViews>
    <sheetView workbookViewId="0">
      <selection activeCell="A11" sqref="A11:E11"/>
    </sheetView>
  </sheetViews>
  <sheetFormatPr defaultRowHeight="12.5"/>
  <cols>
    <col min="1" max="1" width="2" style="226" customWidth="1"/>
    <col min="2" max="2" width="5.7265625" style="226" customWidth="1"/>
    <col min="3" max="3" width="8.26953125" style="226" customWidth="1"/>
    <col min="4" max="5" width="16.54296875" style="226" customWidth="1"/>
    <col min="6" max="6" width="3.81640625" style="226" customWidth="1"/>
    <col min="7" max="7" width="5.1796875" style="226" customWidth="1"/>
    <col min="8" max="8" width="7.1796875" style="226" customWidth="1"/>
    <col min="9" max="9" width="10.81640625" style="226" customWidth="1"/>
    <col min="10" max="12" width="1.7265625" style="226" customWidth="1"/>
    <col min="13" max="13" width="6" style="226" customWidth="1"/>
    <col min="14" max="14" width="11.26953125" style="226" customWidth="1"/>
    <col min="15" max="15" width="2.26953125" style="226" customWidth="1"/>
    <col min="16" max="16" width="8.453125" style="226" customWidth="1"/>
    <col min="17" max="17" width="2.453125" style="226" customWidth="1"/>
    <col min="18" max="18" width="2.453125" style="226" hidden="1" customWidth="1"/>
    <col min="19" max="19" width="11.54296875" style="226" customWidth="1"/>
    <col min="20" max="20" width="2.26953125" style="226" customWidth="1"/>
    <col min="21" max="21" width="7" style="226" customWidth="1"/>
    <col min="22" max="22" width="9.1796875" style="226"/>
    <col min="23" max="23" width="3.7265625" style="227" customWidth="1"/>
    <col min="24" max="24" width="19.26953125" style="226" customWidth="1"/>
    <col min="25" max="25" width="9.1796875" style="226"/>
    <col min="26" max="26" width="3.7265625" style="227" customWidth="1"/>
    <col min="27" max="27" width="22" style="226" bestFit="1" customWidth="1"/>
    <col min="28" max="28" width="9.1796875" style="226"/>
    <col min="29" max="29" width="72" style="274" bestFit="1" customWidth="1"/>
    <col min="30" max="256" width="9.1796875" style="226"/>
    <col min="257" max="257" width="2" style="226" customWidth="1"/>
    <col min="258" max="258" width="5.7265625" style="226" customWidth="1"/>
    <col min="259" max="259" width="8.26953125" style="226" customWidth="1"/>
    <col min="260" max="261" width="16.54296875" style="226" customWidth="1"/>
    <col min="262" max="262" width="3.81640625" style="226" customWidth="1"/>
    <col min="263" max="263" width="5.1796875" style="226" customWidth="1"/>
    <col min="264" max="264" width="7.1796875" style="226" customWidth="1"/>
    <col min="265" max="265" width="10.81640625" style="226" customWidth="1"/>
    <col min="266" max="268" width="1.7265625" style="226" customWidth="1"/>
    <col min="269" max="269" width="6" style="226" customWidth="1"/>
    <col min="270" max="270" width="11.26953125" style="226" customWidth="1"/>
    <col min="271" max="271" width="2.26953125" style="226" customWidth="1"/>
    <col min="272" max="272" width="8.453125" style="226" customWidth="1"/>
    <col min="273" max="273" width="2.453125" style="226" customWidth="1"/>
    <col min="274" max="274" width="0" style="226" hidden="1" customWidth="1"/>
    <col min="275" max="275" width="11.54296875" style="226" customWidth="1"/>
    <col min="276" max="276" width="2.26953125" style="226" customWidth="1"/>
    <col min="277" max="277" width="7" style="226" customWidth="1"/>
    <col min="278" max="512" width="9.1796875" style="226"/>
    <col min="513" max="513" width="2" style="226" customWidth="1"/>
    <col min="514" max="514" width="5.7265625" style="226" customWidth="1"/>
    <col min="515" max="515" width="8.26953125" style="226" customWidth="1"/>
    <col min="516" max="517" width="16.54296875" style="226" customWidth="1"/>
    <col min="518" max="518" width="3.81640625" style="226" customWidth="1"/>
    <col min="519" max="519" width="5.1796875" style="226" customWidth="1"/>
    <col min="520" max="520" width="7.1796875" style="226" customWidth="1"/>
    <col min="521" max="521" width="10.81640625" style="226" customWidth="1"/>
    <col min="522" max="524" width="1.7265625" style="226" customWidth="1"/>
    <col min="525" max="525" width="6" style="226" customWidth="1"/>
    <col min="526" max="526" width="11.26953125" style="226" customWidth="1"/>
    <col min="527" max="527" width="2.26953125" style="226" customWidth="1"/>
    <col min="528" max="528" width="8.453125" style="226" customWidth="1"/>
    <col min="529" max="529" width="2.453125" style="226" customWidth="1"/>
    <col min="530" max="530" width="0" style="226" hidden="1" customWidth="1"/>
    <col min="531" max="531" width="11.54296875" style="226" customWidth="1"/>
    <col min="532" max="532" width="2.26953125" style="226" customWidth="1"/>
    <col min="533" max="533" width="7" style="226" customWidth="1"/>
    <col min="534" max="768" width="9.1796875" style="226"/>
    <col min="769" max="769" width="2" style="226" customWidth="1"/>
    <col min="770" max="770" width="5.7265625" style="226" customWidth="1"/>
    <col min="771" max="771" width="8.26953125" style="226" customWidth="1"/>
    <col min="772" max="773" width="16.54296875" style="226" customWidth="1"/>
    <col min="774" max="774" width="3.81640625" style="226" customWidth="1"/>
    <col min="775" max="775" width="5.1796875" style="226" customWidth="1"/>
    <col min="776" max="776" width="7.1796875" style="226" customWidth="1"/>
    <col min="777" max="777" width="10.81640625" style="226" customWidth="1"/>
    <col min="778" max="780" width="1.7265625" style="226" customWidth="1"/>
    <col min="781" max="781" width="6" style="226" customWidth="1"/>
    <col min="782" max="782" width="11.26953125" style="226" customWidth="1"/>
    <col min="783" max="783" width="2.26953125" style="226" customWidth="1"/>
    <col min="784" max="784" width="8.453125" style="226" customWidth="1"/>
    <col min="785" max="785" width="2.453125" style="226" customWidth="1"/>
    <col min="786" max="786" width="0" style="226" hidden="1" customWidth="1"/>
    <col min="787" max="787" width="11.54296875" style="226" customWidth="1"/>
    <col min="788" max="788" width="2.26953125" style="226" customWidth="1"/>
    <col min="789" max="789" width="7" style="226" customWidth="1"/>
    <col min="790" max="1024" width="9.1796875" style="226"/>
    <col min="1025" max="1025" width="2" style="226" customWidth="1"/>
    <col min="1026" max="1026" width="5.7265625" style="226" customWidth="1"/>
    <col min="1027" max="1027" width="8.26953125" style="226" customWidth="1"/>
    <col min="1028" max="1029" width="16.54296875" style="226" customWidth="1"/>
    <col min="1030" max="1030" width="3.81640625" style="226" customWidth="1"/>
    <col min="1031" max="1031" width="5.1796875" style="226" customWidth="1"/>
    <col min="1032" max="1032" width="7.1796875" style="226" customWidth="1"/>
    <col min="1033" max="1033" width="10.81640625" style="226" customWidth="1"/>
    <col min="1034" max="1036" width="1.7265625" style="226" customWidth="1"/>
    <col min="1037" max="1037" width="6" style="226" customWidth="1"/>
    <col min="1038" max="1038" width="11.26953125" style="226" customWidth="1"/>
    <col min="1039" max="1039" width="2.26953125" style="226" customWidth="1"/>
    <col min="1040" max="1040" width="8.453125" style="226" customWidth="1"/>
    <col min="1041" max="1041" width="2.453125" style="226" customWidth="1"/>
    <col min="1042" max="1042" width="0" style="226" hidden="1" customWidth="1"/>
    <col min="1043" max="1043" width="11.54296875" style="226" customWidth="1"/>
    <col min="1044" max="1044" width="2.26953125" style="226" customWidth="1"/>
    <col min="1045" max="1045" width="7" style="226" customWidth="1"/>
    <col min="1046" max="1280" width="9.1796875" style="226"/>
    <col min="1281" max="1281" width="2" style="226" customWidth="1"/>
    <col min="1282" max="1282" width="5.7265625" style="226" customWidth="1"/>
    <col min="1283" max="1283" width="8.26953125" style="226" customWidth="1"/>
    <col min="1284" max="1285" width="16.54296875" style="226" customWidth="1"/>
    <col min="1286" max="1286" width="3.81640625" style="226" customWidth="1"/>
    <col min="1287" max="1287" width="5.1796875" style="226" customWidth="1"/>
    <col min="1288" max="1288" width="7.1796875" style="226" customWidth="1"/>
    <col min="1289" max="1289" width="10.81640625" style="226" customWidth="1"/>
    <col min="1290" max="1292" width="1.7265625" style="226" customWidth="1"/>
    <col min="1293" max="1293" width="6" style="226" customWidth="1"/>
    <col min="1294" max="1294" width="11.26953125" style="226" customWidth="1"/>
    <col min="1295" max="1295" width="2.26953125" style="226" customWidth="1"/>
    <col min="1296" max="1296" width="8.453125" style="226" customWidth="1"/>
    <col min="1297" max="1297" width="2.453125" style="226" customWidth="1"/>
    <col min="1298" max="1298" width="0" style="226" hidden="1" customWidth="1"/>
    <col min="1299" max="1299" width="11.54296875" style="226" customWidth="1"/>
    <col min="1300" max="1300" width="2.26953125" style="226" customWidth="1"/>
    <col min="1301" max="1301" width="7" style="226" customWidth="1"/>
    <col min="1302" max="1536" width="9.1796875" style="226"/>
    <col min="1537" max="1537" width="2" style="226" customWidth="1"/>
    <col min="1538" max="1538" width="5.7265625" style="226" customWidth="1"/>
    <col min="1539" max="1539" width="8.26953125" style="226" customWidth="1"/>
    <col min="1540" max="1541" width="16.54296875" style="226" customWidth="1"/>
    <col min="1542" max="1542" width="3.81640625" style="226" customWidth="1"/>
    <col min="1543" max="1543" width="5.1796875" style="226" customWidth="1"/>
    <col min="1544" max="1544" width="7.1796875" style="226" customWidth="1"/>
    <col min="1545" max="1545" width="10.81640625" style="226" customWidth="1"/>
    <col min="1546" max="1548" width="1.7265625" style="226" customWidth="1"/>
    <col min="1549" max="1549" width="6" style="226" customWidth="1"/>
    <col min="1550" max="1550" width="11.26953125" style="226" customWidth="1"/>
    <col min="1551" max="1551" width="2.26953125" style="226" customWidth="1"/>
    <col min="1552" max="1552" width="8.453125" style="226" customWidth="1"/>
    <col min="1553" max="1553" width="2.453125" style="226" customWidth="1"/>
    <col min="1554" max="1554" width="0" style="226" hidden="1" customWidth="1"/>
    <col min="1555" max="1555" width="11.54296875" style="226" customWidth="1"/>
    <col min="1556" max="1556" width="2.26953125" style="226" customWidth="1"/>
    <col min="1557" max="1557" width="7" style="226" customWidth="1"/>
    <col min="1558" max="1792" width="9.1796875" style="226"/>
    <col min="1793" max="1793" width="2" style="226" customWidth="1"/>
    <col min="1794" max="1794" width="5.7265625" style="226" customWidth="1"/>
    <col min="1795" max="1795" width="8.26953125" style="226" customWidth="1"/>
    <col min="1796" max="1797" width="16.54296875" style="226" customWidth="1"/>
    <col min="1798" max="1798" width="3.81640625" style="226" customWidth="1"/>
    <col min="1799" max="1799" width="5.1796875" style="226" customWidth="1"/>
    <col min="1800" max="1800" width="7.1796875" style="226" customWidth="1"/>
    <col min="1801" max="1801" width="10.81640625" style="226" customWidth="1"/>
    <col min="1802" max="1804" width="1.7265625" style="226" customWidth="1"/>
    <col min="1805" max="1805" width="6" style="226" customWidth="1"/>
    <col min="1806" max="1806" width="11.26953125" style="226" customWidth="1"/>
    <col min="1807" max="1807" width="2.26953125" style="226" customWidth="1"/>
    <col min="1808" max="1808" width="8.453125" style="226" customWidth="1"/>
    <col min="1809" max="1809" width="2.453125" style="226" customWidth="1"/>
    <col min="1810" max="1810" width="0" style="226" hidden="1" customWidth="1"/>
    <col min="1811" max="1811" width="11.54296875" style="226" customWidth="1"/>
    <col min="1812" max="1812" width="2.26953125" style="226" customWidth="1"/>
    <col min="1813" max="1813" width="7" style="226" customWidth="1"/>
    <col min="1814" max="2048" width="9.1796875" style="226"/>
    <col min="2049" max="2049" width="2" style="226" customWidth="1"/>
    <col min="2050" max="2050" width="5.7265625" style="226" customWidth="1"/>
    <col min="2051" max="2051" width="8.26953125" style="226" customWidth="1"/>
    <col min="2052" max="2053" width="16.54296875" style="226" customWidth="1"/>
    <col min="2054" max="2054" width="3.81640625" style="226" customWidth="1"/>
    <col min="2055" max="2055" width="5.1796875" style="226" customWidth="1"/>
    <col min="2056" max="2056" width="7.1796875" style="226" customWidth="1"/>
    <col min="2057" max="2057" width="10.81640625" style="226" customWidth="1"/>
    <col min="2058" max="2060" width="1.7265625" style="226" customWidth="1"/>
    <col min="2061" max="2061" width="6" style="226" customWidth="1"/>
    <col min="2062" max="2062" width="11.26953125" style="226" customWidth="1"/>
    <col min="2063" max="2063" width="2.26953125" style="226" customWidth="1"/>
    <col min="2064" max="2064" width="8.453125" style="226" customWidth="1"/>
    <col min="2065" max="2065" width="2.453125" style="226" customWidth="1"/>
    <col min="2066" max="2066" width="0" style="226" hidden="1" customWidth="1"/>
    <col min="2067" max="2067" width="11.54296875" style="226" customWidth="1"/>
    <col min="2068" max="2068" width="2.26953125" style="226" customWidth="1"/>
    <col min="2069" max="2069" width="7" style="226" customWidth="1"/>
    <col min="2070" max="2304" width="9.1796875" style="226"/>
    <col min="2305" max="2305" width="2" style="226" customWidth="1"/>
    <col min="2306" max="2306" width="5.7265625" style="226" customWidth="1"/>
    <col min="2307" max="2307" width="8.26953125" style="226" customWidth="1"/>
    <col min="2308" max="2309" width="16.54296875" style="226" customWidth="1"/>
    <col min="2310" max="2310" width="3.81640625" style="226" customWidth="1"/>
    <col min="2311" max="2311" width="5.1796875" style="226" customWidth="1"/>
    <col min="2312" max="2312" width="7.1796875" style="226" customWidth="1"/>
    <col min="2313" max="2313" width="10.81640625" style="226" customWidth="1"/>
    <col min="2314" max="2316" width="1.7265625" style="226" customWidth="1"/>
    <col min="2317" max="2317" width="6" style="226" customWidth="1"/>
    <col min="2318" max="2318" width="11.26953125" style="226" customWidth="1"/>
    <col min="2319" max="2319" width="2.26953125" style="226" customWidth="1"/>
    <col min="2320" max="2320" width="8.453125" style="226" customWidth="1"/>
    <col min="2321" max="2321" width="2.453125" style="226" customWidth="1"/>
    <col min="2322" max="2322" width="0" style="226" hidden="1" customWidth="1"/>
    <col min="2323" max="2323" width="11.54296875" style="226" customWidth="1"/>
    <col min="2324" max="2324" width="2.26953125" style="226" customWidth="1"/>
    <col min="2325" max="2325" width="7" style="226" customWidth="1"/>
    <col min="2326" max="2560" width="9.1796875" style="226"/>
    <col min="2561" max="2561" width="2" style="226" customWidth="1"/>
    <col min="2562" max="2562" width="5.7265625" style="226" customWidth="1"/>
    <col min="2563" max="2563" width="8.26953125" style="226" customWidth="1"/>
    <col min="2564" max="2565" width="16.54296875" style="226" customWidth="1"/>
    <col min="2566" max="2566" width="3.81640625" style="226" customWidth="1"/>
    <col min="2567" max="2567" width="5.1796875" style="226" customWidth="1"/>
    <col min="2568" max="2568" width="7.1796875" style="226" customWidth="1"/>
    <col min="2569" max="2569" width="10.81640625" style="226" customWidth="1"/>
    <col min="2570" max="2572" width="1.7265625" style="226" customWidth="1"/>
    <col min="2573" max="2573" width="6" style="226" customWidth="1"/>
    <col min="2574" max="2574" width="11.26953125" style="226" customWidth="1"/>
    <col min="2575" max="2575" width="2.26953125" style="226" customWidth="1"/>
    <col min="2576" max="2576" width="8.453125" style="226" customWidth="1"/>
    <col min="2577" max="2577" width="2.453125" style="226" customWidth="1"/>
    <col min="2578" max="2578" width="0" style="226" hidden="1" customWidth="1"/>
    <col min="2579" max="2579" width="11.54296875" style="226" customWidth="1"/>
    <col min="2580" max="2580" width="2.26953125" style="226" customWidth="1"/>
    <col min="2581" max="2581" width="7" style="226" customWidth="1"/>
    <col min="2582" max="2816" width="9.1796875" style="226"/>
    <col min="2817" max="2817" width="2" style="226" customWidth="1"/>
    <col min="2818" max="2818" width="5.7265625" style="226" customWidth="1"/>
    <col min="2819" max="2819" width="8.26953125" style="226" customWidth="1"/>
    <col min="2820" max="2821" width="16.54296875" style="226" customWidth="1"/>
    <col min="2822" max="2822" width="3.81640625" style="226" customWidth="1"/>
    <col min="2823" max="2823" width="5.1796875" style="226" customWidth="1"/>
    <col min="2824" max="2824" width="7.1796875" style="226" customWidth="1"/>
    <col min="2825" max="2825" width="10.81640625" style="226" customWidth="1"/>
    <col min="2826" max="2828" width="1.7265625" style="226" customWidth="1"/>
    <col min="2829" max="2829" width="6" style="226" customWidth="1"/>
    <col min="2830" max="2830" width="11.26953125" style="226" customWidth="1"/>
    <col min="2831" max="2831" width="2.26953125" style="226" customWidth="1"/>
    <col min="2832" max="2832" width="8.453125" style="226" customWidth="1"/>
    <col min="2833" max="2833" width="2.453125" style="226" customWidth="1"/>
    <col min="2834" max="2834" width="0" style="226" hidden="1" customWidth="1"/>
    <col min="2835" max="2835" width="11.54296875" style="226" customWidth="1"/>
    <col min="2836" max="2836" width="2.26953125" style="226" customWidth="1"/>
    <col min="2837" max="2837" width="7" style="226" customWidth="1"/>
    <col min="2838" max="3072" width="9.1796875" style="226"/>
    <col min="3073" max="3073" width="2" style="226" customWidth="1"/>
    <col min="3074" max="3074" width="5.7265625" style="226" customWidth="1"/>
    <col min="3075" max="3075" width="8.26953125" style="226" customWidth="1"/>
    <col min="3076" max="3077" width="16.54296875" style="226" customWidth="1"/>
    <col min="3078" max="3078" width="3.81640625" style="226" customWidth="1"/>
    <col min="3079" max="3079" width="5.1796875" style="226" customWidth="1"/>
    <col min="3080" max="3080" width="7.1796875" style="226" customWidth="1"/>
    <col min="3081" max="3081" width="10.81640625" style="226" customWidth="1"/>
    <col min="3082" max="3084" width="1.7265625" style="226" customWidth="1"/>
    <col min="3085" max="3085" width="6" style="226" customWidth="1"/>
    <col min="3086" max="3086" width="11.26953125" style="226" customWidth="1"/>
    <col min="3087" max="3087" width="2.26953125" style="226" customWidth="1"/>
    <col min="3088" max="3088" width="8.453125" style="226" customWidth="1"/>
    <col min="3089" max="3089" width="2.453125" style="226" customWidth="1"/>
    <col min="3090" max="3090" width="0" style="226" hidden="1" customWidth="1"/>
    <col min="3091" max="3091" width="11.54296875" style="226" customWidth="1"/>
    <col min="3092" max="3092" width="2.26953125" style="226" customWidth="1"/>
    <col min="3093" max="3093" width="7" style="226" customWidth="1"/>
    <col min="3094" max="3328" width="9.1796875" style="226"/>
    <col min="3329" max="3329" width="2" style="226" customWidth="1"/>
    <col min="3330" max="3330" width="5.7265625" style="226" customWidth="1"/>
    <col min="3331" max="3331" width="8.26953125" style="226" customWidth="1"/>
    <col min="3332" max="3333" width="16.54296875" style="226" customWidth="1"/>
    <col min="3334" max="3334" width="3.81640625" style="226" customWidth="1"/>
    <col min="3335" max="3335" width="5.1796875" style="226" customWidth="1"/>
    <col min="3336" max="3336" width="7.1796875" style="226" customWidth="1"/>
    <col min="3337" max="3337" width="10.81640625" style="226" customWidth="1"/>
    <col min="3338" max="3340" width="1.7265625" style="226" customWidth="1"/>
    <col min="3341" max="3341" width="6" style="226" customWidth="1"/>
    <col min="3342" max="3342" width="11.26953125" style="226" customWidth="1"/>
    <col min="3343" max="3343" width="2.26953125" style="226" customWidth="1"/>
    <col min="3344" max="3344" width="8.453125" style="226" customWidth="1"/>
    <col min="3345" max="3345" width="2.453125" style="226" customWidth="1"/>
    <col min="3346" max="3346" width="0" style="226" hidden="1" customWidth="1"/>
    <col min="3347" max="3347" width="11.54296875" style="226" customWidth="1"/>
    <col min="3348" max="3348" width="2.26953125" style="226" customWidth="1"/>
    <col min="3349" max="3349" width="7" style="226" customWidth="1"/>
    <col min="3350" max="3584" width="9.1796875" style="226"/>
    <col min="3585" max="3585" width="2" style="226" customWidth="1"/>
    <col min="3586" max="3586" width="5.7265625" style="226" customWidth="1"/>
    <col min="3587" max="3587" width="8.26953125" style="226" customWidth="1"/>
    <col min="3588" max="3589" width="16.54296875" style="226" customWidth="1"/>
    <col min="3590" max="3590" width="3.81640625" style="226" customWidth="1"/>
    <col min="3591" max="3591" width="5.1796875" style="226" customWidth="1"/>
    <col min="3592" max="3592" width="7.1796875" style="226" customWidth="1"/>
    <col min="3593" max="3593" width="10.81640625" style="226" customWidth="1"/>
    <col min="3594" max="3596" width="1.7265625" style="226" customWidth="1"/>
    <col min="3597" max="3597" width="6" style="226" customWidth="1"/>
    <col min="3598" max="3598" width="11.26953125" style="226" customWidth="1"/>
    <col min="3599" max="3599" width="2.26953125" style="226" customWidth="1"/>
    <col min="3600" max="3600" width="8.453125" style="226" customWidth="1"/>
    <col min="3601" max="3601" width="2.453125" style="226" customWidth="1"/>
    <col min="3602" max="3602" width="0" style="226" hidden="1" customWidth="1"/>
    <col min="3603" max="3603" width="11.54296875" style="226" customWidth="1"/>
    <col min="3604" max="3604" width="2.26953125" style="226" customWidth="1"/>
    <col min="3605" max="3605" width="7" style="226" customWidth="1"/>
    <col min="3606" max="3840" width="9.1796875" style="226"/>
    <col min="3841" max="3841" width="2" style="226" customWidth="1"/>
    <col min="3842" max="3842" width="5.7265625" style="226" customWidth="1"/>
    <col min="3843" max="3843" width="8.26953125" style="226" customWidth="1"/>
    <col min="3844" max="3845" width="16.54296875" style="226" customWidth="1"/>
    <col min="3846" max="3846" width="3.81640625" style="226" customWidth="1"/>
    <col min="3847" max="3847" width="5.1796875" style="226" customWidth="1"/>
    <col min="3848" max="3848" width="7.1796875" style="226" customWidth="1"/>
    <col min="3849" max="3849" width="10.81640625" style="226" customWidth="1"/>
    <col min="3850" max="3852" width="1.7265625" style="226" customWidth="1"/>
    <col min="3853" max="3853" width="6" style="226" customWidth="1"/>
    <col min="3854" max="3854" width="11.26953125" style="226" customWidth="1"/>
    <col min="3855" max="3855" width="2.26953125" style="226" customWidth="1"/>
    <col min="3856" max="3856" width="8.453125" style="226" customWidth="1"/>
    <col min="3857" max="3857" width="2.453125" style="226" customWidth="1"/>
    <col min="3858" max="3858" width="0" style="226" hidden="1" customWidth="1"/>
    <col min="3859" max="3859" width="11.54296875" style="226" customWidth="1"/>
    <col min="3860" max="3860" width="2.26953125" style="226" customWidth="1"/>
    <col min="3861" max="3861" width="7" style="226" customWidth="1"/>
    <col min="3862" max="4096" width="9.1796875" style="226"/>
    <col min="4097" max="4097" width="2" style="226" customWidth="1"/>
    <col min="4098" max="4098" width="5.7265625" style="226" customWidth="1"/>
    <col min="4099" max="4099" width="8.26953125" style="226" customWidth="1"/>
    <col min="4100" max="4101" width="16.54296875" style="226" customWidth="1"/>
    <col min="4102" max="4102" width="3.81640625" style="226" customWidth="1"/>
    <col min="4103" max="4103" width="5.1796875" style="226" customWidth="1"/>
    <col min="4104" max="4104" width="7.1796875" style="226" customWidth="1"/>
    <col min="4105" max="4105" width="10.81640625" style="226" customWidth="1"/>
    <col min="4106" max="4108" width="1.7265625" style="226" customWidth="1"/>
    <col min="4109" max="4109" width="6" style="226" customWidth="1"/>
    <col min="4110" max="4110" width="11.26953125" style="226" customWidth="1"/>
    <col min="4111" max="4111" width="2.26953125" style="226" customWidth="1"/>
    <col min="4112" max="4112" width="8.453125" style="226" customWidth="1"/>
    <col min="4113" max="4113" width="2.453125" style="226" customWidth="1"/>
    <col min="4114" max="4114" width="0" style="226" hidden="1" customWidth="1"/>
    <col min="4115" max="4115" width="11.54296875" style="226" customWidth="1"/>
    <col min="4116" max="4116" width="2.26953125" style="226" customWidth="1"/>
    <col min="4117" max="4117" width="7" style="226" customWidth="1"/>
    <col min="4118" max="4352" width="9.1796875" style="226"/>
    <col min="4353" max="4353" width="2" style="226" customWidth="1"/>
    <col min="4354" max="4354" width="5.7265625" style="226" customWidth="1"/>
    <col min="4355" max="4355" width="8.26953125" style="226" customWidth="1"/>
    <col min="4356" max="4357" width="16.54296875" style="226" customWidth="1"/>
    <col min="4358" max="4358" width="3.81640625" style="226" customWidth="1"/>
    <col min="4359" max="4359" width="5.1796875" style="226" customWidth="1"/>
    <col min="4360" max="4360" width="7.1796875" style="226" customWidth="1"/>
    <col min="4361" max="4361" width="10.81640625" style="226" customWidth="1"/>
    <col min="4362" max="4364" width="1.7265625" style="226" customWidth="1"/>
    <col min="4365" max="4365" width="6" style="226" customWidth="1"/>
    <col min="4366" max="4366" width="11.26953125" style="226" customWidth="1"/>
    <col min="4367" max="4367" width="2.26953125" style="226" customWidth="1"/>
    <col min="4368" max="4368" width="8.453125" style="226" customWidth="1"/>
    <col min="4369" max="4369" width="2.453125" style="226" customWidth="1"/>
    <col min="4370" max="4370" width="0" style="226" hidden="1" customWidth="1"/>
    <col min="4371" max="4371" width="11.54296875" style="226" customWidth="1"/>
    <col min="4372" max="4372" width="2.26953125" style="226" customWidth="1"/>
    <col min="4373" max="4373" width="7" style="226" customWidth="1"/>
    <col min="4374" max="4608" width="9.1796875" style="226"/>
    <col min="4609" max="4609" width="2" style="226" customWidth="1"/>
    <col min="4610" max="4610" width="5.7265625" style="226" customWidth="1"/>
    <col min="4611" max="4611" width="8.26953125" style="226" customWidth="1"/>
    <col min="4612" max="4613" width="16.54296875" style="226" customWidth="1"/>
    <col min="4614" max="4614" width="3.81640625" style="226" customWidth="1"/>
    <col min="4615" max="4615" width="5.1796875" style="226" customWidth="1"/>
    <col min="4616" max="4616" width="7.1796875" style="226" customWidth="1"/>
    <col min="4617" max="4617" width="10.81640625" style="226" customWidth="1"/>
    <col min="4618" max="4620" width="1.7265625" style="226" customWidth="1"/>
    <col min="4621" max="4621" width="6" style="226" customWidth="1"/>
    <col min="4622" max="4622" width="11.26953125" style="226" customWidth="1"/>
    <col min="4623" max="4623" width="2.26953125" style="226" customWidth="1"/>
    <col min="4624" max="4624" width="8.453125" style="226" customWidth="1"/>
    <col min="4625" max="4625" width="2.453125" style="226" customWidth="1"/>
    <col min="4626" max="4626" width="0" style="226" hidden="1" customWidth="1"/>
    <col min="4627" max="4627" width="11.54296875" style="226" customWidth="1"/>
    <col min="4628" max="4628" width="2.26953125" style="226" customWidth="1"/>
    <col min="4629" max="4629" width="7" style="226" customWidth="1"/>
    <col min="4630" max="4864" width="9.1796875" style="226"/>
    <col min="4865" max="4865" width="2" style="226" customWidth="1"/>
    <col min="4866" max="4866" width="5.7265625" style="226" customWidth="1"/>
    <col min="4867" max="4867" width="8.26953125" style="226" customWidth="1"/>
    <col min="4868" max="4869" width="16.54296875" style="226" customWidth="1"/>
    <col min="4870" max="4870" width="3.81640625" style="226" customWidth="1"/>
    <col min="4871" max="4871" width="5.1796875" style="226" customWidth="1"/>
    <col min="4872" max="4872" width="7.1796875" style="226" customWidth="1"/>
    <col min="4873" max="4873" width="10.81640625" style="226" customWidth="1"/>
    <col min="4874" max="4876" width="1.7265625" style="226" customWidth="1"/>
    <col min="4877" max="4877" width="6" style="226" customWidth="1"/>
    <col min="4878" max="4878" width="11.26953125" style="226" customWidth="1"/>
    <col min="4879" max="4879" width="2.26953125" style="226" customWidth="1"/>
    <col min="4880" max="4880" width="8.453125" style="226" customWidth="1"/>
    <col min="4881" max="4881" width="2.453125" style="226" customWidth="1"/>
    <col min="4882" max="4882" width="0" style="226" hidden="1" customWidth="1"/>
    <col min="4883" max="4883" width="11.54296875" style="226" customWidth="1"/>
    <col min="4884" max="4884" width="2.26953125" style="226" customWidth="1"/>
    <col min="4885" max="4885" width="7" style="226" customWidth="1"/>
    <col min="4886" max="5120" width="9.1796875" style="226"/>
    <col min="5121" max="5121" width="2" style="226" customWidth="1"/>
    <col min="5122" max="5122" width="5.7265625" style="226" customWidth="1"/>
    <col min="5123" max="5123" width="8.26953125" style="226" customWidth="1"/>
    <col min="5124" max="5125" width="16.54296875" style="226" customWidth="1"/>
    <col min="5126" max="5126" width="3.81640625" style="226" customWidth="1"/>
    <col min="5127" max="5127" width="5.1796875" style="226" customWidth="1"/>
    <col min="5128" max="5128" width="7.1796875" style="226" customWidth="1"/>
    <col min="5129" max="5129" width="10.81640625" style="226" customWidth="1"/>
    <col min="5130" max="5132" width="1.7265625" style="226" customWidth="1"/>
    <col min="5133" max="5133" width="6" style="226" customWidth="1"/>
    <col min="5134" max="5134" width="11.26953125" style="226" customWidth="1"/>
    <col min="5135" max="5135" width="2.26953125" style="226" customWidth="1"/>
    <col min="5136" max="5136" width="8.453125" style="226" customWidth="1"/>
    <col min="5137" max="5137" width="2.453125" style="226" customWidth="1"/>
    <col min="5138" max="5138" width="0" style="226" hidden="1" customWidth="1"/>
    <col min="5139" max="5139" width="11.54296875" style="226" customWidth="1"/>
    <col min="5140" max="5140" width="2.26953125" style="226" customWidth="1"/>
    <col min="5141" max="5141" width="7" style="226" customWidth="1"/>
    <col min="5142" max="5376" width="9.1796875" style="226"/>
    <col min="5377" max="5377" width="2" style="226" customWidth="1"/>
    <col min="5378" max="5378" width="5.7265625" style="226" customWidth="1"/>
    <col min="5379" max="5379" width="8.26953125" style="226" customWidth="1"/>
    <col min="5380" max="5381" width="16.54296875" style="226" customWidth="1"/>
    <col min="5382" max="5382" width="3.81640625" style="226" customWidth="1"/>
    <col min="5383" max="5383" width="5.1796875" style="226" customWidth="1"/>
    <col min="5384" max="5384" width="7.1796875" style="226" customWidth="1"/>
    <col min="5385" max="5385" width="10.81640625" style="226" customWidth="1"/>
    <col min="5386" max="5388" width="1.7265625" style="226" customWidth="1"/>
    <col min="5389" max="5389" width="6" style="226" customWidth="1"/>
    <col min="5390" max="5390" width="11.26953125" style="226" customWidth="1"/>
    <col min="5391" max="5391" width="2.26953125" style="226" customWidth="1"/>
    <col min="5392" max="5392" width="8.453125" style="226" customWidth="1"/>
    <col min="5393" max="5393" width="2.453125" style="226" customWidth="1"/>
    <col min="5394" max="5394" width="0" style="226" hidden="1" customWidth="1"/>
    <col min="5395" max="5395" width="11.54296875" style="226" customWidth="1"/>
    <col min="5396" max="5396" width="2.26953125" style="226" customWidth="1"/>
    <col min="5397" max="5397" width="7" style="226" customWidth="1"/>
    <col min="5398" max="5632" width="9.1796875" style="226"/>
    <col min="5633" max="5633" width="2" style="226" customWidth="1"/>
    <col min="5634" max="5634" width="5.7265625" style="226" customWidth="1"/>
    <col min="5635" max="5635" width="8.26953125" style="226" customWidth="1"/>
    <col min="5636" max="5637" width="16.54296875" style="226" customWidth="1"/>
    <col min="5638" max="5638" width="3.81640625" style="226" customWidth="1"/>
    <col min="5639" max="5639" width="5.1796875" style="226" customWidth="1"/>
    <col min="5640" max="5640" width="7.1796875" style="226" customWidth="1"/>
    <col min="5641" max="5641" width="10.81640625" style="226" customWidth="1"/>
    <col min="5642" max="5644" width="1.7265625" style="226" customWidth="1"/>
    <col min="5645" max="5645" width="6" style="226" customWidth="1"/>
    <col min="5646" max="5646" width="11.26953125" style="226" customWidth="1"/>
    <col min="5647" max="5647" width="2.26953125" style="226" customWidth="1"/>
    <col min="5648" max="5648" width="8.453125" style="226" customWidth="1"/>
    <col min="5649" max="5649" width="2.453125" style="226" customWidth="1"/>
    <col min="5650" max="5650" width="0" style="226" hidden="1" customWidth="1"/>
    <col min="5651" max="5651" width="11.54296875" style="226" customWidth="1"/>
    <col min="5652" max="5652" width="2.26953125" style="226" customWidth="1"/>
    <col min="5653" max="5653" width="7" style="226" customWidth="1"/>
    <col min="5654" max="5888" width="9.1796875" style="226"/>
    <col min="5889" max="5889" width="2" style="226" customWidth="1"/>
    <col min="5890" max="5890" width="5.7265625" style="226" customWidth="1"/>
    <col min="5891" max="5891" width="8.26953125" style="226" customWidth="1"/>
    <col min="5892" max="5893" width="16.54296875" style="226" customWidth="1"/>
    <col min="5894" max="5894" width="3.81640625" style="226" customWidth="1"/>
    <col min="5895" max="5895" width="5.1796875" style="226" customWidth="1"/>
    <col min="5896" max="5896" width="7.1796875" style="226" customWidth="1"/>
    <col min="5897" max="5897" width="10.81640625" style="226" customWidth="1"/>
    <col min="5898" max="5900" width="1.7265625" style="226" customWidth="1"/>
    <col min="5901" max="5901" width="6" style="226" customWidth="1"/>
    <col min="5902" max="5902" width="11.26953125" style="226" customWidth="1"/>
    <col min="5903" max="5903" width="2.26953125" style="226" customWidth="1"/>
    <col min="5904" max="5904" width="8.453125" style="226" customWidth="1"/>
    <col min="5905" max="5905" width="2.453125" style="226" customWidth="1"/>
    <col min="5906" max="5906" width="0" style="226" hidden="1" customWidth="1"/>
    <col min="5907" max="5907" width="11.54296875" style="226" customWidth="1"/>
    <col min="5908" max="5908" width="2.26953125" style="226" customWidth="1"/>
    <col min="5909" max="5909" width="7" style="226" customWidth="1"/>
    <col min="5910" max="6144" width="9.1796875" style="226"/>
    <col min="6145" max="6145" width="2" style="226" customWidth="1"/>
    <col min="6146" max="6146" width="5.7265625" style="226" customWidth="1"/>
    <col min="6147" max="6147" width="8.26953125" style="226" customWidth="1"/>
    <col min="6148" max="6149" width="16.54296875" style="226" customWidth="1"/>
    <col min="6150" max="6150" width="3.81640625" style="226" customWidth="1"/>
    <col min="6151" max="6151" width="5.1796875" style="226" customWidth="1"/>
    <col min="6152" max="6152" width="7.1796875" style="226" customWidth="1"/>
    <col min="6153" max="6153" width="10.81640625" style="226" customWidth="1"/>
    <col min="6154" max="6156" width="1.7265625" style="226" customWidth="1"/>
    <col min="6157" max="6157" width="6" style="226" customWidth="1"/>
    <col min="6158" max="6158" width="11.26953125" style="226" customWidth="1"/>
    <col min="6159" max="6159" width="2.26953125" style="226" customWidth="1"/>
    <col min="6160" max="6160" width="8.453125" style="226" customWidth="1"/>
    <col min="6161" max="6161" width="2.453125" style="226" customWidth="1"/>
    <col min="6162" max="6162" width="0" style="226" hidden="1" customWidth="1"/>
    <col min="6163" max="6163" width="11.54296875" style="226" customWidth="1"/>
    <col min="6164" max="6164" width="2.26953125" style="226" customWidth="1"/>
    <col min="6165" max="6165" width="7" style="226" customWidth="1"/>
    <col min="6166" max="6400" width="9.1796875" style="226"/>
    <col min="6401" max="6401" width="2" style="226" customWidth="1"/>
    <col min="6402" max="6402" width="5.7265625" style="226" customWidth="1"/>
    <col min="6403" max="6403" width="8.26953125" style="226" customWidth="1"/>
    <col min="6404" max="6405" width="16.54296875" style="226" customWidth="1"/>
    <col min="6406" max="6406" width="3.81640625" style="226" customWidth="1"/>
    <col min="6407" max="6407" width="5.1796875" style="226" customWidth="1"/>
    <col min="6408" max="6408" width="7.1796875" style="226" customWidth="1"/>
    <col min="6409" max="6409" width="10.81640625" style="226" customWidth="1"/>
    <col min="6410" max="6412" width="1.7265625" style="226" customWidth="1"/>
    <col min="6413" max="6413" width="6" style="226" customWidth="1"/>
    <col min="6414" max="6414" width="11.26953125" style="226" customWidth="1"/>
    <col min="6415" max="6415" width="2.26953125" style="226" customWidth="1"/>
    <col min="6416" max="6416" width="8.453125" style="226" customWidth="1"/>
    <col min="6417" max="6417" width="2.453125" style="226" customWidth="1"/>
    <col min="6418" max="6418" width="0" style="226" hidden="1" customWidth="1"/>
    <col min="6419" max="6419" width="11.54296875" style="226" customWidth="1"/>
    <col min="6420" max="6420" width="2.26953125" style="226" customWidth="1"/>
    <col min="6421" max="6421" width="7" style="226" customWidth="1"/>
    <col min="6422" max="6656" width="9.1796875" style="226"/>
    <col min="6657" max="6657" width="2" style="226" customWidth="1"/>
    <col min="6658" max="6658" width="5.7265625" style="226" customWidth="1"/>
    <col min="6659" max="6659" width="8.26953125" style="226" customWidth="1"/>
    <col min="6660" max="6661" width="16.54296875" style="226" customWidth="1"/>
    <col min="6662" max="6662" width="3.81640625" style="226" customWidth="1"/>
    <col min="6663" max="6663" width="5.1796875" style="226" customWidth="1"/>
    <col min="6664" max="6664" width="7.1796875" style="226" customWidth="1"/>
    <col min="6665" max="6665" width="10.81640625" style="226" customWidth="1"/>
    <col min="6666" max="6668" width="1.7265625" style="226" customWidth="1"/>
    <col min="6669" max="6669" width="6" style="226" customWidth="1"/>
    <col min="6670" max="6670" width="11.26953125" style="226" customWidth="1"/>
    <col min="6671" max="6671" width="2.26953125" style="226" customWidth="1"/>
    <col min="6672" max="6672" width="8.453125" style="226" customWidth="1"/>
    <col min="6673" max="6673" width="2.453125" style="226" customWidth="1"/>
    <col min="6674" max="6674" width="0" style="226" hidden="1" customWidth="1"/>
    <col min="6675" max="6675" width="11.54296875" style="226" customWidth="1"/>
    <col min="6676" max="6676" width="2.26953125" style="226" customWidth="1"/>
    <col min="6677" max="6677" width="7" style="226" customWidth="1"/>
    <col min="6678" max="6912" width="9.1796875" style="226"/>
    <col min="6913" max="6913" width="2" style="226" customWidth="1"/>
    <col min="6914" max="6914" width="5.7265625" style="226" customWidth="1"/>
    <col min="6915" max="6915" width="8.26953125" style="226" customWidth="1"/>
    <col min="6916" max="6917" width="16.54296875" style="226" customWidth="1"/>
    <col min="6918" max="6918" width="3.81640625" style="226" customWidth="1"/>
    <col min="6919" max="6919" width="5.1796875" style="226" customWidth="1"/>
    <col min="6920" max="6920" width="7.1796875" style="226" customWidth="1"/>
    <col min="6921" max="6921" width="10.81640625" style="226" customWidth="1"/>
    <col min="6922" max="6924" width="1.7265625" style="226" customWidth="1"/>
    <col min="6925" max="6925" width="6" style="226" customWidth="1"/>
    <col min="6926" max="6926" width="11.26953125" style="226" customWidth="1"/>
    <col min="6927" max="6927" width="2.26953125" style="226" customWidth="1"/>
    <col min="6928" max="6928" width="8.453125" style="226" customWidth="1"/>
    <col min="6929" max="6929" width="2.453125" style="226" customWidth="1"/>
    <col min="6930" max="6930" width="0" style="226" hidden="1" customWidth="1"/>
    <col min="6931" max="6931" width="11.54296875" style="226" customWidth="1"/>
    <col min="6932" max="6932" width="2.26953125" style="226" customWidth="1"/>
    <col min="6933" max="6933" width="7" style="226" customWidth="1"/>
    <col min="6934" max="7168" width="9.1796875" style="226"/>
    <col min="7169" max="7169" width="2" style="226" customWidth="1"/>
    <col min="7170" max="7170" width="5.7265625" style="226" customWidth="1"/>
    <col min="7171" max="7171" width="8.26953125" style="226" customWidth="1"/>
    <col min="7172" max="7173" width="16.54296875" style="226" customWidth="1"/>
    <col min="7174" max="7174" width="3.81640625" style="226" customWidth="1"/>
    <col min="7175" max="7175" width="5.1796875" style="226" customWidth="1"/>
    <col min="7176" max="7176" width="7.1796875" style="226" customWidth="1"/>
    <col min="7177" max="7177" width="10.81640625" style="226" customWidth="1"/>
    <col min="7178" max="7180" width="1.7265625" style="226" customWidth="1"/>
    <col min="7181" max="7181" width="6" style="226" customWidth="1"/>
    <col min="7182" max="7182" width="11.26953125" style="226" customWidth="1"/>
    <col min="7183" max="7183" width="2.26953125" style="226" customWidth="1"/>
    <col min="7184" max="7184" width="8.453125" style="226" customWidth="1"/>
    <col min="7185" max="7185" width="2.453125" style="226" customWidth="1"/>
    <col min="7186" max="7186" width="0" style="226" hidden="1" customWidth="1"/>
    <col min="7187" max="7187" width="11.54296875" style="226" customWidth="1"/>
    <col min="7188" max="7188" width="2.26953125" style="226" customWidth="1"/>
    <col min="7189" max="7189" width="7" style="226" customWidth="1"/>
    <col min="7190" max="7424" width="9.1796875" style="226"/>
    <col min="7425" max="7425" width="2" style="226" customWidth="1"/>
    <col min="7426" max="7426" width="5.7265625" style="226" customWidth="1"/>
    <col min="7427" max="7427" width="8.26953125" style="226" customWidth="1"/>
    <col min="7428" max="7429" width="16.54296875" style="226" customWidth="1"/>
    <col min="7430" max="7430" width="3.81640625" style="226" customWidth="1"/>
    <col min="7431" max="7431" width="5.1796875" style="226" customWidth="1"/>
    <col min="7432" max="7432" width="7.1796875" style="226" customWidth="1"/>
    <col min="7433" max="7433" width="10.81640625" style="226" customWidth="1"/>
    <col min="7434" max="7436" width="1.7265625" style="226" customWidth="1"/>
    <col min="7437" max="7437" width="6" style="226" customWidth="1"/>
    <col min="7438" max="7438" width="11.26953125" style="226" customWidth="1"/>
    <col min="7439" max="7439" width="2.26953125" style="226" customWidth="1"/>
    <col min="7440" max="7440" width="8.453125" style="226" customWidth="1"/>
    <col min="7441" max="7441" width="2.453125" style="226" customWidth="1"/>
    <col min="7442" max="7442" width="0" style="226" hidden="1" customWidth="1"/>
    <col min="7443" max="7443" width="11.54296875" style="226" customWidth="1"/>
    <col min="7444" max="7444" width="2.26953125" style="226" customWidth="1"/>
    <col min="7445" max="7445" width="7" style="226" customWidth="1"/>
    <col min="7446" max="7680" width="9.1796875" style="226"/>
    <col min="7681" max="7681" width="2" style="226" customWidth="1"/>
    <col min="7682" max="7682" width="5.7265625" style="226" customWidth="1"/>
    <col min="7683" max="7683" width="8.26953125" style="226" customWidth="1"/>
    <col min="7684" max="7685" width="16.54296875" style="226" customWidth="1"/>
    <col min="7686" max="7686" width="3.81640625" style="226" customWidth="1"/>
    <col min="7687" max="7687" width="5.1796875" style="226" customWidth="1"/>
    <col min="7688" max="7688" width="7.1796875" style="226" customWidth="1"/>
    <col min="7689" max="7689" width="10.81640625" style="226" customWidth="1"/>
    <col min="7690" max="7692" width="1.7265625" style="226" customWidth="1"/>
    <col min="7693" max="7693" width="6" style="226" customWidth="1"/>
    <col min="7694" max="7694" width="11.26953125" style="226" customWidth="1"/>
    <col min="7695" max="7695" width="2.26953125" style="226" customWidth="1"/>
    <col min="7696" max="7696" width="8.453125" style="226" customWidth="1"/>
    <col min="7697" max="7697" width="2.453125" style="226" customWidth="1"/>
    <col min="7698" max="7698" width="0" style="226" hidden="1" customWidth="1"/>
    <col min="7699" max="7699" width="11.54296875" style="226" customWidth="1"/>
    <col min="7700" max="7700" width="2.26953125" style="226" customWidth="1"/>
    <col min="7701" max="7701" width="7" style="226" customWidth="1"/>
    <col min="7702" max="7936" width="9.1796875" style="226"/>
    <col min="7937" max="7937" width="2" style="226" customWidth="1"/>
    <col min="7938" max="7938" width="5.7265625" style="226" customWidth="1"/>
    <col min="7939" max="7939" width="8.26953125" style="226" customWidth="1"/>
    <col min="7940" max="7941" width="16.54296875" style="226" customWidth="1"/>
    <col min="7942" max="7942" width="3.81640625" style="226" customWidth="1"/>
    <col min="7943" max="7943" width="5.1796875" style="226" customWidth="1"/>
    <col min="7944" max="7944" width="7.1796875" style="226" customWidth="1"/>
    <col min="7945" max="7945" width="10.81640625" style="226" customWidth="1"/>
    <col min="7946" max="7948" width="1.7265625" style="226" customWidth="1"/>
    <col min="7949" max="7949" width="6" style="226" customWidth="1"/>
    <col min="7950" max="7950" width="11.26953125" style="226" customWidth="1"/>
    <col min="7951" max="7951" width="2.26953125" style="226" customWidth="1"/>
    <col min="7952" max="7952" width="8.453125" style="226" customWidth="1"/>
    <col min="7953" max="7953" width="2.453125" style="226" customWidth="1"/>
    <col min="7954" max="7954" width="0" style="226" hidden="1" customWidth="1"/>
    <col min="7955" max="7955" width="11.54296875" style="226" customWidth="1"/>
    <col min="7956" max="7956" width="2.26953125" style="226" customWidth="1"/>
    <col min="7957" max="7957" width="7" style="226" customWidth="1"/>
    <col min="7958" max="8192" width="9.1796875" style="226"/>
    <col min="8193" max="8193" width="2" style="226" customWidth="1"/>
    <col min="8194" max="8194" width="5.7265625" style="226" customWidth="1"/>
    <col min="8195" max="8195" width="8.26953125" style="226" customWidth="1"/>
    <col min="8196" max="8197" width="16.54296875" style="226" customWidth="1"/>
    <col min="8198" max="8198" width="3.81640625" style="226" customWidth="1"/>
    <col min="8199" max="8199" width="5.1796875" style="226" customWidth="1"/>
    <col min="8200" max="8200" width="7.1796875" style="226" customWidth="1"/>
    <col min="8201" max="8201" width="10.81640625" style="226" customWidth="1"/>
    <col min="8202" max="8204" width="1.7265625" style="226" customWidth="1"/>
    <col min="8205" max="8205" width="6" style="226" customWidth="1"/>
    <col min="8206" max="8206" width="11.26953125" style="226" customWidth="1"/>
    <col min="8207" max="8207" width="2.26953125" style="226" customWidth="1"/>
    <col min="8208" max="8208" width="8.453125" style="226" customWidth="1"/>
    <col min="8209" max="8209" width="2.453125" style="226" customWidth="1"/>
    <col min="8210" max="8210" width="0" style="226" hidden="1" customWidth="1"/>
    <col min="8211" max="8211" width="11.54296875" style="226" customWidth="1"/>
    <col min="8212" max="8212" width="2.26953125" style="226" customWidth="1"/>
    <col min="8213" max="8213" width="7" style="226" customWidth="1"/>
    <col min="8214" max="8448" width="9.1796875" style="226"/>
    <col min="8449" max="8449" width="2" style="226" customWidth="1"/>
    <col min="8450" max="8450" width="5.7265625" style="226" customWidth="1"/>
    <col min="8451" max="8451" width="8.26953125" style="226" customWidth="1"/>
    <col min="8452" max="8453" width="16.54296875" style="226" customWidth="1"/>
    <col min="8454" max="8454" width="3.81640625" style="226" customWidth="1"/>
    <col min="8455" max="8455" width="5.1796875" style="226" customWidth="1"/>
    <col min="8456" max="8456" width="7.1796875" style="226" customWidth="1"/>
    <col min="8457" max="8457" width="10.81640625" style="226" customWidth="1"/>
    <col min="8458" max="8460" width="1.7265625" style="226" customWidth="1"/>
    <col min="8461" max="8461" width="6" style="226" customWidth="1"/>
    <col min="8462" max="8462" width="11.26953125" style="226" customWidth="1"/>
    <col min="8463" max="8463" width="2.26953125" style="226" customWidth="1"/>
    <col min="8464" max="8464" width="8.453125" style="226" customWidth="1"/>
    <col min="8465" max="8465" width="2.453125" style="226" customWidth="1"/>
    <col min="8466" max="8466" width="0" style="226" hidden="1" customWidth="1"/>
    <col min="8467" max="8467" width="11.54296875" style="226" customWidth="1"/>
    <col min="8468" max="8468" width="2.26953125" style="226" customWidth="1"/>
    <col min="8469" max="8469" width="7" style="226" customWidth="1"/>
    <col min="8470" max="8704" width="9.1796875" style="226"/>
    <col min="8705" max="8705" width="2" style="226" customWidth="1"/>
    <col min="8706" max="8706" width="5.7265625" style="226" customWidth="1"/>
    <col min="8707" max="8707" width="8.26953125" style="226" customWidth="1"/>
    <col min="8708" max="8709" width="16.54296875" style="226" customWidth="1"/>
    <col min="8710" max="8710" width="3.81640625" style="226" customWidth="1"/>
    <col min="8711" max="8711" width="5.1796875" style="226" customWidth="1"/>
    <col min="8712" max="8712" width="7.1796875" style="226" customWidth="1"/>
    <col min="8713" max="8713" width="10.81640625" style="226" customWidth="1"/>
    <col min="8714" max="8716" width="1.7265625" style="226" customWidth="1"/>
    <col min="8717" max="8717" width="6" style="226" customWidth="1"/>
    <col min="8718" max="8718" width="11.26953125" style="226" customWidth="1"/>
    <col min="8719" max="8719" width="2.26953125" style="226" customWidth="1"/>
    <col min="8720" max="8720" width="8.453125" style="226" customWidth="1"/>
    <col min="8721" max="8721" width="2.453125" style="226" customWidth="1"/>
    <col min="8722" max="8722" width="0" style="226" hidden="1" customWidth="1"/>
    <col min="8723" max="8723" width="11.54296875" style="226" customWidth="1"/>
    <col min="8724" max="8724" width="2.26953125" style="226" customWidth="1"/>
    <col min="8725" max="8725" width="7" style="226" customWidth="1"/>
    <col min="8726" max="8960" width="9.1796875" style="226"/>
    <col min="8961" max="8961" width="2" style="226" customWidth="1"/>
    <col min="8962" max="8962" width="5.7265625" style="226" customWidth="1"/>
    <col min="8963" max="8963" width="8.26953125" style="226" customWidth="1"/>
    <col min="8964" max="8965" width="16.54296875" style="226" customWidth="1"/>
    <col min="8966" max="8966" width="3.81640625" style="226" customWidth="1"/>
    <col min="8967" max="8967" width="5.1796875" style="226" customWidth="1"/>
    <col min="8968" max="8968" width="7.1796875" style="226" customWidth="1"/>
    <col min="8969" max="8969" width="10.81640625" style="226" customWidth="1"/>
    <col min="8970" max="8972" width="1.7265625" style="226" customWidth="1"/>
    <col min="8973" max="8973" width="6" style="226" customWidth="1"/>
    <col min="8974" max="8974" width="11.26953125" style="226" customWidth="1"/>
    <col min="8975" max="8975" width="2.26953125" style="226" customWidth="1"/>
    <col min="8976" max="8976" width="8.453125" style="226" customWidth="1"/>
    <col min="8977" max="8977" width="2.453125" style="226" customWidth="1"/>
    <col min="8978" max="8978" width="0" style="226" hidden="1" customWidth="1"/>
    <col min="8979" max="8979" width="11.54296875" style="226" customWidth="1"/>
    <col min="8980" max="8980" width="2.26953125" style="226" customWidth="1"/>
    <col min="8981" max="8981" width="7" style="226" customWidth="1"/>
    <col min="8982" max="9216" width="9.1796875" style="226"/>
    <col min="9217" max="9217" width="2" style="226" customWidth="1"/>
    <col min="9218" max="9218" width="5.7265625" style="226" customWidth="1"/>
    <col min="9219" max="9219" width="8.26953125" style="226" customWidth="1"/>
    <col min="9220" max="9221" width="16.54296875" style="226" customWidth="1"/>
    <col min="9222" max="9222" width="3.81640625" style="226" customWidth="1"/>
    <col min="9223" max="9223" width="5.1796875" style="226" customWidth="1"/>
    <col min="9224" max="9224" width="7.1796875" style="226" customWidth="1"/>
    <col min="9225" max="9225" width="10.81640625" style="226" customWidth="1"/>
    <col min="9226" max="9228" width="1.7265625" style="226" customWidth="1"/>
    <col min="9229" max="9229" width="6" style="226" customWidth="1"/>
    <col min="9230" max="9230" width="11.26953125" style="226" customWidth="1"/>
    <col min="9231" max="9231" width="2.26953125" style="226" customWidth="1"/>
    <col min="9232" max="9232" width="8.453125" style="226" customWidth="1"/>
    <col min="9233" max="9233" width="2.453125" style="226" customWidth="1"/>
    <col min="9234" max="9234" width="0" style="226" hidden="1" customWidth="1"/>
    <col min="9235" max="9235" width="11.54296875" style="226" customWidth="1"/>
    <col min="9236" max="9236" width="2.26953125" style="226" customWidth="1"/>
    <col min="9237" max="9237" width="7" style="226" customWidth="1"/>
    <col min="9238" max="9472" width="9.1796875" style="226"/>
    <col min="9473" max="9473" width="2" style="226" customWidth="1"/>
    <col min="9474" max="9474" width="5.7265625" style="226" customWidth="1"/>
    <col min="9475" max="9475" width="8.26953125" style="226" customWidth="1"/>
    <col min="9476" max="9477" width="16.54296875" style="226" customWidth="1"/>
    <col min="9478" max="9478" width="3.81640625" style="226" customWidth="1"/>
    <col min="9479" max="9479" width="5.1796875" style="226" customWidth="1"/>
    <col min="9480" max="9480" width="7.1796875" style="226" customWidth="1"/>
    <col min="9481" max="9481" width="10.81640625" style="226" customWidth="1"/>
    <col min="9482" max="9484" width="1.7265625" style="226" customWidth="1"/>
    <col min="9485" max="9485" width="6" style="226" customWidth="1"/>
    <col min="9486" max="9486" width="11.26953125" style="226" customWidth="1"/>
    <col min="9487" max="9487" width="2.26953125" style="226" customWidth="1"/>
    <col min="9488" max="9488" width="8.453125" style="226" customWidth="1"/>
    <col min="9489" max="9489" width="2.453125" style="226" customWidth="1"/>
    <col min="9490" max="9490" width="0" style="226" hidden="1" customWidth="1"/>
    <col min="9491" max="9491" width="11.54296875" style="226" customWidth="1"/>
    <col min="9492" max="9492" width="2.26953125" style="226" customWidth="1"/>
    <col min="9493" max="9493" width="7" style="226" customWidth="1"/>
    <col min="9494" max="9728" width="9.1796875" style="226"/>
    <col min="9729" max="9729" width="2" style="226" customWidth="1"/>
    <col min="9730" max="9730" width="5.7265625" style="226" customWidth="1"/>
    <col min="9731" max="9731" width="8.26953125" style="226" customWidth="1"/>
    <col min="9732" max="9733" width="16.54296875" style="226" customWidth="1"/>
    <col min="9734" max="9734" width="3.81640625" style="226" customWidth="1"/>
    <col min="9735" max="9735" width="5.1796875" style="226" customWidth="1"/>
    <col min="9736" max="9736" width="7.1796875" style="226" customWidth="1"/>
    <col min="9737" max="9737" width="10.81640625" style="226" customWidth="1"/>
    <col min="9738" max="9740" width="1.7265625" style="226" customWidth="1"/>
    <col min="9741" max="9741" width="6" style="226" customWidth="1"/>
    <col min="9742" max="9742" width="11.26953125" style="226" customWidth="1"/>
    <col min="9743" max="9743" width="2.26953125" style="226" customWidth="1"/>
    <col min="9744" max="9744" width="8.453125" style="226" customWidth="1"/>
    <col min="9745" max="9745" width="2.453125" style="226" customWidth="1"/>
    <col min="9746" max="9746" width="0" style="226" hidden="1" customWidth="1"/>
    <col min="9747" max="9747" width="11.54296875" style="226" customWidth="1"/>
    <col min="9748" max="9748" width="2.26953125" style="226" customWidth="1"/>
    <col min="9749" max="9749" width="7" style="226" customWidth="1"/>
    <col min="9750" max="9984" width="9.1796875" style="226"/>
    <col min="9985" max="9985" width="2" style="226" customWidth="1"/>
    <col min="9986" max="9986" width="5.7265625" style="226" customWidth="1"/>
    <col min="9987" max="9987" width="8.26953125" style="226" customWidth="1"/>
    <col min="9988" max="9989" width="16.54296875" style="226" customWidth="1"/>
    <col min="9990" max="9990" width="3.81640625" style="226" customWidth="1"/>
    <col min="9991" max="9991" width="5.1796875" style="226" customWidth="1"/>
    <col min="9992" max="9992" width="7.1796875" style="226" customWidth="1"/>
    <col min="9993" max="9993" width="10.81640625" style="226" customWidth="1"/>
    <col min="9994" max="9996" width="1.7265625" style="226" customWidth="1"/>
    <col min="9997" max="9997" width="6" style="226" customWidth="1"/>
    <col min="9998" max="9998" width="11.26953125" style="226" customWidth="1"/>
    <col min="9999" max="9999" width="2.26953125" style="226" customWidth="1"/>
    <col min="10000" max="10000" width="8.453125" style="226" customWidth="1"/>
    <col min="10001" max="10001" width="2.453125" style="226" customWidth="1"/>
    <col min="10002" max="10002" width="0" style="226" hidden="1" customWidth="1"/>
    <col min="10003" max="10003" width="11.54296875" style="226" customWidth="1"/>
    <col min="10004" max="10004" width="2.26953125" style="226" customWidth="1"/>
    <col min="10005" max="10005" width="7" style="226" customWidth="1"/>
    <col min="10006" max="10240" width="9.1796875" style="226"/>
    <col min="10241" max="10241" width="2" style="226" customWidth="1"/>
    <col min="10242" max="10242" width="5.7265625" style="226" customWidth="1"/>
    <col min="10243" max="10243" width="8.26953125" style="226" customWidth="1"/>
    <col min="10244" max="10245" width="16.54296875" style="226" customWidth="1"/>
    <col min="10246" max="10246" width="3.81640625" style="226" customWidth="1"/>
    <col min="10247" max="10247" width="5.1796875" style="226" customWidth="1"/>
    <col min="10248" max="10248" width="7.1796875" style="226" customWidth="1"/>
    <col min="10249" max="10249" width="10.81640625" style="226" customWidth="1"/>
    <col min="10250" max="10252" width="1.7265625" style="226" customWidth="1"/>
    <col min="10253" max="10253" width="6" style="226" customWidth="1"/>
    <col min="10254" max="10254" width="11.26953125" style="226" customWidth="1"/>
    <col min="10255" max="10255" width="2.26953125" style="226" customWidth="1"/>
    <col min="10256" max="10256" width="8.453125" style="226" customWidth="1"/>
    <col min="10257" max="10257" width="2.453125" style="226" customWidth="1"/>
    <col min="10258" max="10258" width="0" style="226" hidden="1" customWidth="1"/>
    <col min="10259" max="10259" width="11.54296875" style="226" customWidth="1"/>
    <col min="10260" max="10260" width="2.26953125" style="226" customWidth="1"/>
    <col min="10261" max="10261" width="7" style="226" customWidth="1"/>
    <col min="10262" max="10496" width="9.1796875" style="226"/>
    <col min="10497" max="10497" width="2" style="226" customWidth="1"/>
    <col min="10498" max="10498" width="5.7265625" style="226" customWidth="1"/>
    <col min="10499" max="10499" width="8.26953125" style="226" customWidth="1"/>
    <col min="10500" max="10501" width="16.54296875" style="226" customWidth="1"/>
    <col min="10502" max="10502" width="3.81640625" style="226" customWidth="1"/>
    <col min="10503" max="10503" width="5.1796875" style="226" customWidth="1"/>
    <col min="10504" max="10504" width="7.1796875" style="226" customWidth="1"/>
    <col min="10505" max="10505" width="10.81640625" style="226" customWidth="1"/>
    <col min="10506" max="10508" width="1.7265625" style="226" customWidth="1"/>
    <col min="10509" max="10509" width="6" style="226" customWidth="1"/>
    <col min="10510" max="10510" width="11.26953125" style="226" customWidth="1"/>
    <col min="10511" max="10511" width="2.26953125" style="226" customWidth="1"/>
    <col min="10512" max="10512" width="8.453125" style="226" customWidth="1"/>
    <col min="10513" max="10513" width="2.453125" style="226" customWidth="1"/>
    <col min="10514" max="10514" width="0" style="226" hidden="1" customWidth="1"/>
    <col min="10515" max="10515" width="11.54296875" style="226" customWidth="1"/>
    <col min="10516" max="10516" width="2.26953125" style="226" customWidth="1"/>
    <col min="10517" max="10517" width="7" style="226" customWidth="1"/>
    <col min="10518" max="10752" width="9.1796875" style="226"/>
    <col min="10753" max="10753" width="2" style="226" customWidth="1"/>
    <col min="10754" max="10754" width="5.7265625" style="226" customWidth="1"/>
    <col min="10755" max="10755" width="8.26953125" style="226" customWidth="1"/>
    <col min="10756" max="10757" width="16.54296875" style="226" customWidth="1"/>
    <col min="10758" max="10758" width="3.81640625" style="226" customWidth="1"/>
    <col min="10759" max="10759" width="5.1796875" style="226" customWidth="1"/>
    <col min="10760" max="10760" width="7.1796875" style="226" customWidth="1"/>
    <col min="10761" max="10761" width="10.81640625" style="226" customWidth="1"/>
    <col min="10762" max="10764" width="1.7265625" style="226" customWidth="1"/>
    <col min="10765" max="10765" width="6" style="226" customWidth="1"/>
    <col min="10766" max="10766" width="11.26953125" style="226" customWidth="1"/>
    <col min="10767" max="10767" width="2.26953125" style="226" customWidth="1"/>
    <col min="10768" max="10768" width="8.453125" style="226" customWidth="1"/>
    <col min="10769" max="10769" width="2.453125" style="226" customWidth="1"/>
    <col min="10770" max="10770" width="0" style="226" hidden="1" customWidth="1"/>
    <col min="10771" max="10771" width="11.54296875" style="226" customWidth="1"/>
    <col min="10772" max="10772" width="2.26953125" style="226" customWidth="1"/>
    <col min="10773" max="10773" width="7" style="226" customWidth="1"/>
    <col min="10774" max="11008" width="9.1796875" style="226"/>
    <col min="11009" max="11009" width="2" style="226" customWidth="1"/>
    <col min="11010" max="11010" width="5.7265625" style="226" customWidth="1"/>
    <col min="11011" max="11011" width="8.26953125" style="226" customWidth="1"/>
    <col min="11012" max="11013" width="16.54296875" style="226" customWidth="1"/>
    <col min="11014" max="11014" width="3.81640625" style="226" customWidth="1"/>
    <col min="11015" max="11015" width="5.1796875" style="226" customWidth="1"/>
    <col min="11016" max="11016" width="7.1796875" style="226" customWidth="1"/>
    <col min="11017" max="11017" width="10.81640625" style="226" customWidth="1"/>
    <col min="11018" max="11020" width="1.7265625" style="226" customWidth="1"/>
    <col min="11021" max="11021" width="6" style="226" customWidth="1"/>
    <col min="11022" max="11022" width="11.26953125" style="226" customWidth="1"/>
    <col min="11023" max="11023" width="2.26953125" style="226" customWidth="1"/>
    <col min="11024" max="11024" width="8.453125" style="226" customWidth="1"/>
    <col min="11025" max="11025" width="2.453125" style="226" customWidth="1"/>
    <col min="11026" max="11026" width="0" style="226" hidden="1" customWidth="1"/>
    <col min="11027" max="11027" width="11.54296875" style="226" customWidth="1"/>
    <col min="11028" max="11028" width="2.26953125" style="226" customWidth="1"/>
    <col min="11029" max="11029" width="7" style="226" customWidth="1"/>
    <col min="11030" max="11264" width="9.1796875" style="226"/>
    <col min="11265" max="11265" width="2" style="226" customWidth="1"/>
    <col min="11266" max="11266" width="5.7265625" style="226" customWidth="1"/>
    <col min="11267" max="11267" width="8.26953125" style="226" customWidth="1"/>
    <col min="11268" max="11269" width="16.54296875" style="226" customWidth="1"/>
    <col min="11270" max="11270" width="3.81640625" style="226" customWidth="1"/>
    <col min="11271" max="11271" width="5.1796875" style="226" customWidth="1"/>
    <col min="11272" max="11272" width="7.1796875" style="226" customWidth="1"/>
    <col min="11273" max="11273" width="10.81640625" style="226" customWidth="1"/>
    <col min="11274" max="11276" width="1.7265625" style="226" customWidth="1"/>
    <col min="11277" max="11277" width="6" style="226" customWidth="1"/>
    <col min="11278" max="11278" width="11.26953125" style="226" customWidth="1"/>
    <col min="11279" max="11279" width="2.26953125" style="226" customWidth="1"/>
    <col min="11280" max="11280" width="8.453125" style="226" customWidth="1"/>
    <col min="11281" max="11281" width="2.453125" style="226" customWidth="1"/>
    <col min="11282" max="11282" width="0" style="226" hidden="1" customWidth="1"/>
    <col min="11283" max="11283" width="11.54296875" style="226" customWidth="1"/>
    <col min="11284" max="11284" width="2.26953125" style="226" customWidth="1"/>
    <col min="11285" max="11285" width="7" style="226" customWidth="1"/>
    <col min="11286" max="11520" width="9.1796875" style="226"/>
    <col min="11521" max="11521" width="2" style="226" customWidth="1"/>
    <col min="11522" max="11522" width="5.7265625" style="226" customWidth="1"/>
    <col min="11523" max="11523" width="8.26953125" style="226" customWidth="1"/>
    <col min="11524" max="11525" width="16.54296875" style="226" customWidth="1"/>
    <col min="11526" max="11526" width="3.81640625" style="226" customWidth="1"/>
    <col min="11527" max="11527" width="5.1796875" style="226" customWidth="1"/>
    <col min="11528" max="11528" width="7.1796875" style="226" customWidth="1"/>
    <col min="11529" max="11529" width="10.81640625" style="226" customWidth="1"/>
    <col min="11530" max="11532" width="1.7265625" style="226" customWidth="1"/>
    <col min="11533" max="11533" width="6" style="226" customWidth="1"/>
    <col min="11534" max="11534" width="11.26953125" style="226" customWidth="1"/>
    <col min="11535" max="11535" width="2.26953125" style="226" customWidth="1"/>
    <col min="11536" max="11536" width="8.453125" style="226" customWidth="1"/>
    <col min="11537" max="11537" width="2.453125" style="226" customWidth="1"/>
    <col min="11538" max="11538" width="0" style="226" hidden="1" customWidth="1"/>
    <col min="11539" max="11539" width="11.54296875" style="226" customWidth="1"/>
    <col min="11540" max="11540" width="2.26953125" style="226" customWidth="1"/>
    <col min="11541" max="11541" width="7" style="226" customWidth="1"/>
    <col min="11542" max="11776" width="9.1796875" style="226"/>
    <col min="11777" max="11777" width="2" style="226" customWidth="1"/>
    <col min="11778" max="11778" width="5.7265625" style="226" customWidth="1"/>
    <col min="11779" max="11779" width="8.26953125" style="226" customWidth="1"/>
    <col min="11780" max="11781" width="16.54296875" style="226" customWidth="1"/>
    <col min="11782" max="11782" width="3.81640625" style="226" customWidth="1"/>
    <col min="11783" max="11783" width="5.1796875" style="226" customWidth="1"/>
    <col min="11784" max="11784" width="7.1796875" style="226" customWidth="1"/>
    <col min="11785" max="11785" width="10.81640625" style="226" customWidth="1"/>
    <col min="11786" max="11788" width="1.7265625" style="226" customWidth="1"/>
    <col min="11789" max="11789" width="6" style="226" customWidth="1"/>
    <col min="11790" max="11790" width="11.26953125" style="226" customWidth="1"/>
    <col min="11791" max="11791" width="2.26953125" style="226" customWidth="1"/>
    <col min="11792" max="11792" width="8.453125" style="226" customWidth="1"/>
    <col min="11793" max="11793" width="2.453125" style="226" customWidth="1"/>
    <col min="11794" max="11794" width="0" style="226" hidden="1" customWidth="1"/>
    <col min="11795" max="11795" width="11.54296875" style="226" customWidth="1"/>
    <col min="11796" max="11796" width="2.26953125" style="226" customWidth="1"/>
    <col min="11797" max="11797" width="7" style="226" customWidth="1"/>
    <col min="11798" max="12032" width="9.1796875" style="226"/>
    <col min="12033" max="12033" width="2" style="226" customWidth="1"/>
    <col min="12034" max="12034" width="5.7265625" style="226" customWidth="1"/>
    <col min="12035" max="12035" width="8.26953125" style="226" customWidth="1"/>
    <col min="12036" max="12037" width="16.54296875" style="226" customWidth="1"/>
    <col min="12038" max="12038" width="3.81640625" style="226" customWidth="1"/>
    <col min="12039" max="12039" width="5.1796875" style="226" customWidth="1"/>
    <col min="12040" max="12040" width="7.1796875" style="226" customWidth="1"/>
    <col min="12041" max="12041" width="10.81640625" style="226" customWidth="1"/>
    <col min="12042" max="12044" width="1.7265625" style="226" customWidth="1"/>
    <col min="12045" max="12045" width="6" style="226" customWidth="1"/>
    <col min="12046" max="12046" width="11.26953125" style="226" customWidth="1"/>
    <col min="12047" max="12047" width="2.26953125" style="226" customWidth="1"/>
    <col min="12048" max="12048" width="8.453125" style="226" customWidth="1"/>
    <col min="12049" max="12049" width="2.453125" style="226" customWidth="1"/>
    <col min="12050" max="12050" width="0" style="226" hidden="1" customWidth="1"/>
    <col min="12051" max="12051" width="11.54296875" style="226" customWidth="1"/>
    <col min="12052" max="12052" width="2.26953125" style="226" customWidth="1"/>
    <col min="12053" max="12053" width="7" style="226" customWidth="1"/>
    <col min="12054" max="12288" width="9.1796875" style="226"/>
    <col min="12289" max="12289" width="2" style="226" customWidth="1"/>
    <col min="12290" max="12290" width="5.7265625" style="226" customWidth="1"/>
    <col min="12291" max="12291" width="8.26953125" style="226" customWidth="1"/>
    <col min="12292" max="12293" width="16.54296875" style="226" customWidth="1"/>
    <col min="12294" max="12294" width="3.81640625" style="226" customWidth="1"/>
    <col min="12295" max="12295" width="5.1796875" style="226" customWidth="1"/>
    <col min="12296" max="12296" width="7.1796875" style="226" customWidth="1"/>
    <col min="12297" max="12297" width="10.81640625" style="226" customWidth="1"/>
    <col min="12298" max="12300" width="1.7265625" style="226" customWidth="1"/>
    <col min="12301" max="12301" width="6" style="226" customWidth="1"/>
    <col min="12302" max="12302" width="11.26953125" style="226" customWidth="1"/>
    <col min="12303" max="12303" width="2.26953125" style="226" customWidth="1"/>
    <col min="12304" max="12304" width="8.453125" style="226" customWidth="1"/>
    <col min="12305" max="12305" width="2.453125" style="226" customWidth="1"/>
    <col min="12306" max="12306" width="0" style="226" hidden="1" customWidth="1"/>
    <col min="12307" max="12307" width="11.54296875" style="226" customWidth="1"/>
    <col min="12308" max="12308" width="2.26953125" style="226" customWidth="1"/>
    <col min="12309" max="12309" width="7" style="226" customWidth="1"/>
    <col min="12310" max="12544" width="9.1796875" style="226"/>
    <col min="12545" max="12545" width="2" style="226" customWidth="1"/>
    <col min="12546" max="12546" width="5.7265625" style="226" customWidth="1"/>
    <col min="12547" max="12547" width="8.26953125" style="226" customWidth="1"/>
    <col min="12548" max="12549" width="16.54296875" style="226" customWidth="1"/>
    <col min="12550" max="12550" width="3.81640625" style="226" customWidth="1"/>
    <col min="12551" max="12551" width="5.1796875" style="226" customWidth="1"/>
    <col min="12552" max="12552" width="7.1796875" style="226" customWidth="1"/>
    <col min="12553" max="12553" width="10.81640625" style="226" customWidth="1"/>
    <col min="12554" max="12556" width="1.7265625" style="226" customWidth="1"/>
    <col min="12557" max="12557" width="6" style="226" customWidth="1"/>
    <col min="12558" max="12558" width="11.26953125" style="226" customWidth="1"/>
    <col min="12559" max="12559" width="2.26953125" style="226" customWidth="1"/>
    <col min="12560" max="12560" width="8.453125" style="226" customWidth="1"/>
    <col min="12561" max="12561" width="2.453125" style="226" customWidth="1"/>
    <col min="12562" max="12562" width="0" style="226" hidden="1" customWidth="1"/>
    <col min="12563" max="12563" width="11.54296875" style="226" customWidth="1"/>
    <col min="12564" max="12564" width="2.26953125" style="226" customWidth="1"/>
    <col min="12565" max="12565" width="7" style="226" customWidth="1"/>
    <col min="12566" max="12800" width="9.1796875" style="226"/>
    <col min="12801" max="12801" width="2" style="226" customWidth="1"/>
    <col min="12802" max="12802" width="5.7265625" style="226" customWidth="1"/>
    <col min="12803" max="12803" width="8.26953125" style="226" customWidth="1"/>
    <col min="12804" max="12805" width="16.54296875" style="226" customWidth="1"/>
    <col min="12806" max="12806" width="3.81640625" style="226" customWidth="1"/>
    <col min="12807" max="12807" width="5.1796875" style="226" customWidth="1"/>
    <col min="12808" max="12808" width="7.1796875" style="226" customWidth="1"/>
    <col min="12809" max="12809" width="10.81640625" style="226" customWidth="1"/>
    <col min="12810" max="12812" width="1.7265625" style="226" customWidth="1"/>
    <col min="12813" max="12813" width="6" style="226" customWidth="1"/>
    <col min="12814" max="12814" width="11.26953125" style="226" customWidth="1"/>
    <col min="12815" max="12815" width="2.26953125" style="226" customWidth="1"/>
    <col min="12816" max="12816" width="8.453125" style="226" customWidth="1"/>
    <col min="12817" max="12817" width="2.453125" style="226" customWidth="1"/>
    <col min="12818" max="12818" width="0" style="226" hidden="1" customWidth="1"/>
    <col min="12819" max="12819" width="11.54296875" style="226" customWidth="1"/>
    <col min="12820" max="12820" width="2.26953125" style="226" customWidth="1"/>
    <col min="12821" max="12821" width="7" style="226" customWidth="1"/>
    <col min="12822" max="13056" width="9.1796875" style="226"/>
    <col min="13057" max="13057" width="2" style="226" customWidth="1"/>
    <col min="13058" max="13058" width="5.7265625" style="226" customWidth="1"/>
    <col min="13059" max="13059" width="8.26953125" style="226" customWidth="1"/>
    <col min="13060" max="13061" width="16.54296875" style="226" customWidth="1"/>
    <col min="13062" max="13062" width="3.81640625" style="226" customWidth="1"/>
    <col min="13063" max="13063" width="5.1796875" style="226" customWidth="1"/>
    <col min="13064" max="13064" width="7.1796875" style="226" customWidth="1"/>
    <col min="13065" max="13065" width="10.81640625" style="226" customWidth="1"/>
    <col min="13066" max="13068" width="1.7265625" style="226" customWidth="1"/>
    <col min="13069" max="13069" width="6" style="226" customWidth="1"/>
    <col min="13070" max="13070" width="11.26953125" style="226" customWidth="1"/>
    <col min="13071" max="13071" width="2.26953125" style="226" customWidth="1"/>
    <col min="13072" max="13072" width="8.453125" style="226" customWidth="1"/>
    <col min="13073" max="13073" width="2.453125" style="226" customWidth="1"/>
    <col min="13074" max="13074" width="0" style="226" hidden="1" customWidth="1"/>
    <col min="13075" max="13075" width="11.54296875" style="226" customWidth="1"/>
    <col min="13076" max="13076" width="2.26953125" style="226" customWidth="1"/>
    <col min="13077" max="13077" width="7" style="226" customWidth="1"/>
    <col min="13078" max="13312" width="9.1796875" style="226"/>
    <col min="13313" max="13313" width="2" style="226" customWidth="1"/>
    <col min="13314" max="13314" width="5.7265625" style="226" customWidth="1"/>
    <col min="13315" max="13315" width="8.26953125" style="226" customWidth="1"/>
    <col min="13316" max="13317" width="16.54296875" style="226" customWidth="1"/>
    <col min="13318" max="13318" width="3.81640625" style="226" customWidth="1"/>
    <col min="13319" max="13319" width="5.1796875" style="226" customWidth="1"/>
    <col min="13320" max="13320" width="7.1796875" style="226" customWidth="1"/>
    <col min="13321" max="13321" width="10.81640625" style="226" customWidth="1"/>
    <col min="13322" max="13324" width="1.7265625" style="226" customWidth="1"/>
    <col min="13325" max="13325" width="6" style="226" customWidth="1"/>
    <col min="13326" max="13326" width="11.26953125" style="226" customWidth="1"/>
    <col min="13327" max="13327" width="2.26953125" style="226" customWidth="1"/>
    <col min="13328" max="13328" width="8.453125" style="226" customWidth="1"/>
    <col min="13329" max="13329" width="2.453125" style="226" customWidth="1"/>
    <col min="13330" max="13330" width="0" style="226" hidden="1" customWidth="1"/>
    <col min="13331" max="13331" width="11.54296875" style="226" customWidth="1"/>
    <col min="13332" max="13332" width="2.26953125" style="226" customWidth="1"/>
    <col min="13333" max="13333" width="7" style="226" customWidth="1"/>
    <col min="13334" max="13568" width="9.1796875" style="226"/>
    <col min="13569" max="13569" width="2" style="226" customWidth="1"/>
    <col min="13570" max="13570" width="5.7265625" style="226" customWidth="1"/>
    <col min="13571" max="13571" width="8.26953125" style="226" customWidth="1"/>
    <col min="13572" max="13573" width="16.54296875" style="226" customWidth="1"/>
    <col min="13574" max="13574" width="3.81640625" style="226" customWidth="1"/>
    <col min="13575" max="13575" width="5.1796875" style="226" customWidth="1"/>
    <col min="13576" max="13576" width="7.1796875" style="226" customWidth="1"/>
    <col min="13577" max="13577" width="10.81640625" style="226" customWidth="1"/>
    <col min="13578" max="13580" width="1.7265625" style="226" customWidth="1"/>
    <col min="13581" max="13581" width="6" style="226" customWidth="1"/>
    <col min="13582" max="13582" width="11.26953125" style="226" customWidth="1"/>
    <col min="13583" max="13583" width="2.26953125" style="226" customWidth="1"/>
    <col min="13584" max="13584" width="8.453125" style="226" customWidth="1"/>
    <col min="13585" max="13585" width="2.453125" style="226" customWidth="1"/>
    <col min="13586" max="13586" width="0" style="226" hidden="1" customWidth="1"/>
    <col min="13587" max="13587" width="11.54296875" style="226" customWidth="1"/>
    <col min="13588" max="13588" width="2.26953125" style="226" customWidth="1"/>
    <col min="13589" max="13589" width="7" style="226" customWidth="1"/>
    <col min="13590" max="13824" width="9.1796875" style="226"/>
    <col min="13825" max="13825" width="2" style="226" customWidth="1"/>
    <col min="13826" max="13826" width="5.7265625" style="226" customWidth="1"/>
    <col min="13827" max="13827" width="8.26953125" style="226" customWidth="1"/>
    <col min="13828" max="13829" width="16.54296875" style="226" customWidth="1"/>
    <col min="13830" max="13830" width="3.81640625" style="226" customWidth="1"/>
    <col min="13831" max="13831" width="5.1796875" style="226" customWidth="1"/>
    <col min="13832" max="13832" width="7.1796875" style="226" customWidth="1"/>
    <col min="13833" max="13833" width="10.81640625" style="226" customWidth="1"/>
    <col min="13834" max="13836" width="1.7265625" style="226" customWidth="1"/>
    <col min="13837" max="13837" width="6" style="226" customWidth="1"/>
    <col min="13838" max="13838" width="11.26953125" style="226" customWidth="1"/>
    <col min="13839" max="13839" width="2.26953125" style="226" customWidth="1"/>
    <col min="13840" max="13840" width="8.453125" style="226" customWidth="1"/>
    <col min="13841" max="13841" width="2.453125" style="226" customWidth="1"/>
    <col min="13842" max="13842" width="0" style="226" hidden="1" customWidth="1"/>
    <col min="13843" max="13843" width="11.54296875" style="226" customWidth="1"/>
    <col min="13844" max="13844" width="2.26953125" style="226" customWidth="1"/>
    <col min="13845" max="13845" width="7" style="226" customWidth="1"/>
    <col min="13846" max="14080" width="9.1796875" style="226"/>
    <col min="14081" max="14081" width="2" style="226" customWidth="1"/>
    <col min="14082" max="14082" width="5.7265625" style="226" customWidth="1"/>
    <col min="14083" max="14083" width="8.26953125" style="226" customWidth="1"/>
    <col min="14084" max="14085" width="16.54296875" style="226" customWidth="1"/>
    <col min="14086" max="14086" width="3.81640625" style="226" customWidth="1"/>
    <col min="14087" max="14087" width="5.1796875" style="226" customWidth="1"/>
    <col min="14088" max="14088" width="7.1796875" style="226" customWidth="1"/>
    <col min="14089" max="14089" width="10.81640625" style="226" customWidth="1"/>
    <col min="14090" max="14092" width="1.7265625" style="226" customWidth="1"/>
    <col min="14093" max="14093" width="6" style="226" customWidth="1"/>
    <col min="14094" max="14094" width="11.26953125" style="226" customWidth="1"/>
    <col min="14095" max="14095" width="2.26953125" style="226" customWidth="1"/>
    <col min="14096" max="14096" width="8.453125" style="226" customWidth="1"/>
    <col min="14097" max="14097" width="2.453125" style="226" customWidth="1"/>
    <col min="14098" max="14098" width="0" style="226" hidden="1" customWidth="1"/>
    <col min="14099" max="14099" width="11.54296875" style="226" customWidth="1"/>
    <col min="14100" max="14100" width="2.26953125" style="226" customWidth="1"/>
    <col min="14101" max="14101" width="7" style="226" customWidth="1"/>
    <col min="14102" max="14336" width="9.1796875" style="226"/>
    <col min="14337" max="14337" width="2" style="226" customWidth="1"/>
    <col min="14338" max="14338" width="5.7265625" style="226" customWidth="1"/>
    <col min="14339" max="14339" width="8.26953125" style="226" customWidth="1"/>
    <col min="14340" max="14341" width="16.54296875" style="226" customWidth="1"/>
    <col min="14342" max="14342" width="3.81640625" style="226" customWidth="1"/>
    <col min="14343" max="14343" width="5.1796875" style="226" customWidth="1"/>
    <col min="14344" max="14344" width="7.1796875" style="226" customWidth="1"/>
    <col min="14345" max="14345" width="10.81640625" style="226" customWidth="1"/>
    <col min="14346" max="14348" width="1.7265625" style="226" customWidth="1"/>
    <col min="14349" max="14349" width="6" style="226" customWidth="1"/>
    <col min="14350" max="14350" width="11.26953125" style="226" customWidth="1"/>
    <col min="14351" max="14351" width="2.26953125" style="226" customWidth="1"/>
    <col min="14352" max="14352" width="8.453125" style="226" customWidth="1"/>
    <col min="14353" max="14353" width="2.453125" style="226" customWidth="1"/>
    <col min="14354" max="14354" width="0" style="226" hidden="1" customWidth="1"/>
    <col min="14355" max="14355" width="11.54296875" style="226" customWidth="1"/>
    <col min="14356" max="14356" width="2.26953125" style="226" customWidth="1"/>
    <col min="14357" max="14357" width="7" style="226" customWidth="1"/>
    <col min="14358" max="14592" width="9.1796875" style="226"/>
    <col min="14593" max="14593" width="2" style="226" customWidth="1"/>
    <col min="14594" max="14594" width="5.7265625" style="226" customWidth="1"/>
    <col min="14595" max="14595" width="8.26953125" style="226" customWidth="1"/>
    <col min="14596" max="14597" width="16.54296875" style="226" customWidth="1"/>
    <col min="14598" max="14598" width="3.81640625" style="226" customWidth="1"/>
    <col min="14599" max="14599" width="5.1796875" style="226" customWidth="1"/>
    <col min="14600" max="14600" width="7.1796875" style="226" customWidth="1"/>
    <col min="14601" max="14601" width="10.81640625" style="226" customWidth="1"/>
    <col min="14602" max="14604" width="1.7265625" style="226" customWidth="1"/>
    <col min="14605" max="14605" width="6" style="226" customWidth="1"/>
    <col min="14606" max="14606" width="11.26953125" style="226" customWidth="1"/>
    <col min="14607" max="14607" width="2.26953125" style="226" customWidth="1"/>
    <col min="14608" max="14608" width="8.453125" style="226" customWidth="1"/>
    <col min="14609" max="14609" width="2.453125" style="226" customWidth="1"/>
    <col min="14610" max="14610" width="0" style="226" hidden="1" customWidth="1"/>
    <col min="14611" max="14611" width="11.54296875" style="226" customWidth="1"/>
    <col min="14612" max="14612" width="2.26953125" style="226" customWidth="1"/>
    <col min="14613" max="14613" width="7" style="226" customWidth="1"/>
    <col min="14614" max="14848" width="9.1796875" style="226"/>
    <col min="14849" max="14849" width="2" style="226" customWidth="1"/>
    <col min="14850" max="14850" width="5.7265625" style="226" customWidth="1"/>
    <col min="14851" max="14851" width="8.26953125" style="226" customWidth="1"/>
    <col min="14852" max="14853" width="16.54296875" style="226" customWidth="1"/>
    <col min="14854" max="14854" width="3.81640625" style="226" customWidth="1"/>
    <col min="14855" max="14855" width="5.1796875" style="226" customWidth="1"/>
    <col min="14856" max="14856" width="7.1796875" style="226" customWidth="1"/>
    <col min="14857" max="14857" width="10.81640625" style="226" customWidth="1"/>
    <col min="14858" max="14860" width="1.7265625" style="226" customWidth="1"/>
    <col min="14861" max="14861" width="6" style="226" customWidth="1"/>
    <col min="14862" max="14862" width="11.26953125" style="226" customWidth="1"/>
    <col min="14863" max="14863" width="2.26953125" style="226" customWidth="1"/>
    <col min="14864" max="14864" width="8.453125" style="226" customWidth="1"/>
    <col min="14865" max="14865" width="2.453125" style="226" customWidth="1"/>
    <col min="14866" max="14866" width="0" style="226" hidden="1" customWidth="1"/>
    <col min="14867" max="14867" width="11.54296875" style="226" customWidth="1"/>
    <col min="14868" max="14868" width="2.26953125" style="226" customWidth="1"/>
    <col min="14869" max="14869" width="7" style="226" customWidth="1"/>
    <col min="14870" max="15104" width="9.1796875" style="226"/>
    <col min="15105" max="15105" width="2" style="226" customWidth="1"/>
    <col min="15106" max="15106" width="5.7265625" style="226" customWidth="1"/>
    <col min="15107" max="15107" width="8.26953125" style="226" customWidth="1"/>
    <col min="15108" max="15109" width="16.54296875" style="226" customWidth="1"/>
    <col min="15110" max="15110" width="3.81640625" style="226" customWidth="1"/>
    <col min="15111" max="15111" width="5.1796875" style="226" customWidth="1"/>
    <col min="15112" max="15112" width="7.1796875" style="226" customWidth="1"/>
    <col min="15113" max="15113" width="10.81640625" style="226" customWidth="1"/>
    <col min="15114" max="15116" width="1.7265625" style="226" customWidth="1"/>
    <col min="15117" max="15117" width="6" style="226" customWidth="1"/>
    <col min="15118" max="15118" width="11.26953125" style="226" customWidth="1"/>
    <col min="15119" max="15119" width="2.26953125" style="226" customWidth="1"/>
    <col min="15120" max="15120" width="8.453125" style="226" customWidth="1"/>
    <col min="15121" max="15121" width="2.453125" style="226" customWidth="1"/>
    <col min="15122" max="15122" width="0" style="226" hidden="1" customWidth="1"/>
    <col min="15123" max="15123" width="11.54296875" style="226" customWidth="1"/>
    <col min="15124" max="15124" width="2.26953125" style="226" customWidth="1"/>
    <col min="15125" max="15125" width="7" style="226" customWidth="1"/>
    <col min="15126" max="15360" width="9.1796875" style="226"/>
    <col min="15361" max="15361" width="2" style="226" customWidth="1"/>
    <col min="15362" max="15362" width="5.7265625" style="226" customWidth="1"/>
    <col min="15363" max="15363" width="8.26953125" style="226" customWidth="1"/>
    <col min="15364" max="15365" width="16.54296875" style="226" customWidth="1"/>
    <col min="15366" max="15366" width="3.81640625" style="226" customWidth="1"/>
    <col min="15367" max="15367" width="5.1796875" style="226" customWidth="1"/>
    <col min="15368" max="15368" width="7.1796875" style="226" customWidth="1"/>
    <col min="15369" max="15369" width="10.81640625" style="226" customWidth="1"/>
    <col min="15370" max="15372" width="1.7265625" style="226" customWidth="1"/>
    <col min="15373" max="15373" width="6" style="226" customWidth="1"/>
    <col min="15374" max="15374" width="11.26953125" style="226" customWidth="1"/>
    <col min="15375" max="15375" width="2.26953125" style="226" customWidth="1"/>
    <col min="15376" max="15376" width="8.453125" style="226" customWidth="1"/>
    <col min="15377" max="15377" width="2.453125" style="226" customWidth="1"/>
    <col min="15378" max="15378" width="0" style="226" hidden="1" customWidth="1"/>
    <col min="15379" max="15379" width="11.54296875" style="226" customWidth="1"/>
    <col min="15380" max="15380" width="2.26953125" style="226" customWidth="1"/>
    <col min="15381" max="15381" width="7" style="226" customWidth="1"/>
    <col min="15382" max="15616" width="9.1796875" style="226"/>
    <col min="15617" max="15617" width="2" style="226" customWidth="1"/>
    <col min="15618" max="15618" width="5.7265625" style="226" customWidth="1"/>
    <col min="15619" max="15619" width="8.26953125" style="226" customWidth="1"/>
    <col min="15620" max="15621" width="16.54296875" style="226" customWidth="1"/>
    <col min="15622" max="15622" width="3.81640625" style="226" customWidth="1"/>
    <col min="15623" max="15623" width="5.1796875" style="226" customWidth="1"/>
    <col min="15624" max="15624" width="7.1796875" style="226" customWidth="1"/>
    <col min="15625" max="15625" width="10.81640625" style="226" customWidth="1"/>
    <col min="15626" max="15628" width="1.7265625" style="226" customWidth="1"/>
    <col min="15629" max="15629" width="6" style="226" customWidth="1"/>
    <col min="15630" max="15630" width="11.26953125" style="226" customWidth="1"/>
    <col min="15631" max="15631" width="2.26953125" style="226" customWidth="1"/>
    <col min="15632" max="15632" width="8.453125" style="226" customWidth="1"/>
    <col min="15633" max="15633" width="2.453125" style="226" customWidth="1"/>
    <col min="15634" max="15634" width="0" style="226" hidden="1" customWidth="1"/>
    <col min="15635" max="15635" width="11.54296875" style="226" customWidth="1"/>
    <col min="15636" max="15636" width="2.26953125" style="226" customWidth="1"/>
    <col min="15637" max="15637" width="7" style="226" customWidth="1"/>
    <col min="15638" max="15872" width="9.1796875" style="226"/>
    <col min="15873" max="15873" width="2" style="226" customWidth="1"/>
    <col min="15874" max="15874" width="5.7265625" style="226" customWidth="1"/>
    <col min="15875" max="15875" width="8.26953125" style="226" customWidth="1"/>
    <col min="15876" max="15877" width="16.54296875" style="226" customWidth="1"/>
    <col min="15878" max="15878" width="3.81640625" style="226" customWidth="1"/>
    <col min="15879" max="15879" width="5.1796875" style="226" customWidth="1"/>
    <col min="15880" max="15880" width="7.1796875" style="226" customWidth="1"/>
    <col min="15881" max="15881" width="10.81640625" style="226" customWidth="1"/>
    <col min="15882" max="15884" width="1.7265625" style="226" customWidth="1"/>
    <col min="15885" max="15885" width="6" style="226" customWidth="1"/>
    <col min="15886" max="15886" width="11.26953125" style="226" customWidth="1"/>
    <col min="15887" max="15887" width="2.26953125" style="226" customWidth="1"/>
    <col min="15888" max="15888" width="8.453125" style="226" customWidth="1"/>
    <col min="15889" max="15889" width="2.453125" style="226" customWidth="1"/>
    <col min="15890" max="15890" width="0" style="226" hidden="1" customWidth="1"/>
    <col min="15891" max="15891" width="11.54296875" style="226" customWidth="1"/>
    <col min="15892" max="15892" width="2.26953125" style="226" customWidth="1"/>
    <col min="15893" max="15893" width="7" style="226" customWidth="1"/>
    <col min="15894" max="16128" width="9.1796875" style="226"/>
    <col min="16129" max="16129" width="2" style="226" customWidth="1"/>
    <col min="16130" max="16130" width="5.7265625" style="226" customWidth="1"/>
    <col min="16131" max="16131" width="8.26953125" style="226" customWidth="1"/>
    <col min="16132" max="16133" width="16.54296875" style="226" customWidth="1"/>
    <col min="16134" max="16134" width="3.81640625" style="226" customWidth="1"/>
    <col min="16135" max="16135" width="5.1796875" style="226" customWidth="1"/>
    <col min="16136" max="16136" width="7.1796875" style="226" customWidth="1"/>
    <col min="16137" max="16137" width="10.81640625" style="226" customWidth="1"/>
    <col min="16138" max="16140" width="1.7265625" style="226" customWidth="1"/>
    <col min="16141" max="16141" width="6" style="226" customWidth="1"/>
    <col min="16142" max="16142" width="11.26953125" style="226" customWidth="1"/>
    <col min="16143" max="16143" width="2.26953125" style="226" customWidth="1"/>
    <col min="16144" max="16144" width="8.453125" style="226" customWidth="1"/>
    <col min="16145" max="16145" width="2.453125" style="226" customWidth="1"/>
    <col min="16146" max="16146" width="0" style="226" hidden="1" customWidth="1"/>
    <col min="16147" max="16147" width="11.54296875" style="226" customWidth="1"/>
    <col min="16148" max="16148" width="2.26953125" style="226" customWidth="1"/>
    <col min="16149" max="16149" width="7" style="226" customWidth="1"/>
    <col min="16150" max="16384" width="9.1796875" style="226"/>
  </cols>
  <sheetData>
    <row r="1" spans="1:29" ht="25.5" thickBot="1">
      <c r="A1" s="224" t="s">
        <v>93</v>
      </c>
      <c r="B1" s="225"/>
      <c r="C1" s="225"/>
      <c r="D1" s="225"/>
      <c r="E1" s="225"/>
      <c r="F1" s="225"/>
      <c r="G1" s="225"/>
      <c r="H1" s="225"/>
      <c r="I1" s="225"/>
      <c r="J1" s="225"/>
      <c r="K1" s="225"/>
      <c r="L1" s="225"/>
      <c r="M1" s="225"/>
      <c r="N1" s="225"/>
      <c r="O1" s="225"/>
      <c r="P1" s="225"/>
      <c r="Q1" s="225"/>
      <c r="R1" s="225"/>
      <c r="S1" s="225"/>
      <c r="T1" s="225"/>
      <c r="AC1" s="226"/>
    </row>
    <row r="2" spans="1:29" ht="6" customHeight="1" thickTop="1">
      <c r="A2" s="228"/>
      <c r="B2" s="229"/>
      <c r="C2" s="229"/>
      <c r="D2" s="229"/>
      <c r="E2" s="229"/>
      <c r="F2" s="229"/>
      <c r="G2" s="229"/>
      <c r="H2" s="229"/>
      <c r="I2" s="229"/>
      <c r="J2" s="229"/>
      <c r="K2" s="229"/>
      <c r="L2" s="229"/>
      <c r="M2" s="229"/>
      <c r="N2" s="229"/>
      <c r="O2" s="229"/>
      <c r="P2" s="229"/>
      <c r="Q2" s="229"/>
      <c r="R2" s="229"/>
      <c r="S2" s="229"/>
      <c r="T2" s="230"/>
      <c r="AC2" s="226"/>
    </row>
    <row r="3" spans="1:29" ht="18.75" customHeight="1">
      <c r="A3" s="231" t="s">
        <v>94</v>
      </c>
      <c r="B3" s="225"/>
      <c r="C3" s="225"/>
      <c r="D3" s="225"/>
      <c r="E3" s="225"/>
      <c r="F3" s="225"/>
      <c r="G3" s="225"/>
      <c r="H3" s="225"/>
      <c r="I3" s="225"/>
      <c r="J3" s="225"/>
      <c r="K3" s="225"/>
      <c r="L3" s="225"/>
      <c r="M3" s="225"/>
      <c r="N3" s="225"/>
      <c r="O3" s="225"/>
      <c r="P3" s="225"/>
      <c r="Q3" s="225"/>
      <c r="R3" s="225"/>
      <c r="S3" s="225"/>
      <c r="T3" s="232"/>
      <c r="AC3" s="226"/>
    </row>
    <row r="4" spans="1:29" ht="14">
      <c r="A4" s="674" t="s">
        <v>95</v>
      </c>
      <c r="B4" s="675"/>
      <c r="C4" s="675"/>
      <c r="D4" s="675"/>
      <c r="E4" s="675"/>
      <c r="F4" s="675"/>
      <c r="G4" s="675"/>
      <c r="H4" s="675"/>
      <c r="I4" s="675"/>
      <c r="J4" s="675"/>
      <c r="K4" s="675"/>
      <c r="L4" s="675"/>
      <c r="M4" s="675"/>
      <c r="N4" s="675"/>
      <c r="O4" s="675"/>
      <c r="P4" s="675"/>
      <c r="Q4" s="675"/>
      <c r="R4" s="675"/>
      <c r="S4" s="675"/>
      <c r="T4" s="676"/>
      <c r="AC4" s="226"/>
    </row>
    <row r="5" spans="1:29" ht="14">
      <c r="A5" s="674" t="s">
        <v>96</v>
      </c>
      <c r="B5" s="675"/>
      <c r="C5" s="675"/>
      <c r="D5" s="675"/>
      <c r="E5" s="675"/>
      <c r="F5" s="675"/>
      <c r="G5" s="675"/>
      <c r="H5" s="675"/>
      <c r="I5" s="675"/>
      <c r="J5" s="675"/>
      <c r="K5" s="675"/>
      <c r="L5" s="675"/>
      <c r="M5" s="675"/>
      <c r="N5" s="675"/>
      <c r="O5" s="675"/>
      <c r="P5" s="675"/>
      <c r="Q5" s="675"/>
      <c r="R5" s="675"/>
      <c r="S5" s="675"/>
      <c r="T5" s="676"/>
      <c r="AC5" s="226"/>
    </row>
    <row r="6" spans="1:29" ht="14">
      <c r="A6" s="677" t="s">
        <v>97</v>
      </c>
      <c r="B6" s="678"/>
      <c r="C6" s="678"/>
      <c r="D6" s="678"/>
      <c r="E6" s="678"/>
      <c r="F6" s="678"/>
      <c r="G6" s="678"/>
      <c r="H6" s="678"/>
      <c r="I6" s="678"/>
      <c r="J6" s="678"/>
      <c r="K6" s="678"/>
      <c r="L6" s="678"/>
      <c r="M6" s="678"/>
      <c r="N6" s="678"/>
      <c r="O6" s="678"/>
      <c r="P6" s="678"/>
      <c r="Q6" s="678"/>
      <c r="R6" s="678"/>
      <c r="S6" s="678"/>
      <c r="T6" s="679"/>
      <c r="AC6" s="226"/>
    </row>
    <row r="7" spans="1:29" ht="16.5" customHeight="1">
      <c r="A7" s="680" t="s">
        <v>98</v>
      </c>
      <c r="B7" s="681"/>
      <c r="C7" s="682" t="str">
        <f>IF('CP Backup'!D4="","",'CP Backup'!D4)</f>
        <v/>
      </c>
      <c r="D7" s="682"/>
      <c r="E7" s="682"/>
      <c r="F7" s="233"/>
      <c r="G7" s="233"/>
      <c r="H7" s="233"/>
      <c r="I7" s="233"/>
      <c r="J7" s="233"/>
      <c r="K7" s="233"/>
      <c r="L7" s="233"/>
      <c r="M7" s="233"/>
      <c r="N7" s="233"/>
      <c r="O7" s="233"/>
      <c r="P7" s="233"/>
      <c r="Q7" s="233"/>
      <c r="R7" s="233"/>
      <c r="S7" s="233"/>
      <c r="T7" s="234"/>
      <c r="AC7" s="226"/>
    </row>
    <row r="8" spans="1:29" ht="10.5" customHeight="1">
      <c r="A8" s="649" t="s">
        <v>99</v>
      </c>
      <c r="B8" s="650"/>
      <c r="C8" s="650"/>
      <c r="D8" s="650"/>
      <c r="E8" s="651"/>
      <c r="F8" s="652" t="s">
        <v>100</v>
      </c>
      <c r="G8" s="650"/>
      <c r="H8" s="650"/>
      <c r="I8" s="650"/>
      <c r="J8" s="651"/>
      <c r="K8" s="282"/>
      <c r="L8" s="652" t="s">
        <v>101</v>
      </c>
      <c r="M8" s="650"/>
      <c r="N8" s="650"/>
      <c r="O8" s="650"/>
      <c r="P8" s="650"/>
      <c r="Q8" s="650"/>
      <c r="R8" s="650"/>
      <c r="S8" s="650"/>
      <c r="T8" s="653"/>
      <c r="AC8" s="226"/>
    </row>
    <row r="9" spans="1:29" ht="14.25" customHeight="1">
      <c r="A9" s="654"/>
      <c r="B9" s="655"/>
      <c r="C9" s="655"/>
      <c r="D9" s="655"/>
      <c r="E9" s="656"/>
      <c r="F9" s="683"/>
      <c r="G9" s="684"/>
      <c r="H9" s="684"/>
      <c r="I9" s="684"/>
      <c r="J9" s="685"/>
      <c r="K9" s="235"/>
      <c r="L9" s="686" t="str">
        <f>IF('CP Backup'!B4="","",'CP Backup'!B4)</f>
        <v/>
      </c>
      <c r="M9" s="687"/>
      <c r="N9" s="687"/>
      <c r="O9" s="687"/>
      <c r="P9" s="687"/>
      <c r="Q9" s="687"/>
      <c r="R9" s="687"/>
      <c r="S9" s="687"/>
      <c r="T9" s="688"/>
      <c r="AC9" s="226"/>
    </row>
    <row r="10" spans="1:29" ht="11.25" customHeight="1">
      <c r="A10" s="649" t="s">
        <v>102</v>
      </c>
      <c r="B10" s="650"/>
      <c r="C10" s="650"/>
      <c r="D10" s="650"/>
      <c r="E10" s="651"/>
      <c r="F10" s="652" t="s">
        <v>103</v>
      </c>
      <c r="G10" s="650"/>
      <c r="H10" s="650"/>
      <c r="I10" s="650"/>
      <c r="J10" s="650"/>
      <c r="K10" s="650"/>
      <c r="L10" s="650"/>
      <c r="M10" s="650"/>
      <c r="N10" s="650"/>
      <c r="O10" s="650"/>
      <c r="P10" s="650"/>
      <c r="Q10" s="650"/>
      <c r="R10" s="650"/>
      <c r="S10" s="650"/>
      <c r="T10" s="653"/>
      <c r="AC10" s="226"/>
    </row>
    <row r="11" spans="1:29" ht="14.25" customHeight="1">
      <c r="A11" s="672"/>
      <c r="B11" s="655"/>
      <c r="C11" s="655"/>
      <c r="D11" s="655"/>
      <c r="E11" s="656"/>
      <c r="F11" s="673" t="str">
        <f>IF('CP Backup'!D2="","",'CP Backup'!D2)</f>
        <v/>
      </c>
      <c r="G11" s="658"/>
      <c r="H11" s="658"/>
      <c r="I11" s="658"/>
      <c r="J11" s="658"/>
      <c r="K11" s="658"/>
      <c r="L11" s="658"/>
      <c r="M11" s="658"/>
      <c r="N11" s="658"/>
      <c r="O11" s="658"/>
      <c r="P11" s="658"/>
      <c r="Q11" s="658"/>
      <c r="R11" s="658"/>
      <c r="S11" s="658"/>
      <c r="T11" s="659"/>
      <c r="AC11" s="226"/>
    </row>
    <row r="12" spans="1:29" ht="11.25" customHeight="1">
      <c r="A12" s="649" t="s">
        <v>104</v>
      </c>
      <c r="B12" s="650"/>
      <c r="C12" s="650"/>
      <c r="D12" s="650"/>
      <c r="E12" s="651"/>
      <c r="F12" s="652" t="s">
        <v>105</v>
      </c>
      <c r="G12" s="650"/>
      <c r="H12" s="650"/>
      <c r="I12" s="650"/>
      <c r="J12" s="650"/>
      <c r="K12" s="650"/>
      <c r="L12" s="650"/>
      <c r="M12" s="650"/>
      <c r="N12" s="650"/>
      <c r="O12" s="650"/>
      <c r="P12" s="650"/>
      <c r="Q12" s="650"/>
      <c r="R12" s="650"/>
      <c r="S12" s="650"/>
      <c r="T12" s="653"/>
      <c r="AC12" s="226"/>
    </row>
    <row r="13" spans="1:29" ht="14.25" customHeight="1">
      <c r="A13" s="654"/>
      <c r="B13" s="655"/>
      <c r="C13" s="655"/>
      <c r="D13" s="655"/>
      <c r="E13" s="656"/>
      <c r="F13" s="657" t="str">
        <f>IF('CP Backup'!B6="","",'CP Backup'!B6)</f>
        <v/>
      </c>
      <c r="G13" s="658"/>
      <c r="H13" s="658"/>
      <c r="I13" s="658"/>
      <c r="J13" s="658"/>
      <c r="K13" s="658"/>
      <c r="L13" s="658"/>
      <c r="M13" s="658"/>
      <c r="N13" s="658"/>
      <c r="O13" s="658"/>
      <c r="P13" s="658"/>
      <c r="Q13" s="658"/>
      <c r="R13" s="658"/>
      <c r="S13" s="658"/>
      <c r="T13" s="659"/>
      <c r="W13" s="663" t="s">
        <v>1035</v>
      </c>
      <c r="X13" s="664"/>
      <c r="Y13" s="664"/>
      <c r="Z13" s="664"/>
      <c r="AA13" s="665"/>
      <c r="AC13" s="285" t="s">
        <v>1058</v>
      </c>
    </row>
    <row r="14" spans="1:29" ht="11.25" customHeight="1">
      <c r="A14" s="649" t="s">
        <v>106</v>
      </c>
      <c r="B14" s="650"/>
      <c r="C14" s="650"/>
      <c r="D14" s="651"/>
      <c r="E14" s="283" t="s">
        <v>107</v>
      </c>
      <c r="F14" s="660"/>
      <c r="G14" s="661"/>
      <c r="H14" s="661"/>
      <c r="I14" s="661"/>
      <c r="J14" s="661"/>
      <c r="K14" s="661"/>
      <c r="L14" s="661"/>
      <c r="M14" s="662"/>
      <c r="N14" s="652" t="s">
        <v>108</v>
      </c>
      <c r="O14" s="650"/>
      <c r="P14" s="650"/>
      <c r="Q14" s="650"/>
      <c r="R14" s="650"/>
      <c r="S14" s="650"/>
      <c r="T14" s="653"/>
      <c r="W14" s="666"/>
      <c r="X14" s="667"/>
      <c r="Y14" s="667"/>
      <c r="Z14" s="667"/>
      <c r="AA14" s="668"/>
      <c r="AC14" s="276" t="s">
        <v>1059</v>
      </c>
    </row>
    <row r="15" spans="1:29" ht="14.25" customHeight="1" thickBot="1">
      <c r="A15" s="636"/>
      <c r="B15" s="637"/>
      <c r="C15" s="637"/>
      <c r="D15" s="638"/>
      <c r="E15" s="236"/>
      <c r="F15" s="639"/>
      <c r="G15" s="637"/>
      <c r="H15" s="637"/>
      <c r="I15" s="637"/>
      <c r="J15" s="637"/>
      <c r="K15" s="637"/>
      <c r="L15" s="637"/>
      <c r="M15" s="638"/>
      <c r="N15" s="640"/>
      <c r="O15" s="641"/>
      <c r="P15" s="641"/>
      <c r="Q15" s="641"/>
      <c r="R15" s="641"/>
      <c r="S15" s="641"/>
      <c r="T15" s="642"/>
      <c r="W15" s="669"/>
      <c r="X15" s="670"/>
      <c r="Y15" s="670"/>
      <c r="Z15" s="670"/>
      <c r="AA15" s="671"/>
      <c r="AC15" s="277" t="s">
        <v>1060</v>
      </c>
    </row>
    <row r="16" spans="1:29" ht="6" customHeight="1" thickTop="1" thickBot="1">
      <c r="A16" s="233"/>
      <c r="B16" s="233"/>
      <c r="C16" s="233"/>
      <c r="D16" s="233"/>
      <c r="E16" s="233"/>
      <c r="F16" s="233"/>
      <c r="G16" s="233"/>
      <c r="H16" s="233"/>
      <c r="I16" s="233"/>
      <c r="J16" s="237"/>
      <c r="K16" s="237"/>
      <c r="L16" s="233"/>
      <c r="M16" s="233"/>
      <c r="N16" s="233"/>
      <c r="O16" s="233"/>
      <c r="P16" s="233"/>
      <c r="Q16" s="233"/>
      <c r="R16" s="238"/>
      <c r="S16" s="238"/>
      <c r="T16" s="233"/>
      <c r="AC16" s="277"/>
    </row>
    <row r="17" spans="1:29" ht="14.25" customHeight="1" thickTop="1">
      <c r="A17" s="643" t="s">
        <v>1178</v>
      </c>
      <c r="B17" s="644"/>
      <c r="C17" s="644"/>
      <c r="D17" s="644"/>
      <c r="E17" s="644"/>
      <c r="F17" s="644"/>
      <c r="G17" s="644"/>
      <c r="H17" s="644"/>
      <c r="I17" s="644"/>
      <c r="J17" s="644"/>
      <c r="K17" s="644"/>
      <c r="L17" s="644"/>
      <c r="M17" s="644"/>
      <c r="N17" s="644"/>
      <c r="O17" s="644"/>
      <c r="P17" s="644"/>
      <c r="Q17" s="644"/>
      <c r="R17" s="644"/>
      <c r="S17" s="644"/>
      <c r="T17" s="645"/>
      <c r="W17" s="269"/>
      <c r="X17" s="270" t="s">
        <v>1040</v>
      </c>
      <c r="Z17" s="269"/>
      <c r="AA17" s="270" t="s">
        <v>1022</v>
      </c>
      <c r="AC17" s="277" t="s">
        <v>1061</v>
      </c>
    </row>
    <row r="18" spans="1:29" ht="14.25" customHeight="1">
      <c r="A18" s="646"/>
      <c r="B18" s="647"/>
      <c r="C18" s="647"/>
      <c r="D18" s="647"/>
      <c r="E18" s="647"/>
      <c r="F18" s="647"/>
      <c r="G18" s="647"/>
      <c r="H18" s="647"/>
      <c r="I18" s="647"/>
      <c r="J18" s="647"/>
      <c r="K18" s="647"/>
      <c r="L18" s="647"/>
      <c r="M18" s="647"/>
      <c r="N18" s="647"/>
      <c r="O18" s="647"/>
      <c r="P18" s="647"/>
      <c r="Q18" s="647"/>
      <c r="R18" s="647"/>
      <c r="S18" s="647"/>
      <c r="T18" s="648"/>
      <c r="W18" s="269"/>
      <c r="X18" s="270" t="s">
        <v>1011</v>
      </c>
      <c r="Z18" s="269"/>
      <c r="AA18" s="270" t="s">
        <v>1023</v>
      </c>
      <c r="AC18" s="277" t="s">
        <v>1062</v>
      </c>
    </row>
    <row r="19" spans="1:29" ht="14.25" customHeight="1">
      <c r="A19" s="239"/>
      <c r="B19" s="607"/>
      <c r="C19" s="607"/>
      <c r="D19" s="607"/>
      <c r="E19" s="607"/>
      <c r="F19" s="607"/>
      <c r="G19" s="607"/>
      <c r="H19" s="607"/>
      <c r="I19" s="607"/>
      <c r="J19" s="607"/>
      <c r="K19" s="607"/>
      <c r="L19" s="607"/>
      <c r="M19" s="607"/>
      <c r="N19" s="607"/>
      <c r="O19" s="607"/>
      <c r="P19" s="607"/>
      <c r="Q19" s="607"/>
      <c r="R19" s="607"/>
      <c r="S19" s="607"/>
      <c r="T19" s="240"/>
      <c r="W19" s="269"/>
      <c r="X19" s="270" t="s">
        <v>1012</v>
      </c>
      <c r="Z19" s="269"/>
      <c r="AA19" s="270" t="s">
        <v>1024</v>
      </c>
      <c r="AC19" s="277" t="s">
        <v>1063</v>
      </c>
    </row>
    <row r="20" spans="1:29" ht="14.25" customHeight="1">
      <c r="A20" s="239"/>
      <c r="B20" s="607"/>
      <c r="C20" s="607"/>
      <c r="D20" s="607"/>
      <c r="E20" s="607"/>
      <c r="F20" s="607"/>
      <c r="G20" s="607"/>
      <c r="H20" s="607"/>
      <c r="I20" s="607"/>
      <c r="J20" s="607"/>
      <c r="K20" s="607"/>
      <c r="L20" s="607"/>
      <c r="M20" s="607"/>
      <c r="N20" s="607"/>
      <c r="O20" s="607"/>
      <c r="P20" s="607"/>
      <c r="Q20" s="607"/>
      <c r="R20" s="607"/>
      <c r="S20" s="607"/>
      <c r="T20" s="240"/>
      <c r="W20" s="269"/>
      <c r="X20" s="270" t="s">
        <v>1013</v>
      </c>
      <c r="Z20" s="269"/>
      <c r="AA20" s="270" t="s">
        <v>1025</v>
      </c>
      <c r="AC20" s="277" t="s">
        <v>1064</v>
      </c>
    </row>
    <row r="21" spans="1:29" ht="14.25" customHeight="1">
      <c r="A21" s="239"/>
      <c r="B21" s="607"/>
      <c r="C21" s="607"/>
      <c r="D21" s="607"/>
      <c r="E21" s="607"/>
      <c r="F21" s="607"/>
      <c r="G21" s="607"/>
      <c r="H21" s="607"/>
      <c r="I21" s="607"/>
      <c r="J21" s="607"/>
      <c r="K21" s="607"/>
      <c r="L21" s="607"/>
      <c r="M21" s="607"/>
      <c r="N21" s="607"/>
      <c r="O21" s="607"/>
      <c r="P21" s="607"/>
      <c r="Q21" s="607"/>
      <c r="R21" s="607"/>
      <c r="S21" s="607"/>
      <c r="T21" s="240"/>
      <c r="W21" s="269"/>
      <c r="X21" s="270" t="s">
        <v>1014</v>
      </c>
      <c r="Z21" s="269"/>
      <c r="AA21" s="270" t="s">
        <v>1026</v>
      </c>
      <c r="AC21" s="277" t="s">
        <v>1065</v>
      </c>
    </row>
    <row r="22" spans="1:29" ht="14.25" customHeight="1">
      <c r="A22" s="239"/>
      <c r="B22" s="607"/>
      <c r="C22" s="607"/>
      <c r="D22" s="607"/>
      <c r="E22" s="607"/>
      <c r="F22" s="607"/>
      <c r="G22" s="607"/>
      <c r="H22" s="607"/>
      <c r="I22" s="607"/>
      <c r="J22" s="607"/>
      <c r="K22" s="607"/>
      <c r="L22" s="607"/>
      <c r="M22" s="607"/>
      <c r="N22" s="607"/>
      <c r="O22" s="607"/>
      <c r="P22" s="607"/>
      <c r="Q22" s="607"/>
      <c r="R22" s="607"/>
      <c r="S22" s="607"/>
      <c r="T22" s="240"/>
      <c r="W22" s="269"/>
      <c r="X22" s="270" t="s">
        <v>1015</v>
      </c>
      <c r="Z22" s="269"/>
      <c r="AA22" s="270" t="s">
        <v>1027</v>
      </c>
      <c r="AC22" s="277" t="s">
        <v>1066</v>
      </c>
    </row>
    <row r="23" spans="1:29" ht="14.25" customHeight="1">
      <c r="A23" s="239"/>
      <c r="B23" s="607"/>
      <c r="C23" s="607"/>
      <c r="D23" s="607"/>
      <c r="E23" s="607"/>
      <c r="F23" s="607"/>
      <c r="G23" s="607"/>
      <c r="H23" s="607"/>
      <c r="I23" s="607"/>
      <c r="J23" s="607"/>
      <c r="K23" s="607"/>
      <c r="L23" s="607"/>
      <c r="M23" s="607"/>
      <c r="N23" s="607"/>
      <c r="O23" s="607"/>
      <c r="P23" s="607"/>
      <c r="Q23" s="607"/>
      <c r="R23" s="607"/>
      <c r="S23" s="607"/>
      <c r="T23" s="240"/>
      <c r="W23" s="269"/>
      <c r="X23" s="270" t="s">
        <v>1016</v>
      </c>
      <c r="Z23" s="269"/>
      <c r="AA23" s="270" t="s">
        <v>1028</v>
      </c>
      <c r="AC23" s="277" t="s">
        <v>1067</v>
      </c>
    </row>
    <row r="24" spans="1:29" ht="14.25" customHeight="1">
      <c r="A24" s="239"/>
      <c r="B24" s="607"/>
      <c r="C24" s="607"/>
      <c r="D24" s="607"/>
      <c r="E24" s="607"/>
      <c r="F24" s="607"/>
      <c r="G24" s="607"/>
      <c r="H24" s="607"/>
      <c r="I24" s="607"/>
      <c r="J24" s="607"/>
      <c r="K24" s="607"/>
      <c r="L24" s="607"/>
      <c r="M24" s="607"/>
      <c r="N24" s="607"/>
      <c r="O24" s="607"/>
      <c r="P24" s="607"/>
      <c r="Q24" s="607"/>
      <c r="R24" s="607"/>
      <c r="S24" s="607"/>
      <c r="T24" s="240"/>
      <c r="W24" s="269"/>
      <c r="X24" s="270" t="s">
        <v>1017</v>
      </c>
      <c r="Z24" s="269"/>
      <c r="AA24" s="270" t="s">
        <v>69</v>
      </c>
      <c r="AC24" s="277" t="s">
        <v>1068</v>
      </c>
    </row>
    <row r="25" spans="1:29" ht="14.25" customHeight="1">
      <c r="A25" s="239"/>
      <c r="B25" s="607"/>
      <c r="C25" s="607"/>
      <c r="D25" s="607"/>
      <c r="E25" s="607"/>
      <c r="F25" s="607"/>
      <c r="G25" s="607"/>
      <c r="H25" s="607"/>
      <c r="I25" s="607"/>
      <c r="J25" s="607"/>
      <c r="K25" s="607"/>
      <c r="L25" s="607"/>
      <c r="M25" s="607"/>
      <c r="N25" s="607"/>
      <c r="O25" s="607"/>
      <c r="P25" s="607"/>
      <c r="Q25" s="607"/>
      <c r="R25" s="607"/>
      <c r="S25" s="607"/>
      <c r="T25" s="240"/>
      <c r="W25" s="269"/>
      <c r="X25" s="270" t="s">
        <v>1041</v>
      </c>
      <c r="Z25" s="269"/>
      <c r="AA25" s="270" t="s">
        <v>1042</v>
      </c>
      <c r="AC25" s="277" t="s">
        <v>1069</v>
      </c>
    </row>
    <row r="26" spans="1:29" ht="14.25" customHeight="1">
      <c r="A26" s="239"/>
      <c r="B26" s="607"/>
      <c r="C26" s="607"/>
      <c r="D26" s="607"/>
      <c r="E26" s="607"/>
      <c r="F26" s="607"/>
      <c r="G26" s="607"/>
      <c r="H26" s="607"/>
      <c r="I26" s="607"/>
      <c r="J26" s="607"/>
      <c r="K26" s="607"/>
      <c r="L26" s="607"/>
      <c r="M26" s="607"/>
      <c r="N26" s="607"/>
      <c r="O26" s="607"/>
      <c r="P26" s="607"/>
      <c r="Q26" s="607"/>
      <c r="R26" s="607"/>
      <c r="S26" s="607"/>
      <c r="T26" s="240"/>
      <c r="W26" s="269"/>
      <c r="X26" s="270" t="s">
        <v>1018</v>
      </c>
      <c r="Z26" s="269"/>
      <c r="AA26" s="270" t="s">
        <v>1029</v>
      </c>
      <c r="AC26" s="277" t="s">
        <v>1070</v>
      </c>
    </row>
    <row r="27" spans="1:29" ht="14.25" customHeight="1">
      <c r="A27" s="239"/>
      <c r="B27" s="607"/>
      <c r="C27" s="607"/>
      <c r="D27" s="607"/>
      <c r="E27" s="607"/>
      <c r="F27" s="607"/>
      <c r="G27" s="607"/>
      <c r="H27" s="607"/>
      <c r="I27" s="607"/>
      <c r="J27" s="607"/>
      <c r="K27" s="607"/>
      <c r="L27" s="607"/>
      <c r="M27" s="607"/>
      <c r="N27" s="607"/>
      <c r="O27" s="607"/>
      <c r="P27" s="607"/>
      <c r="Q27" s="607"/>
      <c r="R27" s="607"/>
      <c r="S27" s="607"/>
      <c r="T27" s="240"/>
      <c r="W27" s="269"/>
      <c r="X27" s="270" t="s">
        <v>1019</v>
      </c>
      <c r="Z27" s="269"/>
      <c r="AA27" s="270" t="s">
        <v>1030</v>
      </c>
      <c r="AC27" s="277" t="s">
        <v>1071</v>
      </c>
    </row>
    <row r="28" spans="1:29" ht="14.25" customHeight="1">
      <c r="A28" s="239"/>
      <c r="B28" s="607"/>
      <c r="C28" s="607"/>
      <c r="D28" s="607"/>
      <c r="E28" s="607"/>
      <c r="F28" s="607"/>
      <c r="G28" s="607"/>
      <c r="H28" s="607"/>
      <c r="I28" s="607"/>
      <c r="J28" s="607"/>
      <c r="K28" s="607"/>
      <c r="L28" s="607"/>
      <c r="M28" s="607"/>
      <c r="N28" s="607"/>
      <c r="O28" s="607"/>
      <c r="P28" s="607"/>
      <c r="Q28" s="607"/>
      <c r="R28" s="607"/>
      <c r="S28" s="607"/>
      <c r="T28" s="240"/>
      <c r="W28" s="269"/>
      <c r="X28" s="270" t="s">
        <v>1020</v>
      </c>
      <c r="Z28" s="269"/>
      <c r="AA28" s="270" t="s">
        <v>1031</v>
      </c>
      <c r="AC28" s="277" t="s">
        <v>1072</v>
      </c>
    </row>
    <row r="29" spans="1:29" ht="14.25" customHeight="1">
      <c r="A29" s="239"/>
      <c r="B29" s="607"/>
      <c r="C29" s="607"/>
      <c r="D29" s="607"/>
      <c r="E29" s="607"/>
      <c r="F29" s="607"/>
      <c r="G29" s="607"/>
      <c r="H29" s="607"/>
      <c r="I29" s="607"/>
      <c r="J29" s="607"/>
      <c r="K29" s="607"/>
      <c r="L29" s="607"/>
      <c r="M29" s="607"/>
      <c r="N29" s="607"/>
      <c r="O29" s="607"/>
      <c r="P29" s="607"/>
      <c r="Q29" s="607"/>
      <c r="R29" s="607"/>
      <c r="S29" s="607"/>
      <c r="T29" s="240"/>
      <c r="W29" s="269"/>
      <c r="X29" s="270" t="s">
        <v>1021</v>
      </c>
      <c r="Z29" s="269"/>
      <c r="AA29" s="270" t="s">
        <v>1032</v>
      </c>
      <c r="AC29" s="277" t="s">
        <v>1073</v>
      </c>
    </row>
    <row r="30" spans="1:29" ht="14.25" customHeight="1">
      <c r="A30" s="239"/>
      <c r="B30" s="607"/>
      <c r="C30" s="607"/>
      <c r="D30" s="607"/>
      <c r="E30" s="607"/>
      <c r="F30" s="607"/>
      <c r="G30" s="607"/>
      <c r="H30" s="607"/>
      <c r="I30" s="607"/>
      <c r="J30" s="607"/>
      <c r="K30" s="607"/>
      <c r="L30" s="607"/>
      <c r="M30" s="607"/>
      <c r="N30" s="607"/>
      <c r="O30" s="607"/>
      <c r="P30" s="607"/>
      <c r="Q30" s="607"/>
      <c r="R30" s="607"/>
      <c r="S30" s="607"/>
      <c r="T30" s="240"/>
      <c r="W30" s="269"/>
      <c r="X30" s="270" t="s">
        <v>1033</v>
      </c>
      <c r="Z30" s="269"/>
      <c r="AA30" s="270" t="s">
        <v>1043</v>
      </c>
      <c r="AC30" s="277" t="s">
        <v>1074</v>
      </c>
    </row>
    <row r="31" spans="1:29" ht="14.25" customHeight="1">
      <c r="A31" s="239"/>
      <c r="B31" s="607"/>
      <c r="C31" s="607"/>
      <c r="D31" s="607"/>
      <c r="E31" s="607"/>
      <c r="F31" s="607"/>
      <c r="G31" s="607"/>
      <c r="H31" s="607"/>
      <c r="I31" s="607"/>
      <c r="J31" s="607"/>
      <c r="K31" s="607"/>
      <c r="L31" s="607"/>
      <c r="M31" s="607"/>
      <c r="N31" s="607"/>
      <c r="O31" s="607"/>
      <c r="P31" s="607"/>
      <c r="Q31" s="607"/>
      <c r="R31" s="607"/>
      <c r="S31" s="607"/>
      <c r="T31" s="240"/>
      <c r="W31" s="269"/>
      <c r="X31" s="270" t="s">
        <v>1044</v>
      </c>
      <c r="Z31" s="269"/>
      <c r="AA31" s="270" t="s">
        <v>1045</v>
      </c>
      <c r="AC31" s="277" t="s">
        <v>1075</v>
      </c>
    </row>
    <row r="32" spans="1:29" ht="14.25" customHeight="1">
      <c r="A32" s="239"/>
      <c r="B32" s="607"/>
      <c r="C32" s="607"/>
      <c r="D32" s="607"/>
      <c r="E32" s="607"/>
      <c r="F32" s="607"/>
      <c r="G32" s="607"/>
      <c r="H32" s="607"/>
      <c r="I32" s="607"/>
      <c r="J32" s="607"/>
      <c r="K32" s="607"/>
      <c r="L32" s="607"/>
      <c r="M32" s="607"/>
      <c r="N32" s="607"/>
      <c r="O32" s="607"/>
      <c r="P32" s="607"/>
      <c r="Q32" s="607"/>
      <c r="R32" s="607"/>
      <c r="S32" s="607"/>
      <c r="T32" s="240"/>
      <c r="W32" s="269"/>
      <c r="X32" s="270" t="s">
        <v>1046</v>
      </c>
      <c r="Z32" s="269"/>
      <c r="AA32" s="270" t="s">
        <v>1047</v>
      </c>
      <c r="AC32" s="276" t="s">
        <v>1076</v>
      </c>
    </row>
    <row r="33" spans="1:29" ht="14.25" customHeight="1">
      <c r="A33" s="239"/>
      <c r="B33" s="607"/>
      <c r="C33" s="607"/>
      <c r="D33" s="607"/>
      <c r="E33" s="607"/>
      <c r="F33" s="607"/>
      <c r="G33" s="607"/>
      <c r="H33" s="607"/>
      <c r="I33" s="607"/>
      <c r="J33" s="607"/>
      <c r="K33" s="607"/>
      <c r="L33" s="607"/>
      <c r="M33" s="607"/>
      <c r="N33" s="607"/>
      <c r="O33" s="607"/>
      <c r="P33" s="607"/>
      <c r="Q33" s="607"/>
      <c r="R33" s="607"/>
      <c r="S33" s="607"/>
      <c r="T33" s="240"/>
      <c r="W33" s="269"/>
      <c r="X33" s="270" t="s">
        <v>1048</v>
      </c>
      <c r="Z33" s="269"/>
      <c r="AA33" s="270" t="s">
        <v>1049</v>
      </c>
      <c r="AC33" s="276" t="s">
        <v>1077</v>
      </c>
    </row>
    <row r="34" spans="1:29" ht="14.25" customHeight="1">
      <c r="A34" s="239"/>
      <c r="B34" s="607"/>
      <c r="C34" s="607"/>
      <c r="D34" s="607"/>
      <c r="E34" s="607"/>
      <c r="F34" s="607"/>
      <c r="G34" s="607"/>
      <c r="H34" s="607"/>
      <c r="I34" s="607"/>
      <c r="J34" s="607"/>
      <c r="K34" s="607"/>
      <c r="L34" s="607"/>
      <c r="M34" s="607"/>
      <c r="N34" s="607"/>
      <c r="O34" s="607"/>
      <c r="P34" s="607"/>
      <c r="Q34" s="607"/>
      <c r="R34" s="607"/>
      <c r="S34" s="607"/>
      <c r="T34" s="240"/>
      <c r="W34" s="269"/>
      <c r="X34" s="270" t="s">
        <v>1034</v>
      </c>
      <c r="Z34" s="269"/>
      <c r="AA34" s="270" t="s">
        <v>23</v>
      </c>
      <c r="AC34" s="277" t="s">
        <v>1078</v>
      </c>
    </row>
    <row r="35" spans="1:29" ht="14.25" customHeight="1">
      <c r="A35" s="239"/>
      <c r="B35" s="607"/>
      <c r="C35" s="607"/>
      <c r="D35" s="607"/>
      <c r="E35" s="607"/>
      <c r="F35" s="607"/>
      <c r="G35" s="607"/>
      <c r="H35" s="607"/>
      <c r="I35" s="607"/>
      <c r="J35" s="607"/>
      <c r="K35" s="607"/>
      <c r="L35" s="607"/>
      <c r="M35" s="607"/>
      <c r="N35" s="607"/>
      <c r="O35" s="607"/>
      <c r="P35" s="607"/>
      <c r="Q35" s="607"/>
      <c r="R35" s="607"/>
      <c r="S35" s="607"/>
      <c r="T35" s="240"/>
      <c r="AC35" s="277" t="s">
        <v>1079</v>
      </c>
    </row>
    <row r="36" spans="1:29" ht="14.25" customHeight="1">
      <c r="A36" s="239"/>
      <c r="B36" s="607"/>
      <c r="C36" s="607"/>
      <c r="D36" s="607"/>
      <c r="E36" s="607"/>
      <c r="F36" s="607"/>
      <c r="G36" s="607"/>
      <c r="H36" s="607"/>
      <c r="I36" s="607"/>
      <c r="J36" s="607"/>
      <c r="K36" s="607"/>
      <c r="L36" s="607"/>
      <c r="M36" s="607"/>
      <c r="N36" s="607"/>
      <c r="O36" s="607"/>
      <c r="P36" s="607"/>
      <c r="Q36" s="607"/>
      <c r="R36" s="607"/>
      <c r="S36" s="607"/>
      <c r="T36" s="240"/>
      <c r="AC36" s="276" t="s">
        <v>1080</v>
      </c>
    </row>
    <row r="37" spans="1:29" ht="14.25" customHeight="1">
      <c r="A37" s="239"/>
      <c r="B37" s="607"/>
      <c r="C37" s="607"/>
      <c r="D37" s="607"/>
      <c r="E37" s="607"/>
      <c r="F37" s="607"/>
      <c r="G37" s="607"/>
      <c r="H37" s="607"/>
      <c r="I37" s="607"/>
      <c r="J37" s="607"/>
      <c r="K37" s="607"/>
      <c r="L37" s="607"/>
      <c r="M37" s="607"/>
      <c r="N37" s="607"/>
      <c r="O37" s="607"/>
      <c r="P37" s="607"/>
      <c r="Q37" s="607"/>
      <c r="R37" s="607"/>
      <c r="S37" s="607"/>
      <c r="T37" s="240"/>
      <c r="AC37" s="277" t="s">
        <v>1081</v>
      </c>
    </row>
    <row r="38" spans="1:29" ht="14.25" customHeight="1">
      <c r="A38" s="239"/>
      <c r="B38" s="607"/>
      <c r="C38" s="607"/>
      <c r="D38" s="607"/>
      <c r="E38" s="607"/>
      <c r="F38" s="607"/>
      <c r="G38" s="607"/>
      <c r="H38" s="607"/>
      <c r="I38" s="607"/>
      <c r="J38" s="607"/>
      <c r="K38" s="607"/>
      <c r="L38" s="607"/>
      <c r="M38" s="607"/>
      <c r="N38" s="607"/>
      <c r="O38" s="607"/>
      <c r="P38" s="607"/>
      <c r="Q38" s="607"/>
      <c r="R38" s="607"/>
      <c r="S38" s="607"/>
      <c r="T38" s="240"/>
      <c r="AC38" s="277" t="s">
        <v>1082</v>
      </c>
    </row>
    <row r="39" spans="1:29" ht="14.25" customHeight="1">
      <c r="A39" s="239"/>
      <c r="B39" s="278" t="s">
        <v>79</v>
      </c>
      <c r="C39" s="278"/>
      <c r="D39" s="632" t="str">
        <f>IF(W17="","",X17)&amp;IF(W18="","",", "&amp;X18)&amp;IF(W19="","",", "&amp;X19)&amp;IF(W20="","",", "&amp;X20)&amp;IF(W21="","",", "&amp;X21)&amp;IF(W22="","",", "&amp;X22)&amp;IF(W23="","",", "&amp;X23)&amp;IF(W24="","",", "&amp;X24)&amp;IF(W25="","",", "&amp;X25)&amp;IF(W26="","",", "&amp;X26)&amp;IF(W27="","",", "&amp;X27)&amp;IF(W28="","",", "&amp;X28)&amp;IF(W29="","",", "&amp;X29)&amp;IF(W30="","",", "&amp;X30)&amp;IF(W31="","",", "&amp;X31)&amp;IF(W32="","",", "&amp;X32)&amp;IF(W33="","",", "&amp;X33)&amp;IF(W34="","",", "&amp;X34)&amp;IF(Z18="","",", "&amp;AA18)&amp;IF(Z19="","",", "&amp;AA19)&amp;IF(Z20="","",", "&amp;AA20)&amp;IF(Z21="","",", "&amp;AA21)&amp;IF(Z22="","",", "&amp;AA22)&amp;IF(Z23="","",", "&amp;AA23)&amp;IF(Z24="","",", "&amp;AA24)&amp;IF(Z25="","",", "&amp;AA25)&amp;IF(Z26="","",", "&amp;AA26)&amp;IF(Z27="","",", "&amp;AA27)&amp;IF(Z28="","",", "&amp;AA28)&amp;IF(Z29="","",", "&amp;AA29)&amp;IF(Z30="","",", "&amp;AA30)&amp;IF(Z31="","",", "&amp;AA31)&amp;IF(Z32="","",", "&amp;AA32)&amp;IF(Z33="","",", "&amp;AA33)&amp;IF(Z34="","",", "&amp;AA34)</f>
        <v/>
      </c>
      <c r="E39" s="632"/>
      <c r="F39" s="632"/>
      <c r="G39" s="632"/>
      <c r="H39" s="632"/>
      <c r="I39" s="632"/>
      <c r="J39" s="632"/>
      <c r="K39" s="632"/>
      <c r="L39" s="632"/>
      <c r="M39" s="632"/>
      <c r="N39" s="632"/>
      <c r="O39" s="632"/>
      <c r="P39" s="632"/>
      <c r="Q39" s="632"/>
      <c r="R39" s="632"/>
      <c r="S39" s="632"/>
      <c r="T39" s="633"/>
      <c r="AC39" s="277" t="s">
        <v>1083</v>
      </c>
    </row>
    <row r="40" spans="1:29" ht="14.25" customHeight="1">
      <c r="A40" s="239"/>
      <c r="B40" s="278"/>
      <c r="C40" s="278"/>
      <c r="D40" s="632"/>
      <c r="E40" s="632"/>
      <c r="F40" s="632"/>
      <c r="G40" s="632"/>
      <c r="H40" s="632"/>
      <c r="I40" s="632"/>
      <c r="J40" s="632"/>
      <c r="K40" s="632"/>
      <c r="L40" s="632"/>
      <c r="M40" s="632"/>
      <c r="N40" s="632"/>
      <c r="O40" s="632"/>
      <c r="P40" s="632"/>
      <c r="Q40" s="632"/>
      <c r="R40" s="632"/>
      <c r="S40" s="632"/>
      <c r="T40" s="633"/>
      <c r="AC40" s="277" t="s">
        <v>1084</v>
      </c>
    </row>
    <row r="41" spans="1:29" ht="14.25" customHeight="1">
      <c r="A41" s="279"/>
      <c r="B41" s="280"/>
      <c r="C41" s="280"/>
      <c r="D41" s="632"/>
      <c r="E41" s="632"/>
      <c r="F41" s="632"/>
      <c r="G41" s="632"/>
      <c r="H41" s="632"/>
      <c r="I41" s="632"/>
      <c r="J41" s="632"/>
      <c r="K41" s="632"/>
      <c r="L41" s="632"/>
      <c r="M41" s="632"/>
      <c r="N41" s="632"/>
      <c r="O41" s="632"/>
      <c r="P41" s="632"/>
      <c r="Q41" s="632"/>
      <c r="R41" s="632"/>
      <c r="S41" s="632"/>
      <c r="T41" s="633"/>
      <c r="AC41" s="277" t="s">
        <v>1085</v>
      </c>
    </row>
    <row r="42" spans="1:29" ht="17.149999999999999" customHeight="1" thickBot="1">
      <c r="A42" s="279"/>
      <c r="B42" s="281"/>
      <c r="C42" s="281" t="s">
        <v>109</v>
      </c>
      <c r="D42" s="634"/>
      <c r="E42" s="634"/>
      <c r="F42" s="634"/>
      <c r="G42" s="634"/>
      <c r="H42" s="634"/>
      <c r="I42" s="634"/>
      <c r="J42" s="634"/>
      <c r="K42" s="634"/>
      <c r="L42" s="634"/>
      <c r="M42" s="634"/>
      <c r="N42" s="634"/>
      <c r="O42" s="634"/>
      <c r="P42" s="634"/>
      <c r="Q42" s="634"/>
      <c r="R42" s="634"/>
      <c r="S42" s="634"/>
      <c r="T42" s="635"/>
      <c r="AC42" s="276" t="s">
        <v>1086</v>
      </c>
    </row>
    <row r="43" spans="1:29" ht="5.25" customHeight="1" thickTop="1" thickBot="1">
      <c r="A43" s="610"/>
      <c r="B43" s="610"/>
      <c r="C43" s="610"/>
      <c r="D43" s="610"/>
      <c r="E43" s="610"/>
      <c r="F43" s="610"/>
      <c r="G43" s="610"/>
      <c r="H43" s="610"/>
      <c r="I43" s="610"/>
      <c r="J43" s="610"/>
      <c r="K43" s="610"/>
      <c r="L43" s="610"/>
      <c r="M43" s="610"/>
      <c r="N43" s="610"/>
      <c r="O43" s="610"/>
      <c r="P43" s="610"/>
      <c r="Q43" s="610"/>
      <c r="R43" s="610"/>
      <c r="S43" s="610"/>
      <c r="T43" s="610"/>
      <c r="AC43" s="276" t="s">
        <v>1087</v>
      </c>
    </row>
    <row r="44" spans="1:29" ht="15" thickTop="1">
      <c r="A44" s="611" t="s">
        <v>110</v>
      </c>
      <c r="B44" s="612"/>
      <c r="C44" s="612"/>
      <c r="D44" s="612"/>
      <c r="E44" s="612"/>
      <c r="F44" s="612"/>
      <c r="G44" s="612"/>
      <c r="H44" s="612"/>
      <c r="I44" s="612"/>
      <c r="J44" s="612"/>
      <c r="K44" s="612"/>
      <c r="L44" s="612"/>
      <c r="M44" s="612"/>
      <c r="N44" s="612"/>
      <c r="O44" s="612"/>
      <c r="P44" s="612"/>
      <c r="Q44" s="612"/>
      <c r="R44" s="612"/>
      <c r="S44" s="612"/>
      <c r="T44" s="613"/>
      <c r="AC44" s="277" t="s">
        <v>1088</v>
      </c>
    </row>
    <row r="45" spans="1:29" ht="13.5" customHeight="1">
      <c r="A45" s="614" t="str">
        <f>SpellNumber(P45)</f>
        <v>No Dollars and No Cents</v>
      </c>
      <c r="B45" s="615"/>
      <c r="C45" s="615"/>
      <c r="D45" s="615"/>
      <c r="E45" s="615"/>
      <c r="F45" s="615"/>
      <c r="G45" s="615"/>
      <c r="H45" s="615"/>
      <c r="I45" s="615"/>
      <c r="J45" s="615"/>
      <c r="K45" s="615"/>
      <c r="L45" s="615"/>
      <c r="M45" s="615"/>
      <c r="N45" s="237"/>
      <c r="O45" s="241" t="s">
        <v>111</v>
      </c>
      <c r="P45" s="616">
        <f>ROUND('CP Backup'!D125,2)</f>
        <v>0</v>
      </c>
      <c r="Q45" s="616"/>
      <c r="R45" s="616"/>
      <c r="S45" s="616"/>
      <c r="T45" s="242" t="s">
        <v>112</v>
      </c>
      <c r="U45" s="243"/>
      <c r="V45" s="244"/>
      <c r="AC45" s="277" t="s">
        <v>1089</v>
      </c>
    </row>
    <row r="46" spans="1:29" ht="11.25" customHeight="1">
      <c r="A46" s="617" t="s">
        <v>113</v>
      </c>
      <c r="B46" s="618"/>
      <c r="C46" s="618"/>
      <c r="D46" s="618"/>
      <c r="E46" s="618"/>
      <c r="F46" s="618"/>
      <c r="G46" s="618"/>
      <c r="H46" s="618"/>
      <c r="I46" s="618"/>
      <c r="J46" s="618"/>
      <c r="K46" s="618"/>
      <c r="L46" s="618"/>
      <c r="M46" s="618"/>
      <c r="N46" s="618"/>
      <c r="O46" s="618"/>
      <c r="P46" s="618"/>
      <c r="Q46" s="618"/>
      <c r="R46" s="618"/>
      <c r="S46" s="618"/>
      <c r="T46" s="619"/>
      <c r="U46" s="245"/>
      <c r="AC46" s="277" t="s">
        <v>1090</v>
      </c>
    </row>
    <row r="47" spans="1:29" ht="14.5">
      <c r="A47" s="620"/>
      <c r="B47" s="621"/>
      <c r="C47" s="621"/>
      <c r="D47" s="621"/>
      <c r="E47" s="621"/>
      <c r="F47" s="621"/>
      <c r="G47" s="621"/>
      <c r="H47" s="621"/>
      <c r="I47" s="621"/>
      <c r="J47" s="621"/>
      <c r="K47" s="621"/>
      <c r="L47" s="621"/>
      <c r="M47" s="621"/>
      <c r="N47" s="621"/>
      <c r="O47" s="621"/>
      <c r="P47" s="621"/>
      <c r="Q47" s="621"/>
      <c r="R47" s="621"/>
      <c r="S47" s="621"/>
      <c r="T47" s="622"/>
      <c r="U47" s="245"/>
      <c r="AC47" s="277" t="s">
        <v>1091</v>
      </c>
    </row>
    <row r="48" spans="1:29" ht="11.5" customHeight="1">
      <c r="A48" s="626" t="s">
        <v>1010</v>
      </c>
      <c r="B48" s="627"/>
      <c r="C48" s="627"/>
      <c r="D48" s="627"/>
      <c r="E48" s="627"/>
      <c r="F48" s="627"/>
      <c r="G48" s="627"/>
      <c r="H48" s="246"/>
      <c r="I48" s="246"/>
      <c r="J48" s="246"/>
      <c r="K48" s="246"/>
      <c r="L48" s="246"/>
      <c r="M48" s="246"/>
      <c r="N48" s="246"/>
      <c r="O48" s="246"/>
      <c r="P48" s="246"/>
      <c r="Q48" s="246"/>
      <c r="R48" s="246"/>
      <c r="S48" s="246"/>
      <c r="T48" s="247"/>
      <c r="U48" s="245"/>
      <c r="AC48" s="277" t="s">
        <v>1019</v>
      </c>
    </row>
    <row r="49" spans="1:29" ht="11.5" customHeight="1">
      <c r="A49" s="628"/>
      <c r="B49" s="629"/>
      <c r="C49" s="629"/>
      <c r="D49" s="629"/>
      <c r="E49" s="629"/>
      <c r="F49" s="629"/>
      <c r="G49" s="629"/>
      <c r="H49" s="246"/>
      <c r="I49" s="618"/>
      <c r="J49" s="623"/>
      <c r="K49" s="623"/>
      <c r="L49" s="623"/>
      <c r="M49" s="623"/>
      <c r="N49" s="623"/>
      <c r="O49" s="623"/>
      <c r="P49" s="623"/>
      <c r="Q49" s="623"/>
      <c r="R49" s="623"/>
      <c r="S49" s="623"/>
      <c r="T49" s="247"/>
      <c r="U49" s="245"/>
      <c r="AC49" s="277" t="s">
        <v>1092</v>
      </c>
    </row>
    <row r="50" spans="1:29" ht="11.5" customHeight="1">
      <c r="A50" s="628"/>
      <c r="B50" s="629"/>
      <c r="C50" s="629"/>
      <c r="D50" s="629"/>
      <c r="E50" s="629"/>
      <c r="F50" s="629"/>
      <c r="G50" s="629"/>
      <c r="H50" s="246" t="s">
        <v>114</v>
      </c>
      <c r="I50" s="623"/>
      <c r="J50" s="623"/>
      <c r="K50" s="623"/>
      <c r="L50" s="623"/>
      <c r="M50" s="623"/>
      <c r="N50" s="623"/>
      <c r="O50" s="623"/>
      <c r="P50" s="623"/>
      <c r="Q50" s="623"/>
      <c r="R50" s="623"/>
      <c r="S50" s="623"/>
      <c r="T50" s="247"/>
      <c r="U50" s="245"/>
      <c r="AC50" s="277" t="s">
        <v>1093</v>
      </c>
    </row>
    <row r="51" spans="1:29" ht="11.5" customHeight="1">
      <c r="A51" s="628"/>
      <c r="B51" s="629"/>
      <c r="C51" s="629"/>
      <c r="D51" s="629"/>
      <c r="E51" s="629"/>
      <c r="F51" s="629"/>
      <c r="G51" s="629"/>
      <c r="H51" s="246" t="s">
        <v>115</v>
      </c>
      <c r="I51" s="624"/>
      <c r="J51" s="624"/>
      <c r="K51" s="624"/>
      <c r="L51" s="624"/>
      <c r="M51" s="624"/>
      <c r="N51" s="624"/>
      <c r="O51" s="624"/>
      <c r="P51" s="624"/>
      <c r="Q51" s="624"/>
      <c r="R51" s="624"/>
      <c r="S51" s="624"/>
      <c r="T51" s="247"/>
      <c r="U51" s="245"/>
      <c r="AC51" s="277" t="s">
        <v>719</v>
      </c>
    </row>
    <row r="52" spans="1:29" ht="11.5" customHeight="1">
      <c r="A52" s="628"/>
      <c r="B52" s="629"/>
      <c r="C52" s="629"/>
      <c r="D52" s="629"/>
      <c r="E52" s="629"/>
      <c r="F52" s="629"/>
      <c r="G52" s="629"/>
      <c r="H52" s="246"/>
      <c r="I52" s="625"/>
      <c r="J52" s="625"/>
      <c r="K52" s="625"/>
      <c r="L52" s="625"/>
      <c r="M52" s="625"/>
      <c r="N52" s="625"/>
      <c r="O52" s="625"/>
      <c r="P52" s="625"/>
      <c r="Q52" s="625"/>
      <c r="R52" s="625"/>
      <c r="S52" s="625"/>
      <c r="T52" s="248"/>
      <c r="U52" s="249"/>
      <c r="V52" s="250"/>
      <c r="W52" s="251"/>
      <c r="Z52" s="251"/>
      <c r="AC52" s="277" t="s">
        <v>1094</v>
      </c>
    </row>
    <row r="53" spans="1:29" ht="11.5" customHeight="1">
      <c r="A53" s="628"/>
      <c r="B53" s="629"/>
      <c r="C53" s="629"/>
      <c r="D53" s="629"/>
      <c r="E53" s="629"/>
      <c r="F53" s="629"/>
      <c r="G53" s="629"/>
      <c r="I53" s="608" t="s">
        <v>116</v>
      </c>
      <c r="J53" s="608"/>
      <c r="K53" s="608"/>
      <c r="L53" s="608"/>
      <c r="M53" s="608"/>
      <c r="N53" s="608"/>
      <c r="O53" s="608"/>
      <c r="P53" s="608"/>
      <c r="Q53" s="608"/>
      <c r="R53" s="608"/>
      <c r="S53" s="608"/>
      <c r="T53" s="609"/>
      <c r="U53" s="245"/>
      <c r="AC53" s="277" t="s">
        <v>1095</v>
      </c>
    </row>
    <row r="54" spans="1:29" ht="11.5" customHeight="1">
      <c r="A54" s="628"/>
      <c r="B54" s="629"/>
      <c r="C54" s="629"/>
      <c r="D54" s="629"/>
      <c r="E54" s="629"/>
      <c r="F54" s="629"/>
      <c r="G54" s="629"/>
      <c r="I54" s="608" t="s">
        <v>117</v>
      </c>
      <c r="J54" s="608"/>
      <c r="K54" s="608"/>
      <c r="L54" s="608"/>
      <c r="M54" s="608"/>
      <c r="N54" s="608"/>
      <c r="O54" s="608"/>
      <c r="P54" s="608"/>
      <c r="Q54" s="608"/>
      <c r="R54" s="608"/>
      <c r="S54" s="608"/>
      <c r="T54" s="609"/>
      <c r="U54" s="252"/>
      <c r="AC54" s="277" t="s">
        <v>1096</v>
      </c>
    </row>
    <row r="55" spans="1:29" ht="11.5" customHeight="1">
      <c r="A55" s="628"/>
      <c r="B55" s="629"/>
      <c r="C55" s="629"/>
      <c r="D55" s="629"/>
      <c r="E55" s="629"/>
      <c r="F55" s="629"/>
      <c r="G55" s="629"/>
      <c r="H55" s="246"/>
      <c r="T55" s="253"/>
      <c r="AC55" s="277" t="s">
        <v>1097</v>
      </c>
    </row>
    <row r="56" spans="1:29" ht="11.5" customHeight="1">
      <c r="A56" s="628"/>
      <c r="B56" s="629"/>
      <c r="C56" s="629"/>
      <c r="D56" s="629"/>
      <c r="E56" s="629"/>
      <c r="F56" s="629"/>
      <c r="G56" s="629"/>
      <c r="H56" s="246"/>
      <c r="J56" s="246"/>
      <c r="K56" s="246"/>
      <c r="L56" s="246"/>
      <c r="M56" s="246"/>
      <c r="N56" s="246"/>
      <c r="O56" s="246"/>
      <c r="P56" s="246"/>
      <c r="Q56" s="246"/>
      <c r="R56" s="246"/>
      <c r="S56" s="246"/>
      <c r="T56" s="254"/>
      <c r="AC56" s="277" t="s">
        <v>1098</v>
      </c>
    </row>
    <row r="57" spans="1:29" ht="4.5" customHeight="1" thickBot="1">
      <c r="A57" s="630"/>
      <c r="B57" s="631"/>
      <c r="C57" s="631"/>
      <c r="D57" s="631"/>
      <c r="E57" s="631"/>
      <c r="F57" s="631"/>
      <c r="G57" s="631"/>
      <c r="H57" s="255"/>
      <c r="I57" s="256"/>
      <c r="J57" s="255"/>
      <c r="K57" s="255"/>
      <c r="L57" s="255"/>
      <c r="M57" s="257"/>
      <c r="N57" s="255"/>
      <c r="O57" s="255"/>
      <c r="P57" s="255"/>
      <c r="Q57" s="256"/>
      <c r="R57" s="255"/>
      <c r="S57" s="255"/>
      <c r="T57" s="258"/>
    </row>
    <row r="58" spans="1:29" ht="4.5" customHeight="1" thickTop="1" thickBot="1">
      <c r="A58" s="233"/>
      <c r="B58" s="233"/>
      <c r="C58" s="233"/>
      <c r="D58" s="233"/>
      <c r="E58" s="233"/>
      <c r="F58" s="233"/>
      <c r="G58" s="233"/>
      <c r="H58" s="233"/>
      <c r="I58" s="233"/>
      <c r="J58" s="233"/>
      <c r="K58" s="233"/>
      <c r="L58" s="233"/>
      <c r="M58" s="233"/>
      <c r="N58" s="233"/>
      <c r="O58" s="233"/>
      <c r="P58" s="233"/>
      <c r="Q58" s="233"/>
      <c r="R58" s="233"/>
      <c r="S58" s="233"/>
      <c r="T58" s="233"/>
    </row>
    <row r="59" spans="1:29" ht="16" thickTop="1">
      <c r="A59" s="259" t="s">
        <v>118</v>
      </c>
      <c r="B59" s="260"/>
      <c r="C59" s="260"/>
      <c r="D59" s="260"/>
      <c r="E59" s="260"/>
      <c r="F59" s="260"/>
      <c r="G59" s="260"/>
      <c r="H59" s="260"/>
      <c r="I59" s="260"/>
      <c r="J59" s="260"/>
      <c r="K59" s="260"/>
      <c r="L59" s="260"/>
      <c r="M59" s="260"/>
      <c r="N59" s="260"/>
      <c r="O59" s="260"/>
      <c r="P59" s="260"/>
      <c r="Q59" s="260"/>
      <c r="R59" s="260"/>
      <c r="S59" s="260"/>
      <c r="T59" s="261"/>
      <c r="AC59" s="277" t="s">
        <v>1099</v>
      </c>
    </row>
    <row r="60" spans="1:29" ht="10.5" customHeight="1">
      <c r="A60" s="262" t="s">
        <v>119</v>
      </c>
      <c r="B60" s="233"/>
      <c r="C60" s="233"/>
      <c r="D60" s="233"/>
      <c r="E60" s="233"/>
      <c r="F60" s="233"/>
      <c r="G60" s="233"/>
      <c r="H60" s="233"/>
      <c r="I60" s="233"/>
      <c r="J60" s="233"/>
      <c r="K60" s="233"/>
      <c r="L60" s="233"/>
      <c r="M60" s="233"/>
      <c r="N60" s="233"/>
      <c r="O60" s="233"/>
      <c r="P60" s="233"/>
      <c r="Q60" s="233"/>
      <c r="R60" s="233"/>
      <c r="S60" s="233"/>
      <c r="T60" s="234"/>
      <c r="AC60" s="277" t="s">
        <v>1100</v>
      </c>
    </row>
    <row r="61" spans="1:29" ht="12" customHeight="1">
      <c r="A61" s="262" t="s">
        <v>120</v>
      </c>
      <c r="B61" s="233"/>
      <c r="C61" s="233"/>
      <c r="D61" s="233"/>
      <c r="E61" s="233"/>
      <c r="F61" s="233"/>
      <c r="G61" s="237" t="s">
        <v>115</v>
      </c>
      <c r="H61" s="237"/>
      <c r="I61" s="263"/>
      <c r="J61" s="263"/>
      <c r="K61" s="263"/>
      <c r="L61" s="263"/>
      <c r="M61" s="263"/>
      <c r="N61" s="263"/>
      <c r="O61" s="263"/>
      <c r="P61" s="263"/>
      <c r="Q61" s="263"/>
      <c r="R61" s="263"/>
      <c r="S61" s="263"/>
      <c r="T61" s="264"/>
      <c r="AC61" s="277" t="s">
        <v>1101</v>
      </c>
    </row>
    <row r="62" spans="1:29" ht="14.5">
      <c r="A62" s="265"/>
      <c r="B62" s="233"/>
      <c r="C62" s="233"/>
      <c r="D62" s="233"/>
      <c r="E62" s="233"/>
      <c r="F62" s="233"/>
      <c r="G62" s="233"/>
      <c r="H62" s="233"/>
      <c r="I62" s="233"/>
      <c r="J62" s="233"/>
      <c r="K62" s="233"/>
      <c r="L62" s="233"/>
      <c r="M62" s="233"/>
      <c r="N62" s="233"/>
      <c r="O62" s="233"/>
      <c r="P62" s="233"/>
      <c r="Q62" s="233"/>
      <c r="R62" s="233"/>
      <c r="S62" s="233"/>
      <c r="T62" s="234"/>
      <c r="AC62" s="277" t="s">
        <v>1102</v>
      </c>
    </row>
    <row r="63" spans="1:29" ht="14.5">
      <c r="A63" s="266" t="s">
        <v>121</v>
      </c>
      <c r="B63" s="233"/>
      <c r="C63" s="233"/>
      <c r="D63" s="263"/>
      <c r="E63" s="263"/>
      <c r="F63" s="233"/>
      <c r="G63" s="237" t="s">
        <v>115</v>
      </c>
      <c r="H63" s="237"/>
      <c r="I63" s="263"/>
      <c r="J63" s="263"/>
      <c r="K63" s="263"/>
      <c r="L63" s="263"/>
      <c r="M63" s="263"/>
      <c r="N63" s="263"/>
      <c r="O63" s="263"/>
      <c r="P63" s="263"/>
      <c r="Q63" s="263"/>
      <c r="R63" s="263"/>
      <c r="S63" s="263"/>
      <c r="T63" s="264"/>
      <c r="AC63" s="277" t="s">
        <v>1103</v>
      </c>
    </row>
    <row r="64" spans="1:29" ht="5.25" customHeight="1" thickBot="1">
      <c r="A64" s="267"/>
      <c r="B64" s="255"/>
      <c r="C64" s="255"/>
      <c r="D64" s="255"/>
      <c r="E64" s="255"/>
      <c r="F64" s="255"/>
      <c r="G64" s="255"/>
      <c r="H64" s="255"/>
      <c r="I64" s="255"/>
      <c r="J64" s="255"/>
      <c r="K64" s="255"/>
      <c r="L64" s="255"/>
      <c r="M64" s="255"/>
      <c r="N64" s="255"/>
      <c r="O64" s="255"/>
      <c r="P64" s="255"/>
      <c r="Q64" s="255"/>
      <c r="R64" s="255"/>
      <c r="S64" s="255"/>
      <c r="T64" s="258"/>
    </row>
    <row r="65" spans="29:29" ht="15" thickTop="1">
      <c r="AC65" s="277" t="s">
        <v>1104</v>
      </c>
    </row>
    <row r="66" spans="29:29" ht="14.5">
      <c r="AC66" s="277" t="s">
        <v>1105</v>
      </c>
    </row>
    <row r="67" spans="29:29" ht="14.5">
      <c r="AC67" s="277" t="s">
        <v>1106</v>
      </c>
    </row>
    <row r="68" spans="29:29" ht="14.5">
      <c r="AC68" s="277" t="s">
        <v>1107</v>
      </c>
    </row>
    <row r="69" spans="29:29" ht="14.5">
      <c r="AC69" s="277" t="s">
        <v>1108</v>
      </c>
    </row>
    <row r="70" spans="29:29" ht="14.5">
      <c r="AC70" s="277" t="s">
        <v>1109</v>
      </c>
    </row>
    <row r="71" spans="29:29" ht="14.5">
      <c r="AC71" s="277" t="s">
        <v>1110</v>
      </c>
    </row>
    <row r="72" spans="29:29" ht="14.5">
      <c r="AC72" s="277" t="s">
        <v>1111</v>
      </c>
    </row>
    <row r="73" spans="29:29" ht="14.5">
      <c r="AC73" s="277" t="s">
        <v>1112</v>
      </c>
    </row>
    <row r="74" spans="29:29" ht="14.5">
      <c r="AC74" s="277" t="s">
        <v>1113</v>
      </c>
    </row>
    <row r="75" spans="29:29" ht="14.5">
      <c r="AC75" s="277" t="s">
        <v>1114</v>
      </c>
    </row>
    <row r="76" spans="29:29" ht="14.5">
      <c r="AC76" s="277" t="s">
        <v>1115</v>
      </c>
    </row>
    <row r="78" spans="29:29" ht="14.5">
      <c r="AC78" s="275" t="s">
        <v>1116</v>
      </c>
    </row>
    <row r="79" spans="29:29" ht="14.5">
      <c r="AC79" s="277" t="s">
        <v>1117</v>
      </c>
    </row>
    <row r="80" spans="29:29" ht="14.5">
      <c r="AC80" s="277" t="s">
        <v>1118</v>
      </c>
    </row>
    <row r="81" spans="29:29" ht="14.5">
      <c r="AC81" s="277" t="s">
        <v>1119</v>
      </c>
    </row>
    <row r="82" spans="29:29" ht="14.5">
      <c r="AC82" s="277" t="s">
        <v>1082</v>
      </c>
    </row>
  </sheetData>
  <sheetProtection algorithmName="SHA-512" hashValue="a6AjYAYYtQjjqmcFW3ENZ3F7Xl1Qk/VL8yPoyLjletH15T0kY4RTH8NG63lHBAYyU2I0V+sUUjwClD30m4cOeg==" saltValue="HHZ72SsiXcC2sFpoZo9KZQ==" spinCount="100000" sheet="1" objects="1" scenarios="1" formatCells="0" autoFilter="0"/>
  <mergeCells count="59">
    <mergeCell ref="W13:AA15"/>
    <mergeCell ref="A11:E11"/>
    <mergeCell ref="F11:T11"/>
    <mergeCell ref="A4:T4"/>
    <mergeCell ref="A5:T5"/>
    <mergeCell ref="A6:T6"/>
    <mergeCell ref="A7:B7"/>
    <mergeCell ref="C7:E7"/>
    <mergeCell ref="A8:E8"/>
    <mergeCell ref="F8:J8"/>
    <mergeCell ref="L8:T8"/>
    <mergeCell ref="A9:E9"/>
    <mergeCell ref="F9:J9"/>
    <mergeCell ref="L9:T9"/>
    <mergeCell ref="A10:E10"/>
    <mergeCell ref="F10:T10"/>
    <mergeCell ref="A12:E12"/>
    <mergeCell ref="F12:T12"/>
    <mergeCell ref="A13:E13"/>
    <mergeCell ref="F13:T13"/>
    <mergeCell ref="A14:D14"/>
    <mergeCell ref="F14:M14"/>
    <mergeCell ref="N14:T14"/>
    <mergeCell ref="B36:S36"/>
    <mergeCell ref="B25:S25"/>
    <mergeCell ref="A15:D15"/>
    <mergeCell ref="F15:M15"/>
    <mergeCell ref="N15:T15"/>
    <mergeCell ref="B19:S19"/>
    <mergeCell ref="B20:S20"/>
    <mergeCell ref="B21:S21"/>
    <mergeCell ref="B22:S22"/>
    <mergeCell ref="B23:S23"/>
    <mergeCell ref="B24:S24"/>
    <mergeCell ref="A17:T18"/>
    <mergeCell ref="B31:S31"/>
    <mergeCell ref="B32:S32"/>
    <mergeCell ref="B33:S33"/>
    <mergeCell ref="B34:S34"/>
    <mergeCell ref="B35:S35"/>
    <mergeCell ref="B26:S26"/>
    <mergeCell ref="B27:S27"/>
    <mergeCell ref="B28:S28"/>
    <mergeCell ref="B29:S29"/>
    <mergeCell ref="B30:S30"/>
    <mergeCell ref="B37:S37"/>
    <mergeCell ref="I54:T54"/>
    <mergeCell ref="B38:S38"/>
    <mergeCell ref="A43:T43"/>
    <mergeCell ref="A44:T44"/>
    <mergeCell ref="A45:M45"/>
    <mergeCell ref="P45:S45"/>
    <mergeCell ref="A46:T46"/>
    <mergeCell ref="A47:T47"/>
    <mergeCell ref="I49:S51"/>
    <mergeCell ref="I52:S52"/>
    <mergeCell ref="I53:T53"/>
    <mergeCell ref="A48:G57"/>
    <mergeCell ref="D39:T42"/>
  </mergeCells>
  <printOptions horizontalCentered="1"/>
  <pageMargins left="0" right="0" top="0" bottom="0" header="0.5" footer="0.5"/>
  <pageSetup scale="86" orientation="portrait" horizontalDpi="2400" verticalDpi="2400" r:id="rId1"/>
  <headerFooter alignWithMargins="0">
    <oddFooter>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pellCheckIt">
                <anchor moveWithCells="1" sizeWithCells="1">
                  <from>
                    <xdr:col>21</xdr:col>
                    <xdr:colOff>0</xdr:colOff>
                    <xdr:row>2</xdr:row>
                    <xdr:rowOff>0</xdr:rowOff>
                  </from>
                  <to>
                    <xdr:col>22</xdr:col>
                    <xdr:colOff>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H95"/>
  <sheetViews>
    <sheetView workbookViewId="0">
      <selection activeCell="F4" sqref="F4"/>
    </sheetView>
  </sheetViews>
  <sheetFormatPr defaultRowHeight="15.5"/>
  <cols>
    <col min="1" max="1" width="28.1796875" style="479" bestFit="1" customWidth="1"/>
    <col min="2" max="2" width="13.7265625" style="480" customWidth="1"/>
    <col min="3" max="3" width="12.7265625" style="479" customWidth="1"/>
    <col min="4" max="4" width="14.26953125" style="481" customWidth="1"/>
    <col min="5" max="5" width="12.7265625" style="482" customWidth="1"/>
    <col min="6" max="6" width="17.1796875" style="481" customWidth="1"/>
    <col min="7" max="7" width="7.26953125" style="479" customWidth="1"/>
    <col min="8" max="8" width="9.54296875" style="507" bestFit="1" customWidth="1"/>
    <col min="9" max="254" width="9.1796875" style="479"/>
    <col min="255" max="255" width="5.26953125" style="479" customWidth="1"/>
    <col min="256" max="256" width="21.26953125" style="479" customWidth="1"/>
    <col min="257" max="257" width="13.7265625" style="479" customWidth="1"/>
    <col min="258" max="258" width="8.453125" style="479" customWidth="1"/>
    <col min="259" max="259" width="14.26953125" style="479" customWidth="1"/>
    <col min="260" max="260" width="19.453125" style="479" customWidth="1"/>
    <col min="261" max="261" width="0" style="479" hidden="1" customWidth="1"/>
    <col min="262" max="262" width="14.54296875" style="479" customWidth="1"/>
    <col min="263" max="263" width="15.81640625" style="479" customWidth="1"/>
    <col min="264" max="510" width="9.1796875" style="479"/>
    <col min="511" max="511" width="5.26953125" style="479" customWidth="1"/>
    <col min="512" max="512" width="21.26953125" style="479" customWidth="1"/>
    <col min="513" max="513" width="13.7265625" style="479" customWidth="1"/>
    <col min="514" max="514" width="8.453125" style="479" customWidth="1"/>
    <col min="515" max="515" width="14.26953125" style="479" customWidth="1"/>
    <col min="516" max="516" width="19.453125" style="479" customWidth="1"/>
    <col min="517" max="517" width="0" style="479" hidden="1" customWidth="1"/>
    <col min="518" max="518" width="14.54296875" style="479" customWidth="1"/>
    <col min="519" max="519" width="15.81640625" style="479" customWidth="1"/>
    <col min="520" max="766" width="9.1796875" style="479"/>
    <col min="767" max="767" width="5.26953125" style="479" customWidth="1"/>
    <col min="768" max="768" width="21.26953125" style="479" customWidth="1"/>
    <col min="769" max="769" width="13.7265625" style="479" customWidth="1"/>
    <col min="770" max="770" width="8.453125" style="479" customWidth="1"/>
    <col min="771" max="771" width="14.26953125" style="479" customWidth="1"/>
    <col min="772" max="772" width="19.453125" style="479" customWidth="1"/>
    <col min="773" max="773" width="0" style="479" hidden="1" customWidth="1"/>
    <col min="774" max="774" width="14.54296875" style="479" customWidth="1"/>
    <col min="775" max="775" width="15.81640625" style="479" customWidth="1"/>
    <col min="776" max="1022" width="9.1796875" style="479"/>
    <col min="1023" max="1023" width="5.26953125" style="479" customWidth="1"/>
    <col min="1024" max="1024" width="21.26953125" style="479" customWidth="1"/>
    <col min="1025" max="1025" width="13.7265625" style="479" customWidth="1"/>
    <col min="1026" max="1026" width="8.453125" style="479" customWidth="1"/>
    <col min="1027" max="1027" width="14.26953125" style="479" customWidth="1"/>
    <col min="1028" max="1028" width="19.453125" style="479" customWidth="1"/>
    <col min="1029" max="1029" width="0" style="479" hidden="1" customWidth="1"/>
    <col min="1030" max="1030" width="14.54296875" style="479" customWidth="1"/>
    <col min="1031" max="1031" width="15.81640625" style="479" customWidth="1"/>
    <col min="1032" max="1278" width="9.1796875" style="479"/>
    <col min="1279" max="1279" width="5.26953125" style="479" customWidth="1"/>
    <col min="1280" max="1280" width="21.26953125" style="479" customWidth="1"/>
    <col min="1281" max="1281" width="13.7265625" style="479" customWidth="1"/>
    <col min="1282" max="1282" width="8.453125" style="479" customWidth="1"/>
    <col min="1283" max="1283" width="14.26953125" style="479" customWidth="1"/>
    <col min="1284" max="1284" width="19.453125" style="479" customWidth="1"/>
    <col min="1285" max="1285" width="0" style="479" hidden="1" customWidth="1"/>
    <col min="1286" max="1286" width="14.54296875" style="479" customWidth="1"/>
    <col min="1287" max="1287" width="15.81640625" style="479" customWidth="1"/>
    <col min="1288" max="1534" width="9.1796875" style="479"/>
    <col min="1535" max="1535" width="5.26953125" style="479" customWidth="1"/>
    <col min="1536" max="1536" width="21.26953125" style="479" customWidth="1"/>
    <col min="1537" max="1537" width="13.7265625" style="479" customWidth="1"/>
    <col min="1538" max="1538" width="8.453125" style="479" customWidth="1"/>
    <col min="1539" max="1539" width="14.26953125" style="479" customWidth="1"/>
    <col min="1540" max="1540" width="19.453125" style="479" customWidth="1"/>
    <col min="1541" max="1541" width="0" style="479" hidden="1" customWidth="1"/>
    <col min="1542" max="1542" width="14.54296875" style="479" customWidth="1"/>
    <col min="1543" max="1543" width="15.81640625" style="479" customWidth="1"/>
    <col min="1544" max="1790" width="9.1796875" style="479"/>
    <col min="1791" max="1791" width="5.26953125" style="479" customWidth="1"/>
    <col min="1792" max="1792" width="21.26953125" style="479" customWidth="1"/>
    <col min="1793" max="1793" width="13.7265625" style="479" customWidth="1"/>
    <col min="1794" max="1794" width="8.453125" style="479" customWidth="1"/>
    <col min="1795" max="1795" width="14.26953125" style="479" customWidth="1"/>
    <col min="1796" max="1796" width="19.453125" style="479" customWidth="1"/>
    <col min="1797" max="1797" width="0" style="479" hidden="1" customWidth="1"/>
    <col min="1798" max="1798" width="14.54296875" style="479" customWidth="1"/>
    <col min="1799" max="1799" width="15.81640625" style="479" customWidth="1"/>
    <col min="1800" max="2046" width="9.1796875" style="479"/>
    <col min="2047" max="2047" width="5.26953125" style="479" customWidth="1"/>
    <col min="2048" max="2048" width="21.26953125" style="479" customWidth="1"/>
    <col min="2049" max="2049" width="13.7265625" style="479" customWidth="1"/>
    <col min="2050" max="2050" width="8.453125" style="479" customWidth="1"/>
    <col min="2051" max="2051" width="14.26953125" style="479" customWidth="1"/>
    <col min="2052" max="2052" width="19.453125" style="479" customWidth="1"/>
    <col min="2053" max="2053" width="0" style="479" hidden="1" customWidth="1"/>
    <col min="2054" max="2054" width="14.54296875" style="479" customWidth="1"/>
    <col min="2055" max="2055" width="15.81640625" style="479" customWidth="1"/>
    <col min="2056" max="2302" width="9.1796875" style="479"/>
    <col min="2303" max="2303" width="5.26953125" style="479" customWidth="1"/>
    <col min="2304" max="2304" width="21.26953125" style="479" customWidth="1"/>
    <col min="2305" max="2305" width="13.7265625" style="479" customWidth="1"/>
    <col min="2306" max="2306" width="8.453125" style="479" customWidth="1"/>
    <col min="2307" max="2307" width="14.26953125" style="479" customWidth="1"/>
    <col min="2308" max="2308" width="19.453125" style="479" customWidth="1"/>
    <col min="2309" max="2309" width="0" style="479" hidden="1" customWidth="1"/>
    <col min="2310" max="2310" width="14.54296875" style="479" customWidth="1"/>
    <col min="2311" max="2311" width="15.81640625" style="479" customWidth="1"/>
    <col min="2312" max="2558" width="9.1796875" style="479"/>
    <col min="2559" max="2559" width="5.26953125" style="479" customWidth="1"/>
    <col min="2560" max="2560" width="21.26953125" style="479" customWidth="1"/>
    <col min="2561" max="2561" width="13.7265625" style="479" customWidth="1"/>
    <col min="2562" max="2562" width="8.453125" style="479" customWidth="1"/>
    <col min="2563" max="2563" width="14.26953125" style="479" customWidth="1"/>
    <col min="2564" max="2564" width="19.453125" style="479" customWidth="1"/>
    <col min="2565" max="2565" width="0" style="479" hidden="1" customWidth="1"/>
    <col min="2566" max="2566" width="14.54296875" style="479" customWidth="1"/>
    <col min="2567" max="2567" width="15.81640625" style="479" customWidth="1"/>
    <col min="2568" max="2814" width="9.1796875" style="479"/>
    <col min="2815" max="2815" width="5.26953125" style="479" customWidth="1"/>
    <col min="2816" max="2816" width="21.26953125" style="479" customWidth="1"/>
    <col min="2817" max="2817" width="13.7265625" style="479" customWidth="1"/>
    <col min="2818" max="2818" width="8.453125" style="479" customWidth="1"/>
    <col min="2819" max="2819" width="14.26953125" style="479" customWidth="1"/>
    <col min="2820" max="2820" width="19.453125" style="479" customWidth="1"/>
    <col min="2821" max="2821" width="0" style="479" hidden="1" customWidth="1"/>
    <col min="2822" max="2822" width="14.54296875" style="479" customWidth="1"/>
    <col min="2823" max="2823" width="15.81640625" style="479" customWidth="1"/>
    <col min="2824" max="3070" width="9.1796875" style="479"/>
    <col min="3071" max="3071" width="5.26953125" style="479" customWidth="1"/>
    <col min="3072" max="3072" width="21.26953125" style="479" customWidth="1"/>
    <col min="3073" max="3073" width="13.7265625" style="479" customWidth="1"/>
    <col min="3074" max="3074" width="8.453125" style="479" customWidth="1"/>
    <col min="3075" max="3075" width="14.26953125" style="479" customWidth="1"/>
    <col min="3076" max="3076" width="19.453125" style="479" customWidth="1"/>
    <col min="3077" max="3077" width="0" style="479" hidden="1" customWidth="1"/>
    <col min="3078" max="3078" width="14.54296875" style="479" customWidth="1"/>
    <col min="3079" max="3079" width="15.81640625" style="479" customWidth="1"/>
    <col min="3080" max="3326" width="9.1796875" style="479"/>
    <col min="3327" max="3327" width="5.26953125" style="479" customWidth="1"/>
    <col min="3328" max="3328" width="21.26953125" style="479" customWidth="1"/>
    <col min="3329" max="3329" width="13.7265625" style="479" customWidth="1"/>
    <col min="3330" max="3330" width="8.453125" style="479" customWidth="1"/>
    <col min="3331" max="3331" width="14.26953125" style="479" customWidth="1"/>
    <col min="3332" max="3332" width="19.453125" style="479" customWidth="1"/>
    <col min="3333" max="3333" width="0" style="479" hidden="1" customWidth="1"/>
    <col min="3334" max="3334" width="14.54296875" style="479" customWidth="1"/>
    <col min="3335" max="3335" width="15.81640625" style="479" customWidth="1"/>
    <col min="3336" max="3582" width="9.1796875" style="479"/>
    <col min="3583" max="3583" width="5.26953125" style="479" customWidth="1"/>
    <col min="3584" max="3584" width="21.26953125" style="479" customWidth="1"/>
    <col min="3585" max="3585" width="13.7265625" style="479" customWidth="1"/>
    <col min="3586" max="3586" width="8.453125" style="479" customWidth="1"/>
    <col min="3587" max="3587" width="14.26953125" style="479" customWidth="1"/>
    <col min="3588" max="3588" width="19.453125" style="479" customWidth="1"/>
    <col min="3589" max="3589" width="0" style="479" hidden="1" customWidth="1"/>
    <col min="3590" max="3590" width="14.54296875" style="479" customWidth="1"/>
    <col min="3591" max="3591" width="15.81640625" style="479" customWidth="1"/>
    <col min="3592" max="3838" width="9.1796875" style="479"/>
    <col min="3839" max="3839" width="5.26953125" style="479" customWidth="1"/>
    <col min="3840" max="3840" width="21.26953125" style="479" customWidth="1"/>
    <col min="3841" max="3841" width="13.7265625" style="479" customWidth="1"/>
    <col min="3842" max="3842" width="8.453125" style="479" customWidth="1"/>
    <col min="3843" max="3843" width="14.26953125" style="479" customWidth="1"/>
    <col min="3844" max="3844" width="19.453125" style="479" customWidth="1"/>
    <col min="3845" max="3845" width="0" style="479" hidden="1" customWidth="1"/>
    <col min="3846" max="3846" width="14.54296875" style="479" customWidth="1"/>
    <col min="3847" max="3847" width="15.81640625" style="479" customWidth="1"/>
    <col min="3848" max="4094" width="9.1796875" style="479"/>
    <col min="4095" max="4095" width="5.26953125" style="479" customWidth="1"/>
    <col min="4096" max="4096" width="21.26953125" style="479" customWidth="1"/>
    <col min="4097" max="4097" width="13.7265625" style="479" customWidth="1"/>
    <col min="4098" max="4098" width="8.453125" style="479" customWidth="1"/>
    <col min="4099" max="4099" width="14.26953125" style="479" customWidth="1"/>
    <col min="4100" max="4100" width="19.453125" style="479" customWidth="1"/>
    <col min="4101" max="4101" width="0" style="479" hidden="1" customWidth="1"/>
    <col min="4102" max="4102" width="14.54296875" style="479" customWidth="1"/>
    <col min="4103" max="4103" width="15.81640625" style="479" customWidth="1"/>
    <col min="4104" max="4350" width="9.1796875" style="479"/>
    <col min="4351" max="4351" width="5.26953125" style="479" customWidth="1"/>
    <col min="4352" max="4352" width="21.26953125" style="479" customWidth="1"/>
    <col min="4353" max="4353" width="13.7265625" style="479" customWidth="1"/>
    <col min="4354" max="4354" width="8.453125" style="479" customWidth="1"/>
    <col min="4355" max="4355" width="14.26953125" style="479" customWidth="1"/>
    <col min="4356" max="4356" width="19.453125" style="479" customWidth="1"/>
    <col min="4357" max="4357" width="0" style="479" hidden="1" customWidth="1"/>
    <col min="4358" max="4358" width="14.54296875" style="479" customWidth="1"/>
    <col min="4359" max="4359" width="15.81640625" style="479" customWidth="1"/>
    <col min="4360" max="4606" width="9.1796875" style="479"/>
    <col min="4607" max="4607" width="5.26953125" style="479" customWidth="1"/>
    <col min="4608" max="4608" width="21.26953125" style="479" customWidth="1"/>
    <col min="4609" max="4609" width="13.7265625" style="479" customWidth="1"/>
    <col min="4610" max="4610" width="8.453125" style="479" customWidth="1"/>
    <col min="4611" max="4611" width="14.26953125" style="479" customWidth="1"/>
    <col min="4612" max="4612" width="19.453125" style="479" customWidth="1"/>
    <col min="4613" max="4613" width="0" style="479" hidden="1" customWidth="1"/>
    <col min="4614" max="4614" width="14.54296875" style="479" customWidth="1"/>
    <col min="4615" max="4615" width="15.81640625" style="479" customWidth="1"/>
    <col min="4616" max="4862" width="9.1796875" style="479"/>
    <col min="4863" max="4863" width="5.26953125" style="479" customWidth="1"/>
    <col min="4864" max="4864" width="21.26953125" style="479" customWidth="1"/>
    <col min="4865" max="4865" width="13.7265625" style="479" customWidth="1"/>
    <col min="4866" max="4866" width="8.453125" style="479" customWidth="1"/>
    <col min="4867" max="4867" width="14.26953125" style="479" customWidth="1"/>
    <col min="4868" max="4868" width="19.453125" style="479" customWidth="1"/>
    <col min="4869" max="4869" width="0" style="479" hidden="1" customWidth="1"/>
    <col min="4870" max="4870" width="14.54296875" style="479" customWidth="1"/>
    <col min="4871" max="4871" width="15.81640625" style="479" customWidth="1"/>
    <col min="4872" max="5118" width="9.1796875" style="479"/>
    <col min="5119" max="5119" width="5.26953125" style="479" customWidth="1"/>
    <col min="5120" max="5120" width="21.26953125" style="479" customWidth="1"/>
    <col min="5121" max="5121" width="13.7265625" style="479" customWidth="1"/>
    <col min="5122" max="5122" width="8.453125" style="479" customWidth="1"/>
    <col min="5123" max="5123" width="14.26953125" style="479" customWidth="1"/>
    <col min="5124" max="5124" width="19.453125" style="479" customWidth="1"/>
    <col min="5125" max="5125" width="0" style="479" hidden="1" customWidth="1"/>
    <col min="5126" max="5126" width="14.54296875" style="479" customWidth="1"/>
    <col min="5127" max="5127" width="15.81640625" style="479" customWidth="1"/>
    <col min="5128" max="5374" width="9.1796875" style="479"/>
    <col min="5375" max="5375" width="5.26953125" style="479" customWidth="1"/>
    <col min="5376" max="5376" width="21.26953125" style="479" customWidth="1"/>
    <col min="5377" max="5377" width="13.7265625" style="479" customWidth="1"/>
    <col min="5378" max="5378" width="8.453125" style="479" customWidth="1"/>
    <col min="5379" max="5379" width="14.26953125" style="479" customWidth="1"/>
    <col min="5380" max="5380" width="19.453125" style="479" customWidth="1"/>
    <col min="5381" max="5381" width="0" style="479" hidden="1" customWidth="1"/>
    <col min="5382" max="5382" width="14.54296875" style="479" customWidth="1"/>
    <col min="5383" max="5383" width="15.81640625" style="479" customWidth="1"/>
    <col min="5384" max="5630" width="9.1796875" style="479"/>
    <col min="5631" max="5631" width="5.26953125" style="479" customWidth="1"/>
    <col min="5632" max="5632" width="21.26953125" style="479" customWidth="1"/>
    <col min="5633" max="5633" width="13.7265625" style="479" customWidth="1"/>
    <col min="5634" max="5634" width="8.453125" style="479" customWidth="1"/>
    <col min="5635" max="5635" width="14.26953125" style="479" customWidth="1"/>
    <col min="5636" max="5636" width="19.453125" style="479" customWidth="1"/>
    <col min="5637" max="5637" width="0" style="479" hidden="1" customWidth="1"/>
    <col min="5638" max="5638" width="14.54296875" style="479" customWidth="1"/>
    <col min="5639" max="5639" width="15.81640625" style="479" customWidth="1"/>
    <col min="5640" max="5886" width="9.1796875" style="479"/>
    <col min="5887" max="5887" width="5.26953125" style="479" customWidth="1"/>
    <col min="5888" max="5888" width="21.26953125" style="479" customWidth="1"/>
    <col min="5889" max="5889" width="13.7265625" style="479" customWidth="1"/>
    <col min="5890" max="5890" width="8.453125" style="479" customWidth="1"/>
    <col min="5891" max="5891" width="14.26953125" style="479" customWidth="1"/>
    <col min="5892" max="5892" width="19.453125" style="479" customWidth="1"/>
    <col min="5893" max="5893" width="0" style="479" hidden="1" customWidth="1"/>
    <col min="5894" max="5894" width="14.54296875" style="479" customWidth="1"/>
    <col min="5895" max="5895" width="15.81640625" style="479" customWidth="1"/>
    <col min="5896" max="6142" width="9.1796875" style="479"/>
    <col min="6143" max="6143" width="5.26953125" style="479" customWidth="1"/>
    <col min="6144" max="6144" width="21.26953125" style="479" customWidth="1"/>
    <col min="6145" max="6145" width="13.7265625" style="479" customWidth="1"/>
    <col min="6146" max="6146" width="8.453125" style="479" customWidth="1"/>
    <col min="6147" max="6147" width="14.26953125" style="479" customWidth="1"/>
    <col min="6148" max="6148" width="19.453125" style="479" customWidth="1"/>
    <col min="6149" max="6149" width="0" style="479" hidden="1" customWidth="1"/>
    <col min="6150" max="6150" width="14.54296875" style="479" customWidth="1"/>
    <col min="6151" max="6151" width="15.81640625" style="479" customWidth="1"/>
    <col min="6152" max="6398" width="9.1796875" style="479"/>
    <col min="6399" max="6399" width="5.26953125" style="479" customWidth="1"/>
    <col min="6400" max="6400" width="21.26953125" style="479" customWidth="1"/>
    <col min="6401" max="6401" width="13.7265625" style="479" customWidth="1"/>
    <col min="6402" max="6402" width="8.453125" style="479" customWidth="1"/>
    <col min="6403" max="6403" width="14.26953125" style="479" customWidth="1"/>
    <col min="6404" max="6404" width="19.453125" style="479" customWidth="1"/>
    <col min="6405" max="6405" width="0" style="479" hidden="1" customWidth="1"/>
    <col min="6406" max="6406" width="14.54296875" style="479" customWidth="1"/>
    <col min="6407" max="6407" width="15.81640625" style="479" customWidth="1"/>
    <col min="6408" max="6654" width="9.1796875" style="479"/>
    <col min="6655" max="6655" width="5.26953125" style="479" customWidth="1"/>
    <col min="6656" max="6656" width="21.26953125" style="479" customWidth="1"/>
    <col min="6657" max="6657" width="13.7265625" style="479" customWidth="1"/>
    <col min="6658" max="6658" width="8.453125" style="479" customWidth="1"/>
    <col min="6659" max="6659" width="14.26953125" style="479" customWidth="1"/>
    <col min="6660" max="6660" width="19.453125" style="479" customWidth="1"/>
    <col min="6661" max="6661" width="0" style="479" hidden="1" customWidth="1"/>
    <col min="6662" max="6662" width="14.54296875" style="479" customWidth="1"/>
    <col min="6663" max="6663" width="15.81640625" style="479" customWidth="1"/>
    <col min="6664" max="6910" width="9.1796875" style="479"/>
    <col min="6911" max="6911" width="5.26953125" style="479" customWidth="1"/>
    <col min="6912" max="6912" width="21.26953125" style="479" customWidth="1"/>
    <col min="6913" max="6913" width="13.7265625" style="479" customWidth="1"/>
    <col min="6914" max="6914" width="8.453125" style="479" customWidth="1"/>
    <col min="6915" max="6915" width="14.26953125" style="479" customWidth="1"/>
    <col min="6916" max="6916" width="19.453125" style="479" customWidth="1"/>
    <col min="6917" max="6917" width="0" style="479" hidden="1" customWidth="1"/>
    <col min="6918" max="6918" width="14.54296875" style="479" customWidth="1"/>
    <col min="6919" max="6919" width="15.81640625" style="479" customWidth="1"/>
    <col min="6920" max="7166" width="9.1796875" style="479"/>
    <col min="7167" max="7167" width="5.26953125" style="479" customWidth="1"/>
    <col min="7168" max="7168" width="21.26953125" style="479" customWidth="1"/>
    <col min="7169" max="7169" width="13.7265625" style="479" customWidth="1"/>
    <col min="7170" max="7170" width="8.453125" style="479" customWidth="1"/>
    <col min="7171" max="7171" width="14.26953125" style="479" customWidth="1"/>
    <col min="7172" max="7172" width="19.453125" style="479" customWidth="1"/>
    <col min="7173" max="7173" width="0" style="479" hidden="1" customWidth="1"/>
    <col min="7174" max="7174" width="14.54296875" style="479" customWidth="1"/>
    <col min="7175" max="7175" width="15.81640625" style="479" customWidth="1"/>
    <col min="7176" max="7422" width="9.1796875" style="479"/>
    <col min="7423" max="7423" width="5.26953125" style="479" customWidth="1"/>
    <col min="7424" max="7424" width="21.26953125" style="479" customWidth="1"/>
    <col min="7425" max="7425" width="13.7265625" style="479" customWidth="1"/>
    <col min="7426" max="7426" width="8.453125" style="479" customWidth="1"/>
    <col min="7427" max="7427" width="14.26953125" style="479" customWidth="1"/>
    <col min="7428" max="7428" width="19.453125" style="479" customWidth="1"/>
    <col min="7429" max="7429" width="0" style="479" hidden="1" customWidth="1"/>
    <col min="7430" max="7430" width="14.54296875" style="479" customWidth="1"/>
    <col min="7431" max="7431" width="15.81640625" style="479" customWidth="1"/>
    <col min="7432" max="7678" width="9.1796875" style="479"/>
    <col min="7679" max="7679" width="5.26953125" style="479" customWidth="1"/>
    <col min="7680" max="7680" width="21.26953125" style="479" customWidth="1"/>
    <col min="7681" max="7681" width="13.7265625" style="479" customWidth="1"/>
    <col min="7682" max="7682" width="8.453125" style="479" customWidth="1"/>
    <col min="7683" max="7683" width="14.26953125" style="479" customWidth="1"/>
    <col min="7684" max="7684" width="19.453125" style="479" customWidth="1"/>
    <col min="7685" max="7685" width="0" style="479" hidden="1" customWidth="1"/>
    <col min="7686" max="7686" width="14.54296875" style="479" customWidth="1"/>
    <col min="7687" max="7687" width="15.81640625" style="479" customWidth="1"/>
    <col min="7688" max="7934" width="9.1796875" style="479"/>
    <col min="7935" max="7935" width="5.26953125" style="479" customWidth="1"/>
    <col min="7936" max="7936" width="21.26953125" style="479" customWidth="1"/>
    <col min="7937" max="7937" width="13.7265625" style="479" customWidth="1"/>
    <col min="7938" max="7938" width="8.453125" style="479" customWidth="1"/>
    <col min="7939" max="7939" width="14.26953125" style="479" customWidth="1"/>
    <col min="7940" max="7940" width="19.453125" style="479" customWidth="1"/>
    <col min="7941" max="7941" width="0" style="479" hidden="1" customWidth="1"/>
    <col min="7942" max="7942" width="14.54296875" style="479" customWidth="1"/>
    <col min="7943" max="7943" width="15.81640625" style="479" customWidth="1"/>
    <col min="7944" max="8190" width="9.1796875" style="479"/>
    <col min="8191" max="8191" width="5.26953125" style="479" customWidth="1"/>
    <col min="8192" max="8192" width="21.26953125" style="479" customWidth="1"/>
    <col min="8193" max="8193" width="13.7265625" style="479" customWidth="1"/>
    <col min="8194" max="8194" width="8.453125" style="479" customWidth="1"/>
    <col min="8195" max="8195" width="14.26953125" style="479" customWidth="1"/>
    <col min="8196" max="8196" width="19.453125" style="479" customWidth="1"/>
    <col min="8197" max="8197" width="0" style="479" hidden="1" customWidth="1"/>
    <col min="8198" max="8198" width="14.54296875" style="479" customWidth="1"/>
    <col min="8199" max="8199" width="15.81640625" style="479" customWidth="1"/>
    <col min="8200" max="8446" width="9.1796875" style="479"/>
    <col min="8447" max="8447" width="5.26953125" style="479" customWidth="1"/>
    <col min="8448" max="8448" width="21.26953125" style="479" customWidth="1"/>
    <col min="8449" max="8449" width="13.7265625" style="479" customWidth="1"/>
    <col min="8450" max="8450" width="8.453125" style="479" customWidth="1"/>
    <col min="8451" max="8451" width="14.26953125" style="479" customWidth="1"/>
    <col min="8452" max="8452" width="19.453125" style="479" customWidth="1"/>
    <col min="8453" max="8453" width="0" style="479" hidden="1" customWidth="1"/>
    <col min="8454" max="8454" width="14.54296875" style="479" customWidth="1"/>
    <col min="8455" max="8455" width="15.81640625" style="479" customWidth="1"/>
    <col min="8456" max="8702" width="9.1796875" style="479"/>
    <col min="8703" max="8703" width="5.26953125" style="479" customWidth="1"/>
    <col min="8704" max="8704" width="21.26953125" style="479" customWidth="1"/>
    <col min="8705" max="8705" width="13.7265625" style="479" customWidth="1"/>
    <col min="8706" max="8706" width="8.453125" style="479" customWidth="1"/>
    <col min="8707" max="8707" width="14.26953125" style="479" customWidth="1"/>
    <col min="8708" max="8708" width="19.453125" style="479" customWidth="1"/>
    <col min="8709" max="8709" width="0" style="479" hidden="1" customWidth="1"/>
    <col min="8710" max="8710" width="14.54296875" style="479" customWidth="1"/>
    <col min="8711" max="8711" width="15.81640625" style="479" customWidth="1"/>
    <col min="8712" max="8958" width="9.1796875" style="479"/>
    <col min="8959" max="8959" width="5.26953125" style="479" customWidth="1"/>
    <col min="8960" max="8960" width="21.26953125" style="479" customWidth="1"/>
    <col min="8961" max="8961" width="13.7265625" style="479" customWidth="1"/>
    <col min="8962" max="8962" width="8.453125" style="479" customWidth="1"/>
    <col min="8963" max="8963" width="14.26953125" style="479" customWidth="1"/>
    <col min="8964" max="8964" width="19.453125" style="479" customWidth="1"/>
    <col min="8965" max="8965" width="0" style="479" hidden="1" customWidth="1"/>
    <col min="8966" max="8966" width="14.54296875" style="479" customWidth="1"/>
    <col min="8967" max="8967" width="15.81640625" style="479" customWidth="1"/>
    <col min="8968" max="9214" width="9.1796875" style="479"/>
    <col min="9215" max="9215" width="5.26953125" style="479" customWidth="1"/>
    <col min="9216" max="9216" width="21.26953125" style="479" customWidth="1"/>
    <col min="9217" max="9217" width="13.7265625" style="479" customWidth="1"/>
    <col min="9218" max="9218" width="8.453125" style="479" customWidth="1"/>
    <col min="9219" max="9219" width="14.26953125" style="479" customWidth="1"/>
    <col min="9220" max="9220" width="19.453125" style="479" customWidth="1"/>
    <col min="9221" max="9221" width="0" style="479" hidden="1" customWidth="1"/>
    <col min="9222" max="9222" width="14.54296875" style="479" customWidth="1"/>
    <col min="9223" max="9223" width="15.81640625" style="479" customWidth="1"/>
    <col min="9224" max="9470" width="9.1796875" style="479"/>
    <col min="9471" max="9471" width="5.26953125" style="479" customWidth="1"/>
    <col min="9472" max="9472" width="21.26953125" style="479" customWidth="1"/>
    <col min="9473" max="9473" width="13.7265625" style="479" customWidth="1"/>
    <col min="9474" max="9474" width="8.453125" style="479" customWidth="1"/>
    <col min="9475" max="9475" width="14.26953125" style="479" customWidth="1"/>
    <col min="9476" max="9476" width="19.453125" style="479" customWidth="1"/>
    <col min="9477" max="9477" width="0" style="479" hidden="1" customWidth="1"/>
    <col min="9478" max="9478" width="14.54296875" style="479" customWidth="1"/>
    <col min="9479" max="9479" width="15.81640625" style="479" customWidth="1"/>
    <col min="9480" max="9726" width="9.1796875" style="479"/>
    <col min="9727" max="9727" width="5.26953125" style="479" customWidth="1"/>
    <col min="9728" max="9728" width="21.26953125" style="479" customWidth="1"/>
    <col min="9729" max="9729" width="13.7265625" style="479" customWidth="1"/>
    <col min="9730" max="9730" width="8.453125" style="479" customWidth="1"/>
    <col min="9731" max="9731" width="14.26953125" style="479" customWidth="1"/>
    <col min="9732" max="9732" width="19.453125" style="479" customWidth="1"/>
    <col min="9733" max="9733" width="0" style="479" hidden="1" customWidth="1"/>
    <col min="9734" max="9734" width="14.54296875" style="479" customWidth="1"/>
    <col min="9735" max="9735" width="15.81640625" style="479" customWidth="1"/>
    <col min="9736" max="9982" width="9.1796875" style="479"/>
    <col min="9983" max="9983" width="5.26953125" style="479" customWidth="1"/>
    <col min="9984" max="9984" width="21.26953125" style="479" customWidth="1"/>
    <col min="9985" max="9985" width="13.7265625" style="479" customWidth="1"/>
    <col min="9986" max="9986" width="8.453125" style="479" customWidth="1"/>
    <col min="9987" max="9987" width="14.26953125" style="479" customWidth="1"/>
    <col min="9988" max="9988" width="19.453125" style="479" customWidth="1"/>
    <col min="9989" max="9989" width="0" style="479" hidden="1" customWidth="1"/>
    <col min="9990" max="9990" width="14.54296875" style="479" customWidth="1"/>
    <col min="9991" max="9991" width="15.81640625" style="479" customWidth="1"/>
    <col min="9992" max="10238" width="9.1796875" style="479"/>
    <col min="10239" max="10239" width="5.26953125" style="479" customWidth="1"/>
    <col min="10240" max="10240" width="21.26953125" style="479" customWidth="1"/>
    <col min="10241" max="10241" width="13.7265625" style="479" customWidth="1"/>
    <col min="10242" max="10242" width="8.453125" style="479" customWidth="1"/>
    <col min="10243" max="10243" width="14.26953125" style="479" customWidth="1"/>
    <col min="10244" max="10244" width="19.453125" style="479" customWidth="1"/>
    <col min="10245" max="10245" width="0" style="479" hidden="1" customWidth="1"/>
    <col min="10246" max="10246" width="14.54296875" style="479" customWidth="1"/>
    <col min="10247" max="10247" width="15.81640625" style="479" customWidth="1"/>
    <col min="10248" max="10494" width="9.1796875" style="479"/>
    <col min="10495" max="10495" width="5.26953125" style="479" customWidth="1"/>
    <col min="10496" max="10496" width="21.26953125" style="479" customWidth="1"/>
    <col min="10497" max="10497" width="13.7265625" style="479" customWidth="1"/>
    <col min="10498" max="10498" width="8.453125" style="479" customWidth="1"/>
    <col min="10499" max="10499" width="14.26953125" style="479" customWidth="1"/>
    <col min="10500" max="10500" width="19.453125" style="479" customWidth="1"/>
    <col min="10501" max="10501" width="0" style="479" hidden="1" customWidth="1"/>
    <col min="10502" max="10502" width="14.54296875" style="479" customWidth="1"/>
    <col min="10503" max="10503" width="15.81640625" style="479" customWidth="1"/>
    <col min="10504" max="10750" width="9.1796875" style="479"/>
    <col min="10751" max="10751" width="5.26953125" style="479" customWidth="1"/>
    <col min="10752" max="10752" width="21.26953125" style="479" customWidth="1"/>
    <col min="10753" max="10753" width="13.7265625" style="479" customWidth="1"/>
    <col min="10754" max="10754" width="8.453125" style="479" customWidth="1"/>
    <col min="10755" max="10755" width="14.26953125" style="479" customWidth="1"/>
    <col min="10756" max="10756" width="19.453125" style="479" customWidth="1"/>
    <col min="10757" max="10757" width="0" style="479" hidden="1" customWidth="1"/>
    <col min="10758" max="10758" width="14.54296875" style="479" customWidth="1"/>
    <col min="10759" max="10759" width="15.81640625" style="479" customWidth="1"/>
    <col min="10760" max="11006" width="9.1796875" style="479"/>
    <col min="11007" max="11007" width="5.26953125" style="479" customWidth="1"/>
    <col min="11008" max="11008" width="21.26953125" style="479" customWidth="1"/>
    <col min="11009" max="11009" width="13.7265625" style="479" customWidth="1"/>
    <col min="11010" max="11010" width="8.453125" style="479" customWidth="1"/>
    <col min="11011" max="11011" width="14.26953125" style="479" customWidth="1"/>
    <col min="11012" max="11012" width="19.453125" style="479" customWidth="1"/>
    <col min="11013" max="11013" width="0" style="479" hidden="1" customWidth="1"/>
    <col min="11014" max="11014" width="14.54296875" style="479" customWidth="1"/>
    <col min="11015" max="11015" width="15.81640625" style="479" customWidth="1"/>
    <col min="11016" max="11262" width="9.1796875" style="479"/>
    <col min="11263" max="11263" width="5.26953125" style="479" customWidth="1"/>
    <col min="11264" max="11264" width="21.26953125" style="479" customWidth="1"/>
    <col min="11265" max="11265" width="13.7265625" style="479" customWidth="1"/>
    <col min="11266" max="11266" width="8.453125" style="479" customWidth="1"/>
    <col min="11267" max="11267" width="14.26953125" style="479" customWidth="1"/>
    <col min="11268" max="11268" width="19.453125" style="479" customWidth="1"/>
    <col min="11269" max="11269" width="0" style="479" hidden="1" customWidth="1"/>
    <col min="11270" max="11270" width="14.54296875" style="479" customWidth="1"/>
    <col min="11271" max="11271" width="15.81640625" style="479" customWidth="1"/>
    <col min="11272" max="11518" width="9.1796875" style="479"/>
    <col min="11519" max="11519" width="5.26953125" style="479" customWidth="1"/>
    <col min="11520" max="11520" width="21.26953125" style="479" customWidth="1"/>
    <col min="11521" max="11521" width="13.7265625" style="479" customWidth="1"/>
    <col min="11522" max="11522" width="8.453125" style="479" customWidth="1"/>
    <col min="11523" max="11523" width="14.26953125" style="479" customWidth="1"/>
    <col min="11524" max="11524" width="19.453125" style="479" customWidth="1"/>
    <col min="11525" max="11525" width="0" style="479" hidden="1" customWidth="1"/>
    <col min="11526" max="11526" width="14.54296875" style="479" customWidth="1"/>
    <col min="11527" max="11527" width="15.81640625" style="479" customWidth="1"/>
    <col min="11528" max="11774" width="9.1796875" style="479"/>
    <col min="11775" max="11775" width="5.26953125" style="479" customWidth="1"/>
    <col min="11776" max="11776" width="21.26953125" style="479" customWidth="1"/>
    <col min="11777" max="11777" width="13.7265625" style="479" customWidth="1"/>
    <col min="11778" max="11778" width="8.453125" style="479" customWidth="1"/>
    <col min="11779" max="11779" width="14.26953125" style="479" customWidth="1"/>
    <col min="11780" max="11780" width="19.453125" style="479" customWidth="1"/>
    <col min="11781" max="11781" width="0" style="479" hidden="1" customWidth="1"/>
    <col min="11782" max="11782" width="14.54296875" style="479" customWidth="1"/>
    <col min="11783" max="11783" width="15.81640625" style="479" customWidth="1"/>
    <col min="11784" max="12030" width="9.1796875" style="479"/>
    <col min="12031" max="12031" width="5.26953125" style="479" customWidth="1"/>
    <col min="12032" max="12032" width="21.26953125" style="479" customWidth="1"/>
    <col min="12033" max="12033" width="13.7265625" style="479" customWidth="1"/>
    <col min="12034" max="12034" width="8.453125" style="479" customWidth="1"/>
    <col min="12035" max="12035" width="14.26953125" style="479" customWidth="1"/>
    <col min="12036" max="12036" width="19.453125" style="479" customWidth="1"/>
    <col min="12037" max="12037" width="0" style="479" hidden="1" customWidth="1"/>
    <col min="12038" max="12038" width="14.54296875" style="479" customWidth="1"/>
    <col min="12039" max="12039" width="15.81640625" style="479" customWidth="1"/>
    <col min="12040" max="12286" width="9.1796875" style="479"/>
    <col min="12287" max="12287" width="5.26953125" style="479" customWidth="1"/>
    <col min="12288" max="12288" width="21.26953125" style="479" customWidth="1"/>
    <col min="12289" max="12289" width="13.7265625" style="479" customWidth="1"/>
    <col min="12290" max="12290" width="8.453125" style="479" customWidth="1"/>
    <col min="12291" max="12291" width="14.26953125" style="479" customWidth="1"/>
    <col min="12292" max="12292" width="19.453125" style="479" customWidth="1"/>
    <col min="12293" max="12293" width="0" style="479" hidden="1" customWidth="1"/>
    <col min="12294" max="12294" width="14.54296875" style="479" customWidth="1"/>
    <col min="12295" max="12295" width="15.81640625" style="479" customWidth="1"/>
    <col min="12296" max="12542" width="9.1796875" style="479"/>
    <col min="12543" max="12543" width="5.26953125" style="479" customWidth="1"/>
    <col min="12544" max="12544" width="21.26953125" style="479" customWidth="1"/>
    <col min="12545" max="12545" width="13.7265625" style="479" customWidth="1"/>
    <col min="12546" max="12546" width="8.453125" style="479" customWidth="1"/>
    <col min="12547" max="12547" width="14.26953125" style="479" customWidth="1"/>
    <col min="12548" max="12548" width="19.453125" style="479" customWidth="1"/>
    <col min="12549" max="12549" width="0" style="479" hidden="1" customWidth="1"/>
    <col min="12550" max="12550" width="14.54296875" style="479" customWidth="1"/>
    <col min="12551" max="12551" width="15.81640625" style="479" customWidth="1"/>
    <col min="12552" max="12798" width="9.1796875" style="479"/>
    <col min="12799" max="12799" width="5.26953125" style="479" customWidth="1"/>
    <col min="12800" max="12800" width="21.26953125" style="479" customWidth="1"/>
    <col min="12801" max="12801" width="13.7265625" style="479" customWidth="1"/>
    <col min="12802" max="12802" width="8.453125" style="479" customWidth="1"/>
    <col min="12803" max="12803" width="14.26953125" style="479" customWidth="1"/>
    <col min="12804" max="12804" width="19.453125" style="479" customWidth="1"/>
    <col min="12805" max="12805" width="0" style="479" hidden="1" customWidth="1"/>
    <col min="12806" max="12806" width="14.54296875" style="479" customWidth="1"/>
    <col min="12807" max="12807" width="15.81640625" style="479" customWidth="1"/>
    <col min="12808" max="13054" width="9.1796875" style="479"/>
    <col min="13055" max="13055" width="5.26953125" style="479" customWidth="1"/>
    <col min="13056" max="13056" width="21.26953125" style="479" customWidth="1"/>
    <col min="13057" max="13057" width="13.7265625" style="479" customWidth="1"/>
    <col min="13058" max="13058" width="8.453125" style="479" customWidth="1"/>
    <col min="13059" max="13059" width="14.26953125" style="479" customWidth="1"/>
    <col min="13060" max="13060" width="19.453125" style="479" customWidth="1"/>
    <col min="13061" max="13061" width="0" style="479" hidden="1" customWidth="1"/>
    <col min="13062" max="13062" width="14.54296875" style="479" customWidth="1"/>
    <col min="13063" max="13063" width="15.81640625" style="479" customWidth="1"/>
    <col min="13064" max="13310" width="9.1796875" style="479"/>
    <col min="13311" max="13311" width="5.26953125" style="479" customWidth="1"/>
    <col min="13312" max="13312" width="21.26953125" style="479" customWidth="1"/>
    <col min="13313" max="13313" width="13.7265625" style="479" customWidth="1"/>
    <col min="13314" max="13314" width="8.453125" style="479" customWidth="1"/>
    <col min="13315" max="13315" width="14.26953125" style="479" customWidth="1"/>
    <col min="13316" max="13316" width="19.453125" style="479" customWidth="1"/>
    <col min="13317" max="13317" width="0" style="479" hidden="1" customWidth="1"/>
    <col min="13318" max="13318" width="14.54296875" style="479" customWidth="1"/>
    <col min="13319" max="13319" width="15.81640625" style="479" customWidth="1"/>
    <col min="13320" max="13566" width="9.1796875" style="479"/>
    <col min="13567" max="13567" width="5.26953125" style="479" customWidth="1"/>
    <col min="13568" max="13568" width="21.26953125" style="479" customWidth="1"/>
    <col min="13569" max="13569" width="13.7265625" style="479" customWidth="1"/>
    <col min="13570" max="13570" width="8.453125" style="479" customWidth="1"/>
    <col min="13571" max="13571" width="14.26953125" style="479" customWidth="1"/>
    <col min="13572" max="13572" width="19.453125" style="479" customWidth="1"/>
    <col min="13573" max="13573" width="0" style="479" hidden="1" customWidth="1"/>
    <col min="13574" max="13574" width="14.54296875" style="479" customWidth="1"/>
    <col min="13575" max="13575" width="15.81640625" style="479" customWidth="1"/>
    <col min="13576" max="13822" width="9.1796875" style="479"/>
    <col min="13823" max="13823" width="5.26953125" style="479" customWidth="1"/>
    <col min="13824" max="13824" width="21.26953125" style="479" customWidth="1"/>
    <col min="13825" max="13825" width="13.7265625" style="479" customWidth="1"/>
    <col min="13826" max="13826" width="8.453125" style="479" customWidth="1"/>
    <col min="13827" max="13827" width="14.26953125" style="479" customWidth="1"/>
    <col min="13828" max="13828" width="19.453125" style="479" customWidth="1"/>
    <col min="13829" max="13829" width="0" style="479" hidden="1" customWidth="1"/>
    <col min="13830" max="13830" width="14.54296875" style="479" customWidth="1"/>
    <col min="13831" max="13831" width="15.81640625" style="479" customWidth="1"/>
    <col min="13832" max="14078" width="9.1796875" style="479"/>
    <col min="14079" max="14079" width="5.26953125" style="479" customWidth="1"/>
    <col min="14080" max="14080" width="21.26953125" style="479" customWidth="1"/>
    <col min="14081" max="14081" width="13.7265625" style="479" customWidth="1"/>
    <col min="14082" max="14082" width="8.453125" style="479" customWidth="1"/>
    <col min="14083" max="14083" width="14.26953125" style="479" customWidth="1"/>
    <col min="14084" max="14084" width="19.453125" style="479" customWidth="1"/>
    <col min="14085" max="14085" width="0" style="479" hidden="1" customWidth="1"/>
    <col min="14086" max="14086" width="14.54296875" style="479" customWidth="1"/>
    <col min="14087" max="14087" width="15.81640625" style="479" customWidth="1"/>
    <col min="14088" max="14334" width="9.1796875" style="479"/>
    <col min="14335" max="14335" width="5.26953125" style="479" customWidth="1"/>
    <col min="14336" max="14336" width="21.26953125" style="479" customWidth="1"/>
    <col min="14337" max="14337" width="13.7265625" style="479" customWidth="1"/>
    <col min="14338" max="14338" width="8.453125" style="479" customWidth="1"/>
    <col min="14339" max="14339" width="14.26953125" style="479" customWidth="1"/>
    <col min="14340" max="14340" width="19.453125" style="479" customWidth="1"/>
    <col min="14341" max="14341" width="0" style="479" hidden="1" customWidth="1"/>
    <col min="14342" max="14342" width="14.54296875" style="479" customWidth="1"/>
    <col min="14343" max="14343" width="15.81640625" style="479" customWidth="1"/>
    <col min="14344" max="14590" width="9.1796875" style="479"/>
    <col min="14591" max="14591" width="5.26953125" style="479" customWidth="1"/>
    <col min="14592" max="14592" width="21.26953125" style="479" customWidth="1"/>
    <col min="14593" max="14593" width="13.7265625" style="479" customWidth="1"/>
    <col min="14594" max="14594" width="8.453125" style="479" customWidth="1"/>
    <col min="14595" max="14595" width="14.26953125" style="479" customWidth="1"/>
    <col min="14596" max="14596" width="19.453125" style="479" customWidth="1"/>
    <col min="14597" max="14597" width="0" style="479" hidden="1" customWidth="1"/>
    <col min="14598" max="14598" width="14.54296875" style="479" customWidth="1"/>
    <col min="14599" max="14599" width="15.81640625" style="479" customWidth="1"/>
    <col min="14600" max="14846" width="9.1796875" style="479"/>
    <col min="14847" max="14847" width="5.26953125" style="479" customWidth="1"/>
    <col min="14848" max="14848" width="21.26953125" style="479" customWidth="1"/>
    <col min="14849" max="14849" width="13.7265625" style="479" customWidth="1"/>
    <col min="14850" max="14850" width="8.453125" style="479" customWidth="1"/>
    <col min="14851" max="14851" width="14.26953125" style="479" customWidth="1"/>
    <col min="14852" max="14852" width="19.453125" style="479" customWidth="1"/>
    <col min="14853" max="14853" width="0" style="479" hidden="1" customWidth="1"/>
    <col min="14854" max="14854" width="14.54296875" style="479" customWidth="1"/>
    <col min="14855" max="14855" width="15.81640625" style="479" customWidth="1"/>
    <col min="14856" max="15102" width="9.1796875" style="479"/>
    <col min="15103" max="15103" width="5.26953125" style="479" customWidth="1"/>
    <col min="15104" max="15104" width="21.26953125" style="479" customWidth="1"/>
    <col min="15105" max="15105" width="13.7265625" style="479" customWidth="1"/>
    <col min="15106" max="15106" width="8.453125" style="479" customWidth="1"/>
    <col min="15107" max="15107" width="14.26953125" style="479" customWidth="1"/>
    <col min="15108" max="15108" width="19.453125" style="479" customWidth="1"/>
    <col min="15109" max="15109" width="0" style="479" hidden="1" customWidth="1"/>
    <col min="15110" max="15110" width="14.54296875" style="479" customWidth="1"/>
    <col min="15111" max="15111" width="15.81640625" style="479" customWidth="1"/>
    <col min="15112" max="15358" width="9.1796875" style="479"/>
    <col min="15359" max="15359" width="5.26953125" style="479" customWidth="1"/>
    <col min="15360" max="15360" width="21.26953125" style="479" customWidth="1"/>
    <col min="15361" max="15361" width="13.7265625" style="479" customWidth="1"/>
    <col min="15362" max="15362" width="8.453125" style="479" customWidth="1"/>
    <col min="15363" max="15363" width="14.26953125" style="479" customWidth="1"/>
    <col min="15364" max="15364" width="19.453125" style="479" customWidth="1"/>
    <col min="15365" max="15365" width="0" style="479" hidden="1" customWidth="1"/>
    <col min="15366" max="15366" width="14.54296875" style="479" customWidth="1"/>
    <col min="15367" max="15367" width="15.81640625" style="479" customWidth="1"/>
    <col min="15368" max="15614" width="9.1796875" style="479"/>
    <col min="15615" max="15615" width="5.26953125" style="479" customWidth="1"/>
    <col min="15616" max="15616" width="21.26953125" style="479" customWidth="1"/>
    <col min="15617" max="15617" width="13.7265625" style="479" customWidth="1"/>
    <col min="15618" max="15618" width="8.453125" style="479" customWidth="1"/>
    <col min="15619" max="15619" width="14.26953125" style="479" customWidth="1"/>
    <col min="15620" max="15620" width="19.453125" style="479" customWidth="1"/>
    <col min="15621" max="15621" width="0" style="479" hidden="1" customWidth="1"/>
    <col min="15622" max="15622" width="14.54296875" style="479" customWidth="1"/>
    <col min="15623" max="15623" width="15.81640625" style="479" customWidth="1"/>
    <col min="15624" max="15870" width="9.1796875" style="479"/>
    <col min="15871" max="15871" width="5.26953125" style="479" customWidth="1"/>
    <col min="15872" max="15872" width="21.26953125" style="479" customWidth="1"/>
    <col min="15873" max="15873" width="13.7265625" style="479" customWidth="1"/>
    <col min="15874" max="15874" width="8.453125" style="479" customWidth="1"/>
    <col min="15875" max="15875" width="14.26953125" style="479" customWidth="1"/>
    <col min="15876" max="15876" width="19.453125" style="479" customWidth="1"/>
    <col min="15877" max="15877" width="0" style="479" hidden="1" customWidth="1"/>
    <col min="15878" max="15878" width="14.54296875" style="479" customWidth="1"/>
    <col min="15879" max="15879" width="15.81640625" style="479" customWidth="1"/>
    <col min="15880" max="16126" width="9.1796875" style="479"/>
    <col min="16127" max="16127" width="5.26953125" style="479" customWidth="1"/>
    <col min="16128" max="16128" width="21.26953125" style="479" customWidth="1"/>
    <col min="16129" max="16129" width="13.7265625" style="479" customWidth="1"/>
    <col min="16130" max="16130" width="8.453125" style="479" customWidth="1"/>
    <col min="16131" max="16131" width="14.26953125" style="479" customWidth="1"/>
    <col min="16132" max="16132" width="19.453125" style="479" customWidth="1"/>
    <col min="16133" max="16133" width="0" style="479" hidden="1" customWidth="1"/>
    <col min="16134" max="16134" width="14.54296875" style="479" customWidth="1"/>
    <col min="16135" max="16135" width="15.81640625" style="479" customWidth="1"/>
    <col min="16136" max="16384" width="9.1796875" style="479"/>
  </cols>
  <sheetData>
    <row r="1" spans="1:8" ht="63.75" customHeight="1">
      <c r="A1" s="484"/>
      <c r="B1" s="485"/>
      <c r="C1" s="484"/>
      <c r="D1" s="486"/>
      <c r="E1" s="487"/>
      <c r="F1" s="486"/>
      <c r="G1" s="484"/>
      <c r="H1" s="506"/>
    </row>
    <row r="2" spans="1:8" ht="23">
      <c r="A2" s="695" t="s">
        <v>78</v>
      </c>
      <c r="B2" s="695"/>
      <c r="C2" s="695"/>
      <c r="D2" s="695"/>
      <c r="E2" s="695"/>
      <c r="F2" s="695"/>
      <c r="G2" s="484"/>
      <c r="H2" s="506"/>
    </row>
    <row r="3" spans="1:8" ht="17.25" customHeight="1">
      <c r="A3" s="484"/>
      <c r="B3" s="485"/>
      <c r="C3" s="484"/>
      <c r="D3" s="486"/>
      <c r="E3" s="487"/>
      <c r="F3" s="486"/>
      <c r="G3" s="484"/>
      <c r="H3" s="506"/>
    </row>
    <row r="4" spans="1:8" ht="15.75" customHeight="1">
      <c r="A4" s="485" t="s">
        <v>1282</v>
      </c>
      <c r="B4" s="694" t="str">
        <f>IF('CP Backup'!$D$2="","",'CP Backup'!$D$2)</f>
        <v/>
      </c>
      <c r="C4" s="694"/>
      <c r="D4" s="694"/>
      <c r="E4" s="485" t="s">
        <v>124</v>
      </c>
      <c r="F4" s="543" t="str">
        <f>IF('CP Backup'!$B$4="","",'CP Backup'!$B$4)</f>
        <v/>
      </c>
      <c r="G4" s="484"/>
      <c r="H4" s="506"/>
    </row>
    <row r="5" spans="1:8" ht="15.75" customHeight="1">
      <c r="A5" s="485" t="s">
        <v>1283</v>
      </c>
      <c r="B5" s="689" t="str">
        <f>IF('CP Backup'!$D$3="","",'CP Backup'!$D$3)</f>
        <v/>
      </c>
      <c r="C5" s="689"/>
      <c r="D5" s="690" t="s">
        <v>1286</v>
      </c>
      <c r="E5" s="690"/>
      <c r="F5" s="543" t="str">
        <f>IF('CP Backup'!$B$3="","",'CP Backup'!$B$3)</f>
        <v/>
      </c>
      <c r="G5" s="484"/>
      <c r="H5" s="506"/>
    </row>
    <row r="6" spans="1:8" ht="15.75" customHeight="1">
      <c r="A6" s="485" t="s">
        <v>0</v>
      </c>
      <c r="B6" s="689" t="str">
        <f>IF('CP Backup'!$B$5="","",'CP Backup'!$B$5)</f>
        <v/>
      </c>
      <c r="C6" s="689"/>
      <c r="D6" s="523" t="s">
        <v>1284</v>
      </c>
      <c r="E6" s="698" t="str">
        <f>IF('CP Backup'!$B$6="","",'CP Backup'!$B$6)</f>
        <v/>
      </c>
      <c r="F6" s="698"/>
      <c r="G6" s="484"/>
      <c r="H6" s="506"/>
    </row>
    <row r="7" spans="1:8" ht="15.75" customHeight="1">
      <c r="A7" s="485" t="s">
        <v>77</v>
      </c>
      <c r="B7" s="691" t="str">
        <f>IF('CP Backup'!$D$4="","",'CP Backup'!$D$4)</f>
        <v/>
      </c>
      <c r="C7" s="691"/>
      <c r="D7" s="485" t="s">
        <v>1285</v>
      </c>
      <c r="E7" s="692" t="str">
        <f>IF('CP Backup'!$D$5="","",'CP Backup'!$D$5)</f>
        <v/>
      </c>
      <c r="F7" s="692"/>
      <c r="G7" s="484"/>
      <c r="H7" s="506"/>
    </row>
    <row r="8" spans="1:8" ht="15.75" customHeight="1">
      <c r="A8" s="485"/>
      <c r="B8" s="524"/>
      <c r="C8" s="524"/>
      <c r="D8" s="485"/>
      <c r="E8" s="525"/>
      <c r="F8" s="525"/>
      <c r="G8" s="484"/>
      <c r="H8" s="506"/>
    </row>
    <row r="9" spans="1:8" ht="15.75" customHeight="1">
      <c r="A9" s="485" t="s">
        <v>1</v>
      </c>
      <c r="B9" s="694" t="str">
        <f>IF('CP Backup'!$B7="","",'CP Backup'!$B7)</f>
        <v/>
      </c>
      <c r="C9" s="694"/>
      <c r="D9" s="694"/>
      <c r="E9" s="694"/>
      <c r="F9" s="694"/>
      <c r="G9" s="484"/>
      <c r="H9" s="506"/>
    </row>
    <row r="10" spans="1:8" ht="15.75" hidden="1" customHeight="1">
      <c r="A10" s="485"/>
      <c r="B10" s="694" t="str">
        <f>IF('CP Backup'!$B8="","",'CP Backup'!$B8)</f>
        <v/>
      </c>
      <c r="C10" s="694"/>
      <c r="D10" s="694"/>
      <c r="E10" s="694"/>
      <c r="F10" s="694"/>
      <c r="G10" s="484"/>
      <c r="H10" s="506"/>
    </row>
    <row r="11" spans="1:8" ht="15.75" hidden="1" customHeight="1">
      <c r="A11" s="485"/>
      <c r="B11" s="694" t="str">
        <f>IF('CP Backup'!$B9="","",'CP Backup'!$B9)</f>
        <v/>
      </c>
      <c r="C11" s="694"/>
      <c r="D11" s="694"/>
      <c r="E11" s="694"/>
      <c r="F11" s="694"/>
      <c r="G11" s="484"/>
      <c r="H11" s="506"/>
    </row>
    <row r="12" spans="1:8" ht="15.75" hidden="1" customHeight="1">
      <c r="A12" s="485"/>
      <c r="B12" s="694" t="str">
        <f>IF('CP Backup'!$B10="","",'CP Backup'!$B10)</f>
        <v/>
      </c>
      <c r="C12" s="694"/>
      <c r="D12" s="694"/>
      <c r="E12" s="694"/>
      <c r="F12" s="694"/>
      <c r="G12" s="484"/>
      <c r="H12" s="506"/>
    </row>
    <row r="13" spans="1:8" ht="15.75" hidden="1" customHeight="1">
      <c r="A13" s="485"/>
      <c r="B13" s="694" t="str">
        <f>IF('CP Backup'!$B11="","",'CP Backup'!$B11)</f>
        <v/>
      </c>
      <c r="C13" s="694"/>
      <c r="D13" s="694"/>
      <c r="E13" s="694"/>
      <c r="F13" s="694"/>
      <c r="G13" s="484"/>
      <c r="H13" s="506"/>
    </row>
    <row r="14" spans="1:8" ht="15.75" hidden="1" customHeight="1">
      <c r="A14" s="485"/>
      <c r="B14" s="694" t="str">
        <f>IF('CP Backup'!$B12="","",'CP Backup'!$B12)</f>
        <v/>
      </c>
      <c r="C14" s="694"/>
      <c r="D14" s="694"/>
      <c r="E14" s="694"/>
      <c r="F14" s="694"/>
      <c r="G14" s="484"/>
      <c r="H14" s="506"/>
    </row>
    <row r="15" spans="1:8" ht="15.75" hidden="1" customHeight="1">
      <c r="A15" s="485"/>
      <c r="B15" s="694" t="str">
        <f>IF('CP Backup'!$B13="","",'CP Backup'!$B13)</f>
        <v/>
      </c>
      <c r="C15" s="694"/>
      <c r="D15" s="694"/>
      <c r="E15" s="694"/>
      <c r="F15" s="694"/>
      <c r="G15" s="484"/>
      <c r="H15" s="506"/>
    </row>
    <row r="16" spans="1:8" ht="15.75" customHeight="1">
      <c r="A16" s="485"/>
      <c r="B16" s="484"/>
      <c r="C16" s="484"/>
      <c r="D16" s="484"/>
      <c r="E16" s="484"/>
      <c r="F16" s="484"/>
      <c r="G16" s="484"/>
      <c r="H16" s="506">
        <v>1</v>
      </c>
    </row>
    <row r="17" spans="1:8" ht="15.75" customHeight="1">
      <c r="A17" s="699" t="s">
        <v>79</v>
      </c>
      <c r="B17" s="694" t="str">
        <f>IF('CP Backup'!$B14="","",'CP Backup'!$B14)</f>
        <v/>
      </c>
      <c r="C17" s="694"/>
      <c r="D17" s="694"/>
      <c r="E17" s="694"/>
      <c r="F17" s="694"/>
      <c r="G17" s="484"/>
      <c r="H17" s="506">
        <v>1</v>
      </c>
    </row>
    <row r="18" spans="1:8" ht="15.75" hidden="1" customHeight="1">
      <c r="A18" s="699"/>
      <c r="B18" s="694" t="str">
        <f>IF('CP Backup'!$B15="","",'CP Backup'!$B15)</f>
        <v/>
      </c>
      <c r="C18" s="694"/>
      <c r="D18" s="694"/>
      <c r="E18" s="694"/>
      <c r="F18" s="694"/>
      <c r="G18" s="484"/>
      <c r="H18" s="506" t="str">
        <f>B18</f>
        <v/>
      </c>
    </row>
    <row r="19" spans="1:8" ht="15.75" hidden="1" customHeight="1">
      <c r="A19" s="699"/>
      <c r="B19" s="694" t="str">
        <f>IF('CP Backup'!$B16="","",'CP Backup'!$B16)</f>
        <v/>
      </c>
      <c r="C19" s="694"/>
      <c r="D19" s="694"/>
      <c r="E19" s="694"/>
      <c r="F19" s="694"/>
      <c r="G19" s="484"/>
      <c r="H19" s="506" t="str">
        <f t="shared" ref="H19:H23" si="0">B19</f>
        <v/>
      </c>
    </row>
    <row r="20" spans="1:8" ht="15.75" hidden="1" customHeight="1">
      <c r="A20" s="699"/>
      <c r="B20" s="694" t="str">
        <f>IF('CP Backup'!$B17="","",'CP Backup'!$B17)</f>
        <v/>
      </c>
      <c r="C20" s="694"/>
      <c r="D20" s="694"/>
      <c r="E20" s="694"/>
      <c r="F20" s="694"/>
      <c r="G20" s="484"/>
      <c r="H20" s="506" t="str">
        <f t="shared" si="0"/>
        <v/>
      </c>
    </row>
    <row r="21" spans="1:8" ht="15.75" hidden="1" customHeight="1">
      <c r="A21" s="699"/>
      <c r="B21" s="694" t="str">
        <f>IF('CP Backup'!$B18="","",'CP Backup'!$B18)</f>
        <v/>
      </c>
      <c r="C21" s="694"/>
      <c r="D21" s="694"/>
      <c r="E21" s="694"/>
      <c r="F21" s="694"/>
      <c r="G21" s="484"/>
      <c r="H21" s="506" t="str">
        <f t="shared" si="0"/>
        <v/>
      </c>
    </row>
    <row r="22" spans="1:8" ht="15.75" hidden="1" customHeight="1">
      <c r="A22" s="699"/>
      <c r="B22" s="694" t="str">
        <f>IF('CP Backup'!$B19="","",'CP Backup'!$B19)</f>
        <v/>
      </c>
      <c r="C22" s="694"/>
      <c r="D22" s="694"/>
      <c r="E22" s="694"/>
      <c r="F22" s="694"/>
      <c r="G22" s="484"/>
      <c r="H22" s="506" t="str">
        <f t="shared" si="0"/>
        <v/>
      </c>
    </row>
    <row r="23" spans="1:8" ht="15.75" hidden="1" customHeight="1">
      <c r="A23" s="699"/>
      <c r="B23" s="694" t="str">
        <f>IF('CP Backup'!$B20="","",'CP Backup'!$B20)</f>
        <v/>
      </c>
      <c r="C23" s="694"/>
      <c r="D23" s="694"/>
      <c r="E23" s="694"/>
      <c r="F23" s="694"/>
      <c r="G23" s="484"/>
      <c r="H23" s="506" t="str">
        <f t="shared" si="0"/>
        <v/>
      </c>
    </row>
    <row r="24" spans="1:8" ht="16" thickBot="1">
      <c r="A24" s="484"/>
      <c r="B24" s="487"/>
      <c r="C24" s="487"/>
      <c r="D24" s="487"/>
      <c r="E24" s="487"/>
      <c r="F24" s="487"/>
      <c r="G24" s="484"/>
      <c r="H24" s="506">
        <v>1</v>
      </c>
    </row>
    <row r="25" spans="1:8" ht="16" hidden="1" thickBot="1">
      <c r="A25" s="488" t="s">
        <v>1229</v>
      </c>
      <c r="B25" s="489" t="s">
        <v>1137</v>
      </c>
      <c r="C25" s="489" t="s">
        <v>719</v>
      </c>
      <c r="D25" s="489" t="s">
        <v>1138</v>
      </c>
      <c r="E25" s="490" t="s">
        <v>1159</v>
      </c>
      <c r="F25" s="491" t="s">
        <v>1143</v>
      </c>
      <c r="G25" s="484"/>
      <c r="H25" s="506">
        <f>SUM(F26:F69)</f>
        <v>0</v>
      </c>
    </row>
    <row r="26" spans="1:8" ht="16" hidden="1" thickBot="1">
      <c r="A26" s="492" t="str">
        <f>'CP Backup'!A48</f>
        <v>Plumb Apprentice Hrs</v>
      </c>
      <c r="B26" s="493">
        <f>'CP Backup'!B48</f>
        <v>0</v>
      </c>
      <c r="C26" s="493">
        <f>'CP Backup'!C48</f>
        <v>0</v>
      </c>
      <c r="D26" s="493">
        <f>'CP Backup'!D48</f>
        <v>0</v>
      </c>
      <c r="E26" s="493">
        <f>'CP Backup'!E48</f>
        <v>0</v>
      </c>
      <c r="F26" s="494"/>
      <c r="G26" s="484"/>
      <c r="H26" s="506">
        <f>SUM(B26:E26)</f>
        <v>0</v>
      </c>
    </row>
    <row r="27" spans="1:8" ht="16" hidden="1" thickBot="1">
      <c r="A27" s="495" t="str">
        <f>'CP Backup'!A49</f>
        <v>Rate</v>
      </c>
      <c r="B27" s="496">
        <f>'CP Backup'!B49</f>
        <v>122.73</v>
      </c>
      <c r="C27" s="497">
        <f>'CP Backup'!C49</f>
        <v>164.59</v>
      </c>
      <c r="D27" s="496">
        <f>'CP Backup'!D49</f>
        <v>206.45</v>
      </c>
      <c r="E27" s="498">
        <f>'CP Backup'!E49</f>
        <v>0</v>
      </c>
      <c r="F27" s="499">
        <f>'CP Backup'!F49</f>
        <v>0</v>
      </c>
      <c r="G27" s="484"/>
      <c r="H27" s="506">
        <f>F27</f>
        <v>0</v>
      </c>
    </row>
    <row r="28" spans="1:8" ht="16" hidden="1" thickBot="1">
      <c r="A28" s="492" t="str">
        <f>'CP Backup'!A50</f>
        <v>Plumb Journeyman Hrs</v>
      </c>
      <c r="B28" s="493">
        <f>'CP Backup'!B50</f>
        <v>0</v>
      </c>
      <c r="C28" s="493">
        <f>'CP Backup'!C50</f>
        <v>0</v>
      </c>
      <c r="D28" s="493">
        <f>'CP Backup'!D50</f>
        <v>0</v>
      </c>
      <c r="E28" s="493">
        <f>'CP Backup'!E50</f>
        <v>0</v>
      </c>
      <c r="F28" s="494"/>
      <c r="G28" s="484"/>
      <c r="H28" s="506">
        <f t="shared" ref="H28:H68" si="1">SUM(B28:E28)</f>
        <v>0</v>
      </c>
    </row>
    <row r="29" spans="1:8" ht="16" hidden="1" thickBot="1">
      <c r="A29" s="495" t="str">
        <f>'CP Backup'!A51</f>
        <v>Rate</v>
      </c>
      <c r="B29" s="496">
        <f>'CP Backup'!B51</f>
        <v>134.1</v>
      </c>
      <c r="C29" s="497">
        <f>'CP Backup'!C51</f>
        <v>180.61</v>
      </c>
      <c r="D29" s="496">
        <f>'CP Backup'!D51</f>
        <v>227.12</v>
      </c>
      <c r="E29" s="498">
        <f>'CP Backup'!E51</f>
        <v>0</v>
      </c>
      <c r="F29" s="499">
        <f>'CP Backup'!F51</f>
        <v>0</v>
      </c>
      <c r="G29" s="484"/>
      <c r="H29" s="506">
        <f>F29</f>
        <v>0</v>
      </c>
    </row>
    <row r="30" spans="1:8" ht="16" hidden="1" thickBot="1">
      <c r="A30" s="492" t="str">
        <f>'CP Backup'!A52</f>
        <v>Plumb Foreman Hrs</v>
      </c>
      <c r="B30" s="493">
        <f>'CP Backup'!B52</f>
        <v>0</v>
      </c>
      <c r="C30" s="493">
        <f>'CP Backup'!C52</f>
        <v>0</v>
      </c>
      <c r="D30" s="493">
        <f>'CP Backup'!D52</f>
        <v>0</v>
      </c>
      <c r="E30" s="493">
        <f>'CP Backup'!E52</f>
        <v>0</v>
      </c>
      <c r="F30" s="494"/>
      <c r="G30" s="484"/>
      <c r="H30" s="506">
        <f t="shared" si="1"/>
        <v>0</v>
      </c>
    </row>
    <row r="31" spans="1:8" ht="16" hidden="1" thickBot="1">
      <c r="A31" s="495" t="str">
        <f>'CP Backup'!A53</f>
        <v>Rate</v>
      </c>
      <c r="B31" s="496">
        <f>'CP Backup'!B53</f>
        <v>149.33000000000001</v>
      </c>
      <c r="C31" s="497">
        <f>'CP Backup'!C53</f>
        <v>203.45</v>
      </c>
      <c r="D31" s="496">
        <f>'CP Backup'!D53</f>
        <v>257.58</v>
      </c>
      <c r="E31" s="498">
        <f>'CP Backup'!E53</f>
        <v>0</v>
      </c>
      <c r="F31" s="499">
        <f>'CP Backup'!F53</f>
        <v>0</v>
      </c>
      <c r="G31" s="484"/>
      <c r="H31" s="506">
        <f>F31</f>
        <v>0</v>
      </c>
    </row>
    <row r="32" spans="1:8" ht="16" hidden="1" thickBot="1">
      <c r="A32" s="492" t="str">
        <f>'CP Backup'!A54</f>
        <v>Plumb General Foreman Hrs</v>
      </c>
      <c r="B32" s="493">
        <f>'CP Backup'!B54</f>
        <v>0</v>
      </c>
      <c r="C32" s="493">
        <f>'CP Backup'!C54</f>
        <v>0</v>
      </c>
      <c r="D32" s="493">
        <f>'CP Backup'!D54</f>
        <v>0</v>
      </c>
      <c r="E32" s="493">
        <f>'CP Backup'!E54</f>
        <v>0</v>
      </c>
      <c r="F32" s="494"/>
      <c r="G32" s="484"/>
      <c r="H32" s="506">
        <f t="shared" si="1"/>
        <v>0</v>
      </c>
    </row>
    <row r="33" spans="1:8" ht="16" hidden="1" thickBot="1">
      <c r="A33" s="495" t="str">
        <f>'CP Backup'!A55</f>
        <v>Rate</v>
      </c>
      <c r="B33" s="496">
        <f>'CP Backup'!B55</f>
        <v>164.56</v>
      </c>
      <c r="C33" s="497">
        <f>'CP Backup'!C55</f>
        <v>226.3</v>
      </c>
      <c r="D33" s="496">
        <f>'CP Backup'!D55</f>
        <v>288.04000000000002</v>
      </c>
      <c r="E33" s="498">
        <f>'CP Backup'!E55</f>
        <v>0</v>
      </c>
      <c r="F33" s="499">
        <f>'CP Backup'!F55</f>
        <v>0</v>
      </c>
      <c r="G33" s="484"/>
      <c r="H33" s="506">
        <f>F33</f>
        <v>0</v>
      </c>
    </row>
    <row r="34" spans="1:8" ht="16" hidden="1" thickBot="1">
      <c r="A34" s="492" t="str">
        <f>'CP Backup'!A56</f>
        <v>Pipe Apprentice Hrs</v>
      </c>
      <c r="B34" s="493">
        <f>'CP Backup'!B56</f>
        <v>0</v>
      </c>
      <c r="C34" s="493">
        <f>'CP Backup'!C56</f>
        <v>0</v>
      </c>
      <c r="D34" s="493">
        <f>'CP Backup'!D56</f>
        <v>0</v>
      </c>
      <c r="E34" s="493">
        <f>'CP Backup'!E56</f>
        <v>0</v>
      </c>
      <c r="F34" s="494"/>
      <c r="G34" s="484"/>
      <c r="H34" s="506">
        <f t="shared" si="1"/>
        <v>0</v>
      </c>
    </row>
    <row r="35" spans="1:8" ht="16" hidden="1" thickBot="1">
      <c r="A35" s="495" t="str">
        <f>'CP Backup'!A57</f>
        <v>Rate</v>
      </c>
      <c r="B35" s="496">
        <f>'CP Backup'!B57</f>
        <v>122.73</v>
      </c>
      <c r="C35" s="497">
        <f>'CP Backup'!C57</f>
        <v>164.59</v>
      </c>
      <c r="D35" s="496">
        <f>'CP Backup'!D57</f>
        <v>206.45</v>
      </c>
      <c r="E35" s="498">
        <f>'CP Backup'!E57</f>
        <v>0</v>
      </c>
      <c r="F35" s="499">
        <f>'CP Backup'!F57</f>
        <v>0</v>
      </c>
      <c r="G35" s="484"/>
      <c r="H35" s="506">
        <f>F35</f>
        <v>0</v>
      </c>
    </row>
    <row r="36" spans="1:8" ht="16" hidden="1" thickBot="1">
      <c r="A36" s="492" t="str">
        <f>'CP Backup'!A58</f>
        <v>Pipe Journeyman Hrs</v>
      </c>
      <c r="B36" s="493">
        <f>'CP Backup'!B58</f>
        <v>0</v>
      </c>
      <c r="C36" s="493">
        <f>'CP Backup'!C58</f>
        <v>0</v>
      </c>
      <c r="D36" s="493">
        <f>'CP Backup'!D58</f>
        <v>0</v>
      </c>
      <c r="E36" s="493">
        <f>'CP Backup'!E58</f>
        <v>0</v>
      </c>
      <c r="F36" s="494"/>
      <c r="G36" s="484"/>
      <c r="H36" s="506">
        <f t="shared" si="1"/>
        <v>0</v>
      </c>
    </row>
    <row r="37" spans="1:8" ht="16" hidden="1" thickBot="1">
      <c r="A37" s="495" t="str">
        <f>'CP Backup'!A59</f>
        <v>Rate</v>
      </c>
      <c r="B37" s="496">
        <f>'CP Backup'!B59</f>
        <v>134.1</v>
      </c>
      <c r="C37" s="497">
        <f>'CP Backup'!C59</f>
        <v>180.61</v>
      </c>
      <c r="D37" s="496">
        <f>'CP Backup'!D59</f>
        <v>227.12</v>
      </c>
      <c r="E37" s="498">
        <f>'CP Backup'!E59</f>
        <v>0</v>
      </c>
      <c r="F37" s="499">
        <f>'CP Backup'!F59</f>
        <v>0</v>
      </c>
      <c r="G37" s="484"/>
      <c r="H37" s="506">
        <f>F37</f>
        <v>0</v>
      </c>
    </row>
    <row r="38" spans="1:8" ht="16" hidden="1" thickBot="1">
      <c r="A38" s="492" t="str">
        <f>'CP Backup'!A60</f>
        <v>Pipe Foreman Hrs</v>
      </c>
      <c r="B38" s="493">
        <f>'CP Backup'!B60</f>
        <v>0</v>
      </c>
      <c r="C38" s="493">
        <f>'CP Backup'!C60</f>
        <v>0</v>
      </c>
      <c r="D38" s="493">
        <f>'CP Backup'!D60</f>
        <v>0</v>
      </c>
      <c r="E38" s="493">
        <f>'CP Backup'!E60</f>
        <v>0</v>
      </c>
      <c r="F38" s="494"/>
      <c r="G38" s="484"/>
      <c r="H38" s="506">
        <f t="shared" si="1"/>
        <v>0</v>
      </c>
    </row>
    <row r="39" spans="1:8" ht="16" hidden="1" thickBot="1">
      <c r="A39" s="495" t="str">
        <f>'CP Backup'!A61</f>
        <v>Rate</v>
      </c>
      <c r="B39" s="496">
        <f>'CP Backup'!B61</f>
        <v>149.33000000000001</v>
      </c>
      <c r="C39" s="497">
        <f>'CP Backup'!C61</f>
        <v>203.45</v>
      </c>
      <c r="D39" s="496">
        <f>'CP Backup'!D61</f>
        <v>257.58</v>
      </c>
      <c r="E39" s="498">
        <f>'CP Backup'!E61</f>
        <v>0</v>
      </c>
      <c r="F39" s="499">
        <f>'CP Backup'!F61</f>
        <v>0</v>
      </c>
      <c r="G39" s="484"/>
      <c r="H39" s="506">
        <f>F39</f>
        <v>0</v>
      </c>
    </row>
    <row r="40" spans="1:8" ht="16" hidden="1" thickBot="1">
      <c r="A40" s="492" t="str">
        <f>'CP Backup'!A62</f>
        <v>Pipe General Foreman Hrs</v>
      </c>
      <c r="B40" s="493">
        <f>'CP Backup'!B62</f>
        <v>0</v>
      </c>
      <c r="C40" s="493">
        <f>'CP Backup'!C62</f>
        <v>0</v>
      </c>
      <c r="D40" s="493">
        <f>'CP Backup'!D62</f>
        <v>0</v>
      </c>
      <c r="E40" s="493">
        <f>'CP Backup'!E62</f>
        <v>0</v>
      </c>
      <c r="F40" s="494"/>
      <c r="G40" s="484"/>
      <c r="H40" s="506">
        <f t="shared" si="1"/>
        <v>0</v>
      </c>
    </row>
    <row r="41" spans="1:8" ht="16" hidden="1" thickBot="1">
      <c r="A41" s="495" t="str">
        <f>'CP Backup'!A63</f>
        <v>Rate</v>
      </c>
      <c r="B41" s="496">
        <f>'CP Backup'!B63</f>
        <v>164.56</v>
      </c>
      <c r="C41" s="497">
        <f>'CP Backup'!C63</f>
        <v>226.3</v>
      </c>
      <c r="D41" s="496">
        <f>'CP Backup'!D63</f>
        <v>288.04000000000002</v>
      </c>
      <c r="E41" s="498">
        <f>'CP Backup'!E63</f>
        <v>0</v>
      </c>
      <c r="F41" s="499">
        <f>'CP Backup'!F63</f>
        <v>0</v>
      </c>
      <c r="G41" s="484"/>
      <c r="H41" s="506">
        <f>F41</f>
        <v>0</v>
      </c>
    </row>
    <row r="42" spans="1:8" ht="16" hidden="1" thickBot="1">
      <c r="A42" s="492" t="str">
        <f>'CP Backup'!A64</f>
        <v>SM Field Apprentice Hrs</v>
      </c>
      <c r="B42" s="493">
        <f>'CP Backup'!B64</f>
        <v>0</v>
      </c>
      <c r="C42" s="493">
        <f>'CP Backup'!C64</f>
        <v>0</v>
      </c>
      <c r="D42" s="493">
        <f>'CP Backup'!D64</f>
        <v>0</v>
      </c>
      <c r="E42" s="493">
        <f>'CP Backup'!E64</f>
        <v>0</v>
      </c>
      <c r="F42" s="494"/>
      <c r="G42" s="484"/>
      <c r="H42" s="506">
        <f t="shared" si="1"/>
        <v>0</v>
      </c>
    </row>
    <row r="43" spans="1:8" ht="16" hidden="1" thickBot="1">
      <c r="A43" s="495" t="str">
        <f>'CP Backup'!A65</f>
        <v>Rate</v>
      </c>
      <c r="B43" s="496">
        <f>'CP Backup'!B65</f>
        <v>108.89</v>
      </c>
      <c r="C43" s="497">
        <f>'CP Backup'!C65</f>
        <v>147.53</v>
      </c>
      <c r="D43" s="496">
        <f>'CP Backup'!D65</f>
        <v>135.71</v>
      </c>
      <c r="E43" s="496">
        <f>'CP Backup'!E65</f>
        <v>0</v>
      </c>
      <c r="F43" s="499">
        <f>'CP Backup'!F65</f>
        <v>0</v>
      </c>
      <c r="G43" s="484"/>
      <c r="H43" s="506">
        <f>F43</f>
        <v>0</v>
      </c>
    </row>
    <row r="44" spans="1:8" ht="16" hidden="1" thickBot="1">
      <c r="A44" s="492" t="str">
        <f>'CP Backup'!A66</f>
        <v>SM Field Journeyman Hrs</v>
      </c>
      <c r="B44" s="493">
        <f>'CP Backup'!B66</f>
        <v>0</v>
      </c>
      <c r="C44" s="493">
        <f>'CP Backup'!C66</f>
        <v>0</v>
      </c>
      <c r="D44" s="493">
        <f>'CP Backup'!D66</f>
        <v>0</v>
      </c>
      <c r="E44" s="493">
        <f>'CP Backup'!E66</f>
        <v>0</v>
      </c>
      <c r="F44" s="494"/>
      <c r="G44" s="484"/>
      <c r="H44" s="506">
        <f t="shared" si="1"/>
        <v>0</v>
      </c>
    </row>
    <row r="45" spans="1:8" ht="16" hidden="1" thickBot="1">
      <c r="A45" s="495" t="str">
        <f>'CP Backup'!A67</f>
        <v>Rate</v>
      </c>
      <c r="B45" s="496">
        <f>'CP Backup'!B67</f>
        <v>121.8</v>
      </c>
      <c r="C45" s="497">
        <f>'CP Backup'!C67</f>
        <v>164.73</v>
      </c>
      <c r="D45" s="496">
        <f>'CP Backup'!D67</f>
        <v>175.29</v>
      </c>
      <c r="E45" s="496">
        <f>'CP Backup'!E67</f>
        <v>0</v>
      </c>
      <c r="F45" s="499">
        <f>'CP Backup'!F67</f>
        <v>0</v>
      </c>
      <c r="G45" s="484"/>
      <c r="H45" s="506">
        <f>F45</f>
        <v>0</v>
      </c>
    </row>
    <row r="46" spans="1:8" ht="16" hidden="1" thickBot="1">
      <c r="A46" s="492" t="str">
        <f>'CP Backup'!A68</f>
        <v>SM Field Foreman Hrs</v>
      </c>
      <c r="B46" s="493">
        <f>'CP Backup'!B68</f>
        <v>0</v>
      </c>
      <c r="C46" s="493">
        <f>'CP Backup'!C68</f>
        <v>0</v>
      </c>
      <c r="D46" s="493">
        <f>'CP Backup'!D68</f>
        <v>0</v>
      </c>
      <c r="E46" s="493">
        <f>'CP Backup'!E68</f>
        <v>0</v>
      </c>
      <c r="F46" s="494"/>
      <c r="G46" s="484"/>
      <c r="H46" s="506">
        <f t="shared" si="1"/>
        <v>0</v>
      </c>
    </row>
    <row r="47" spans="1:8" ht="16" hidden="1" thickBot="1">
      <c r="A47" s="495" t="str">
        <f>'CP Backup'!A69</f>
        <v>Rate</v>
      </c>
      <c r="B47" s="496">
        <f>'CP Backup'!B69</f>
        <v>134.41</v>
      </c>
      <c r="C47" s="497">
        <f>'CP Backup'!C69</f>
        <v>183.65</v>
      </c>
      <c r="D47" s="496">
        <f>'CP Backup'!D69</f>
        <v>195.75</v>
      </c>
      <c r="E47" s="496">
        <f>'CP Backup'!E69</f>
        <v>0</v>
      </c>
      <c r="F47" s="499">
        <f>'CP Backup'!F69</f>
        <v>0</v>
      </c>
      <c r="G47" s="484"/>
      <c r="H47" s="506">
        <f>F47</f>
        <v>0</v>
      </c>
    </row>
    <row r="48" spans="1:8" ht="16" hidden="1" thickBot="1">
      <c r="A48" s="492" t="str">
        <f>'CP Backup'!A70</f>
        <v>SM Field General Foreman Hrs</v>
      </c>
      <c r="B48" s="493">
        <f>'CP Backup'!B70</f>
        <v>0</v>
      </c>
      <c r="C48" s="493">
        <f>'CP Backup'!C70</f>
        <v>0</v>
      </c>
      <c r="D48" s="493">
        <f>'CP Backup'!D70</f>
        <v>0</v>
      </c>
      <c r="E48" s="493">
        <f>'CP Backup'!E70</f>
        <v>0</v>
      </c>
      <c r="F48" s="494"/>
      <c r="G48" s="484"/>
      <c r="H48" s="506">
        <f t="shared" si="1"/>
        <v>0</v>
      </c>
    </row>
    <row r="49" spans="1:8" ht="16" hidden="1" thickBot="1">
      <c r="A49" s="495" t="str">
        <f>'CP Backup'!A71</f>
        <v>Rate</v>
      </c>
      <c r="B49" s="496">
        <f>'CP Backup'!B71</f>
        <v>138.61000000000001</v>
      </c>
      <c r="C49" s="497">
        <f>'CP Backup'!C71</f>
        <v>189.96</v>
      </c>
      <c r="D49" s="496">
        <f>'CP Backup'!D71</f>
        <v>202.57000000000002</v>
      </c>
      <c r="E49" s="496">
        <f>'CP Backup'!E71</f>
        <v>0</v>
      </c>
      <c r="F49" s="499">
        <f>'CP Backup'!F71</f>
        <v>0</v>
      </c>
      <c r="G49" s="484"/>
      <c r="H49" s="506">
        <f>F49</f>
        <v>0</v>
      </c>
    </row>
    <row r="50" spans="1:8" ht="16" hidden="1" thickBot="1">
      <c r="A50" s="492" t="str">
        <f>'CP Backup'!A72</f>
        <v>SM Shop Apprentice Hrs</v>
      </c>
      <c r="B50" s="493">
        <f>'CP Backup'!B72</f>
        <v>0</v>
      </c>
      <c r="C50" s="493">
        <f>'CP Backup'!C72</f>
        <v>0</v>
      </c>
      <c r="D50" s="493">
        <f>'CP Backup'!D72</f>
        <v>0</v>
      </c>
      <c r="E50" s="493">
        <f>'CP Backup'!E72</f>
        <v>0</v>
      </c>
      <c r="F50" s="494"/>
      <c r="G50" s="484"/>
      <c r="H50" s="506">
        <f t="shared" si="1"/>
        <v>0</v>
      </c>
    </row>
    <row r="51" spans="1:8" ht="16" hidden="1" thickBot="1">
      <c r="A51" s="495" t="str">
        <f>'CP Backup'!A73</f>
        <v>Rate</v>
      </c>
      <c r="B51" s="496">
        <f>'CP Backup'!B73</f>
        <v>108.89</v>
      </c>
      <c r="C51" s="497">
        <f>'CP Backup'!C73</f>
        <v>147.53</v>
      </c>
      <c r="D51" s="496">
        <f>'CP Backup'!D73</f>
        <v>135.71</v>
      </c>
      <c r="E51" s="498">
        <f>'CP Backup'!E73</f>
        <v>0</v>
      </c>
      <c r="F51" s="499">
        <f>'CP Backup'!F73</f>
        <v>0</v>
      </c>
      <c r="G51" s="484"/>
      <c r="H51" s="506">
        <f>F51</f>
        <v>0</v>
      </c>
    </row>
    <row r="52" spans="1:8" ht="16" hidden="1" thickBot="1">
      <c r="A52" s="492" t="str">
        <f>'CP Backup'!A74</f>
        <v>SM Shop Journeyman Hrs</v>
      </c>
      <c r="B52" s="493">
        <f>'CP Backup'!B74</f>
        <v>0</v>
      </c>
      <c r="C52" s="493">
        <f>'CP Backup'!C74</f>
        <v>0</v>
      </c>
      <c r="D52" s="493">
        <f>'CP Backup'!D74</f>
        <v>0</v>
      </c>
      <c r="E52" s="493">
        <f>'CP Backup'!E74</f>
        <v>0</v>
      </c>
      <c r="F52" s="494"/>
      <c r="G52" s="484"/>
      <c r="H52" s="506">
        <f t="shared" si="1"/>
        <v>0</v>
      </c>
    </row>
    <row r="53" spans="1:8" ht="16" hidden="1" thickBot="1">
      <c r="A53" s="495" t="str">
        <f>'CP Backup'!A75</f>
        <v>Rate</v>
      </c>
      <c r="B53" s="496">
        <f>'CP Backup'!B75</f>
        <v>121.8</v>
      </c>
      <c r="C53" s="497">
        <f>'CP Backup'!C75</f>
        <v>164.73</v>
      </c>
      <c r="D53" s="496">
        <f>'CP Backup'!D75</f>
        <v>175.29</v>
      </c>
      <c r="E53" s="498">
        <f>'CP Backup'!E75</f>
        <v>0</v>
      </c>
      <c r="F53" s="499">
        <f>'CP Backup'!F75</f>
        <v>0</v>
      </c>
      <c r="G53" s="484"/>
      <c r="H53" s="506">
        <f>F53</f>
        <v>0</v>
      </c>
    </row>
    <row r="54" spans="1:8" ht="16" hidden="1" thickBot="1">
      <c r="A54" s="492" t="str">
        <f>'CP Backup'!A76</f>
        <v>SM Shop Foreman Hrs</v>
      </c>
      <c r="B54" s="493">
        <f>'CP Backup'!B76</f>
        <v>0</v>
      </c>
      <c r="C54" s="493">
        <f>'CP Backup'!C76</f>
        <v>0</v>
      </c>
      <c r="D54" s="493">
        <f>'CP Backup'!D76</f>
        <v>0</v>
      </c>
      <c r="E54" s="493">
        <f>'CP Backup'!E76</f>
        <v>0</v>
      </c>
      <c r="F54" s="494"/>
      <c r="G54" s="484"/>
      <c r="H54" s="506">
        <f t="shared" si="1"/>
        <v>0</v>
      </c>
    </row>
    <row r="55" spans="1:8" ht="16" hidden="1" thickBot="1">
      <c r="A55" s="495" t="str">
        <f>'CP Backup'!A77</f>
        <v>Rate</v>
      </c>
      <c r="B55" s="496">
        <f>'CP Backup'!B77</f>
        <v>134.41</v>
      </c>
      <c r="C55" s="497">
        <f>'CP Backup'!C77</f>
        <v>183.65</v>
      </c>
      <c r="D55" s="496">
        <f>'CP Backup'!D77</f>
        <v>195.75</v>
      </c>
      <c r="E55" s="498">
        <f>'CP Backup'!E77</f>
        <v>0</v>
      </c>
      <c r="F55" s="499">
        <f>'CP Backup'!F77</f>
        <v>0</v>
      </c>
      <c r="G55" s="484"/>
      <c r="H55" s="506">
        <f>F55</f>
        <v>0</v>
      </c>
    </row>
    <row r="56" spans="1:8" ht="16" hidden="1" thickBot="1">
      <c r="A56" s="492" t="str">
        <f>'CP Backup'!A78</f>
        <v>SM Shop General Foreman Hrs</v>
      </c>
      <c r="B56" s="493">
        <f>'CP Backup'!B78</f>
        <v>0</v>
      </c>
      <c r="C56" s="493">
        <f>'CP Backup'!C78</f>
        <v>0</v>
      </c>
      <c r="D56" s="493">
        <f>'CP Backup'!D78</f>
        <v>0</v>
      </c>
      <c r="E56" s="493">
        <f>'CP Backup'!E78</f>
        <v>0</v>
      </c>
      <c r="F56" s="494"/>
      <c r="G56" s="484"/>
      <c r="H56" s="506">
        <f t="shared" si="1"/>
        <v>0</v>
      </c>
    </row>
    <row r="57" spans="1:8" ht="16" hidden="1" thickBot="1">
      <c r="A57" s="495" t="str">
        <f>'CP Backup'!A79</f>
        <v>Rate</v>
      </c>
      <c r="B57" s="496">
        <f>'CP Backup'!B79</f>
        <v>138.61000000000001</v>
      </c>
      <c r="C57" s="497">
        <f>'CP Backup'!C79</f>
        <v>189.96</v>
      </c>
      <c r="D57" s="496">
        <f>'CP Backup'!D79</f>
        <v>202.57000000000002</v>
      </c>
      <c r="E57" s="498">
        <f>'CP Backup'!E79</f>
        <v>0</v>
      </c>
      <c r="F57" s="499">
        <f>'CP Backup'!F79</f>
        <v>0</v>
      </c>
      <c r="G57" s="484"/>
      <c r="H57" s="506">
        <f>F57</f>
        <v>0</v>
      </c>
    </row>
    <row r="58" spans="1:8" ht="16" hidden="1" thickBot="1">
      <c r="A58" s="492" t="str">
        <f>'CP Backup'!A80</f>
        <v>Project Manager Hrs</v>
      </c>
      <c r="B58" s="493">
        <f>'CP Backup'!B80</f>
        <v>0</v>
      </c>
      <c r="C58" s="493">
        <f>'CP Backup'!C80</f>
        <v>0</v>
      </c>
      <c r="D58" s="493">
        <f>'CP Backup'!D80</f>
        <v>0</v>
      </c>
      <c r="E58" s="493">
        <f>'CP Backup'!E80</f>
        <v>0</v>
      </c>
      <c r="F58" s="494"/>
      <c r="G58" s="484"/>
      <c r="H58" s="506">
        <f t="shared" si="1"/>
        <v>0</v>
      </c>
    </row>
    <row r="59" spans="1:8" ht="16" hidden="1" thickBot="1">
      <c r="A59" s="495" t="str">
        <f>'CP Backup'!A81</f>
        <v>Rate</v>
      </c>
      <c r="B59" s="496">
        <f>'CP Backup'!B81</f>
        <v>143.91999999999999</v>
      </c>
      <c r="C59" s="496">
        <f>'CP Backup'!C81</f>
        <v>177</v>
      </c>
      <c r="D59" s="496">
        <f>'CP Backup'!D81</f>
        <v>222.83</v>
      </c>
      <c r="E59" s="498">
        <f>'CP Backup'!E81</f>
        <v>0</v>
      </c>
      <c r="F59" s="499">
        <f>'CP Backup'!F81</f>
        <v>0</v>
      </c>
      <c r="G59" s="484"/>
      <c r="H59" s="506">
        <f>F59</f>
        <v>0</v>
      </c>
    </row>
    <row r="60" spans="1:8" ht="16" hidden="1" thickBot="1">
      <c r="A60" s="492" t="str">
        <f>'CP Backup'!A82</f>
        <v>Project Engineer Hrs</v>
      </c>
      <c r="B60" s="493">
        <f>'CP Backup'!B82</f>
        <v>0</v>
      </c>
      <c r="C60" s="493">
        <f>'CP Backup'!C82</f>
        <v>0</v>
      </c>
      <c r="D60" s="493">
        <f>'CP Backup'!D82</f>
        <v>0</v>
      </c>
      <c r="E60" s="493">
        <f>'CP Backup'!E82</f>
        <v>0</v>
      </c>
      <c r="F60" s="494"/>
      <c r="G60" s="484"/>
      <c r="H60" s="506">
        <f t="shared" si="1"/>
        <v>0</v>
      </c>
    </row>
    <row r="61" spans="1:8" ht="16" hidden="1" thickBot="1">
      <c r="A61" s="495" t="str">
        <f>'CP Backup'!A83</f>
        <v>Rate</v>
      </c>
      <c r="B61" s="496">
        <f>'CP Backup'!B83</f>
        <v>118.81</v>
      </c>
      <c r="C61" s="496">
        <f>'CP Backup'!C83</f>
        <v>109.58</v>
      </c>
      <c r="D61" s="496">
        <f>'CP Backup'!D83</f>
        <v>135.71</v>
      </c>
      <c r="E61" s="498">
        <f>'CP Backup'!E83</f>
        <v>0</v>
      </c>
      <c r="F61" s="499">
        <f>'CP Backup'!F83</f>
        <v>0</v>
      </c>
      <c r="G61" s="484"/>
      <c r="H61" s="506">
        <f>F61</f>
        <v>0</v>
      </c>
    </row>
    <row r="62" spans="1:8" ht="16" hidden="1" thickBot="1">
      <c r="A62" s="492" t="str">
        <f>'CP Backup'!A84</f>
        <v>BIM/Coordination Hrs</v>
      </c>
      <c r="B62" s="493">
        <f>'CP Backup'!B84</f>
        <v>0</v>
      </c>
      <c r="C62" s="493">
        <f>'CP Backup'!C84</f>
        <v>0</v>
      </c>
      <c r="D62" s="493">
        <f>'CP Backup'!D84</f>
        <v>0</v>
      </c>
      <c r="E62" s="493">
        <f>'CP Backup'!E84</f>
        <v>0</v>
      </c>
      <c r="F62" s="494"/>
      <c r="G62" s="484"/>
      <c r="H62" s="506">
        <f t="shared" si="1"/>
        <v>0</v>
      </c>
    </row>
    <row r="63" spans="1:8" ht="16" hidden="1" thickBot="1">
      <c r="A63" s="495" t="str">
        <f>'CP Backup'!A85</f>
        <v>Rate</v>
      </c>
      <c r="B63" s="496">
        <f>'CP Backup'!B85</f>
        <v>144.61000000000001</v>
      </c>
      <c r="C63" s="496">
        <f>'CP Backup'!C85</f>
        <v>160.91</v>
      </c>
      <c r="D63" s="496">
        <f>'CP Backup'!D85</f>
        <v>202.57000000000002</v>
      </c>
      <c r="E63" s="498">
        <f>'CP Backup'!E85</f>
        <v>0</v>
      </c>
      <c r="F63" s="499">
        <f>'CP Backup'!F85</f>
        <v>0</v>
      </c>
      <c r="G63" s="484"/>
      <c r="H63" s="506">
        <f>F63</f>
        <v>0</v>
      </c>
    </row>
    <row r="64" spans="1:8" ht="16" hidden="1" thickBot="1">
      <c r="A64" s="492" t="str">
        <f>'CP Backup'!A86</f>
        <v>Custom 1 Hrs</v>
      </c>
      <c r="B64" s="493">
        <f>'CP Backup'!B86</f>
        <v>0</v>
      </c>
      <c r="C64" s="493">
        <f>'CP Backup'!C86</f>
        <v>0</v>
      </c>
      <c r="D64" s="493">
        <f>'CP Backup'!D86</f>
        <v>0</v>
      </c>
      <c r="E64" s="493">
        <f>'CP Backup'!E86</f>
        <v>0</v>
      </c>
      <c r="F64" s="494"/>
      <c r="G64" s="484"/>
      <c r="H64" s="506">
        <f t="shared" si="1"/>
        <v>0</v>
      </c>
    </row>
    <row r="65" spans="1:8" ht="16" hidden="1" thickBot="1">
      <c r="A65" s="495" t="str">
        <f>'CP Backup'!A87</f>
        <v>Rate</v>
      </c>
      <c r="B65" s="496">
        <f>'CP Backup'!B87</f>
        <v>0</v>
      </c>
      <c r="C65" s="496">
        <f>'CP Backup'!C87</f>
        <v>0</v>
      </c>
      <c r="D65" s="496">
        <f>'CP Backup'!D87</f>
        <v>0</v>
      </c>
      <c r="E65" s="498">
        <f>'CP Backup'!E87</f>
        <v>0</v>
      </c>
      <c r="F65" s="499">
        <f>'CP Backup'!F87</f>
        <v>0</v>
      </c>
      <c r="G65" s="484"/>
      <c r="H65" s="506">
        <f>F65</f>
        <v>0</v>
      </c>
    </row>
    <row r="66" spans="1:8" ht="16" hidden="1" thickBot="1">
      <c r="A66" s="492" t="str">
        <f>'CP Backup'!A88</f>
        <v>Custom 2 Hrs</v>
      </c>
      <c r="B66" s="493">
        <f>'CP Backup'!B88</f>
        <v>0</v>
      </c>
      <c r="C66" s="493">
        <f>'CP Backup'!C88</f>
        <v>0</v>
      </c>
      <c r="D66" s="493">
        <f>'CP Backup'!D88</f>
        <v>0</v>
      </c>
      <c r="E66" s="493">
        <f>'CP Backup'!E88</f>
        <v>0</v>
      </c>
      <c r="F66" s="494"/>
      <c r="G66" s="484"/>
      <c r="H66" s="506">
        <f t="shared" si="1"/>
        <v>0</v>
      </c>
    </row>
    <row r="67" spans="1:8" ht="16" hidden="1" thickBot="1">
      <c r="A67" s="495" t="str">
        <f>'CP Backup'!A89</f>
        <v>Rate</v>
      </c>
      <c r="B67" s="496">
        <f>'CP Backup'!B89</f>
        <v>0</v>
      </c>
      <c r="C67" s="496">
        <f>'CP Backup'!C89</f>
        <v>0</v>
      </c>
      <c r="D67" s="496">
        <f>'CP Backup'!D89</f>
        <v>0</v>
      </c>
      <c r="E67" s="498">
        <f>'CP Backup'!E89</f>
        <v>0</v>
      </c>
      <c r="F67" s="499">
        <f>'CP Backup'!F89</f>
        <v>0</v>
      </c>
      <c r="G67" s="484"/>
      <c r="H67" s="506">
        <f>F67</f>
        <v>0</v>
      </c>
    </row>
    <row r="68" spans="1:8" ht="16" hidden="1" thickBot="1">
      <c r="A68" s="492" t="str">
        <f>'CP Backup'!A90</f>
        <v>Custom 3 Hrs</v>
      </c>
      <c r="B68" s="493">
        <f>'CP Backup'!B90</f>
        <v>0</v>
      </c>
      <c r="C68" s="493">
        <f>'CP Backup'!C90</f>
        <v>0</v>
      </c>
      <c r="D68" s="493">
        <f>'CP Backup'!D90</f>
        <v>0</v>
      </c>
      <c r="E68" s="493">
        <f>'CP Backup'!E90</f>
        <v>0</v>
      </c>
      <c r="F68" s="494"/>
      <c r="G68" s="484"/>
      <c r="H68" s="506">
        <f t="shared" si="1"/>
        <v>0</v>
      </c>
    </row>
    <row r="69" spans="1:8" ht="16" hidden="1" thickBot="1">
      <c r="A69" s="495" t="str">
        <f>'CP Backup'!A91</f>
        <v>Rate</v>
      </c>
      <c r="B69" s="496">
        <f>'CP Backup'!B91</f>
        <v>0</v>
      </c>
      <c r="C69" s="496">
        <f>'CP Backup'!C91</f>
        <v>0</v>
      </c>
      <c r="D69" s="496">
        <f>'CP Backup'!D91</f>
        <v>0</v>
      </c>
      <c r="E69" s="498">
        <f>'CP Backup'!E91</f>
        <v>0</v>
      </c>
      <c r="F69" s="499">
        <f>'CP Backup'!F91</f>
        <v>0</v>
      </c>
      <c r="G69" s="484"/>
      <c r="H69" s="506">
        <f>F69</f>
        <v>0</v>
      </c>
    </row>
    <row r="70" spans="1:8" ht="16" hidden="1" thickBot="1">
      <c r="A70" s="484"/>
      <c r="B70" s="485"/>
      <c r="C70" s="484"/>
      <c r="D70" s="486"/>
      <c r="E70" s="487"/>
      <c r="F70" s="486"/>
      <c r="G70" s="484"/>
      <c r="H70" s="506">
        <f>H25</f>
        <v>0</v>
      </c>
    </row>
    <row r="71" spans="1:8" ht="24.75" customHeight="1" thickBot="1">
      <c r="A71" s="484"/>
      <c r="B71" s="484"/>
      <c r="C71" s="484"/>
      <c r="D71" s="700" t="s">
        <v>2</v>
      </c>
      <c r="E71" s="701"/>
      <c r="F71" s="702"/>
      <c r="G71" s="484"/>
      <c r="H71" s="506">
        <v>1</v>
      </c>
    </row>
    <row r="72" spans="1:8" ht="18.75" hidden="1" customHeight="1">
      <c r="A72" s="484"/>
      <c r="B72" s="484"/>
      <c r="C72" s="484"/>
      <c r="D72" s="703" t="s">
        <v>3</v>
      </c>
      <c r="E72" s="704" t="s">
        <v>4</v>
      </c>
      <c r="F72" s="500">
        <f>'CP Backup'!$D$31</f>
        <v>0</v>
      </c>
      <c r="G72" s="484"/>
      <c r="H72" s="506">
        <f>F72</f>
        <v>0</v>
      </c>
    </row>
    <row r="73" spans="1:8" ht="18.75" hidden="1" customHeight="1">
      <c r="A73" s="484"/>
      <c r="B73" s="484"/>
      <c r="C73" s="483">
        <f>'CP Backup'!B32</f>
        <v>0.1</v>
      </c>
      <c r="D73" s="696" t="str">
        <f>'CP Backup'!A32</f>
        <v>Material Markup</v>
      </c>
      <c r="E73" s="697"/>
      <c r="F73" s="501">
        <f>'CP Backup'!$D$32</f>
        <v>0</v>
      </c>
      <c r="G73" s="484"/>
      <c r="H73" s="506">
        <f t="shared" ref="H73:H92" si="2">F73</f>
        <v>0</v>
      </c>
    </row>
    <row r="74" spans="1:8" ht="18.75" hidden="1" customHeight="1">
      <c r="A74" s="484"/>
      <c r="B74" s="484"/>
      <c r="C74" s="484"/>
      <c r="D74" s="696" t="s">
        <v>86</v>
      </c>
      <c r="E74" s="697" t="s">
        <v>4</v>
      </c>
      <c r="F74" s="500">
        <f>'CP Backup'!$D$43</f>
        <v>0</v>
      </c>
      <c r="G74" s="484"/>
      <c r="H74" s="506">
        <f t="shared" si="2"/>
        <v>0</v>
      </c>
    </row>
    <row r="75" spans="1:8" ht="18.75" hidden="1" customHeight="1">
      <c r="A75" s="484"/>
      <c r="B75" s="484"/>
      <c r="C75" s="483">
        <f>'CP Backup'!B44</f>
        <v>0.1</v>
      </c>
      <c r="D75" s="696" t="str">
        <f>'CP Backup'!A44</f>
        <v>Equipment Markup</v>
      </c>
      <c r="E75" s="697"/>
      <c r="F75" s="501">
        <f>'CP Backup'!$D$44</f>
        <v>0</v>
      </c>
      <c r="G75" s="484"/>
      <c r="H75" s="506">
        <f t="shared" si="2"/>
        <v>0</v>
      </c>
    </row>
    <row r="76" spans="1:8" ht="18.75" hidden="1" customHeight="1">
      <c r="A76" s="484"/>
      <c r="B76" s="484"/>
      <c r="C76" s="502"/>
      <c r="D76" s="696" t="s">
        <v>70</v>
      </c>
      <c r="E76" s="697" t="s">
        <v>4</v>
      </c>
      <c r="F76" s="501">
        <f>'CP Backup'!D92</f>
        <v>0</v>
      </c>
      <c r="G76" s="484"/>
      <c r="H76" s="506">
        <f t="shared" si="2"/>
        <v>0</v>
      </c>
    </row>
    <row r="77" spans="1:8" ht="18.75" hidden="1" customHeight="1">
      <c r="A77" s="484"/>
      <c r="B77" s="484"/>
      <c r="C77" s="502"/>
      <c r="D77" s="693" t="s">
        <v>10</v>
      </c>
      <c r="E77" s="693"/>
      <c r="F77" s="501">
        <f>'CP Backup'!D93</f>
        <v>0</v>
      </c>
      <c r="G77" s="484"/>
      <c r="H77" s="506">
        <f t="shared" si="2"/>
        <v>0</v>
      </c>
    </row>
    <row r="78" spans="1:8" ht="18.75" hidden="1" customHeight="1">
      <c r="A78" s="484"/>
      <c r="B78" s="484"/>
      <c r="C78" s="483">
        <f>'CP Backup'!B94</f>
        <v>0.1</v>
      </c>
      <c r="D78" s="696" t="str">
        <f>'CP Backup'!A94</f>
        <v>Labor Markup</v>
      </c>
      <c r="E78" s="697" t="s">
        <v>5</v>
      </c>
      <c r="F78" s="501">
        <f>'CP Backup'!$D$94</f>
        <v>0</v>
      </c>
      <c r="G78" s="484"/>
      <c r="H78" s="506">
        <f t="shared" si="2"/>
        <v>0</v>
      </c>
    </row>
    <row r="79" spans="1:8" ht="18.75" hidden="1" customHeight="1">
      <c r="A79" s="484"/>
      <c r="B79" s="484"/>
      <c r="C79" s="502"/>
      <c r="D79" s="696" t="s">
        <v>6</v>
      </c>
      <c r="E79" s="697" t="s">
        <v>6</v>
      </c>
      <c r="F79" s="501">
        <f>'CP Backup'!$D$104</f>
        <v>0</v>
      </c>
      <c r="G79" s="484"/>
      <c r="H79" s="506">
        <f t="shared" si="2"/>
        <v>0</v>
      </c>
    </row>
    <row r="80" spans="1:8" ht="18.75" hidden="1" customHeight="1">
      <c r="A80" s="484"/>
      <c r="B80" s="484"/>
      <c r="C80" s="483">
        <f>'CP Backup'!B105</f>
        <v>0.1</v>
      </c>
      <c r="D80" s="696" t="str">
        <f>'CP Backup'!A105</f>
        <v>Sub Markup</v>
      </c>
      <c r="E80" s="697" t="s">
        <v>5</v>
      </c>
      <c r="F80" s="501">
        <f>'CP Backup'!$D$105</f>
        <v>0</v>
      </c>
      <c r="G80" s="484"/>
      <c r="H80" s="506">
        <f t="shared" si="2"/>
        <v>0</v>
      </c>
    </row>
    <row r="81" spans="1:8" ht="18.75" hidden="1" customHeight="1">
      <c r="A81" s="484"/>
      <c r="B81" s="484"/>
      <c r="C81" s="502"/>
      <c r="D81" s="693" t="s">
        <v>76</v>
      </c>
      <c r="E81" s="693" t="s">
        <v>7</v>
      </c>
      <c r="F81" s="501">
        <f>'CP Backup'!$D$108</f>
        <v>0</v>
      </c>
      <c r="G81" s="484"/>
      <c r="H81" s="506">
        <f t="shared" si="2"/>
        <v>0</v>
      </c>
    </row>
    <row r="82" spans="1:8" ht="18.75" hidden="1" customHeight="1">
      <c r="A82" s="484"/>
      <c r="B82" s="484"/>
      <c r="C82" s="502"/>
      <c r="D82" s="693" t="s">
        <v>7</v>
      </c>
      <c r="E82" s="693" t="s">
        <v>7</v>
      </c>
      <c r="F82" s="501">
        <f>'CP Backup'!$D$109</f>
        <v>0</v>
      </c>
      <c r="G82" s="484"/>
      <c r="H82" s="506">
        <f t="shared" si="2"/>
        <v>0</v>
      </c>
    </row>
    <row r="83" spans="1:8" ht="18.75" hidden="1" customHeight="1">
      <c r="A83" s="484"/>
      <c r="B83" s="484"/>
      <c r="C83" s="502"/>
      <c r="D83" s="693" t="s">
        <v>8</v>
      </c>
      <c r="E83" s="693"/>
      <c r="F83" s="501">
        <f>'CP Backup'!$D$111</f>
        <v>0</v>
      </c>
      <c r="G83" s="484"/>
      <c r="H83" s="506">
        <f t="shared" si="2"/>
        <v>0</v>
      </c>
    </row>
    <row r="84" spans="1:8" ht="18.75" hidden="1" customHeight="1">
      <c r="A84" s="484"/>
      <c r="B84" s="484"/>
      <c r="C84" s="502"/>
      <c r="D84" s="693" t="s">
        <v>68</v>
      </c>
      <c r="E84" s="693"/>
      <c r="F84" s="501">
        <f>'CP Backup'!$D$112</f>
        <v>0</v>
      </c>
      <c r="G84" s="484"/>
      <c r="H84" s="506">
        <f t="shared" si="2"/>
        <v>0</v>
      </c>
    </row>
    <row r="85" spans="1:8" ht="18.75" hidden="1" customHeight="1">
      <c r="A85" s="484"/>
      <c r="B85" s="484"/>
      <c r="C85" s="502"/>
      <c r="D85" s="693" t="s">
        <v>69</v>
      </c>
      <c r="E85" s="693"/>
      <c r="F85" s="501">
        <f>'CP Backup'!$D$113</f>
        <v>0</v>
      </c>
      <c r="G85" s="484"/>
      <c r="H85" s="506">
        <f t="shared" si="2"/>
        <v>0</v>
      </c>
    </row>
    <row r="86" spans="1:8" ht="18.75" hidden="1" customHeight="1">
      <c r="A86" s="484"/>
      <c r="B86" s="484"/>
      <c r="C86" s="483">
        <f>'CP Backup'!B115</f>
        <v>0</v>
      </c>
      <c r="D86" s="693" t="str">
        <f>'CP Backup'!A115</f>
        <v>Rental/Indirect Markup</v>
      </c>
      <c r="E86" s="693"/>
      <c r="F86" s="501">
        <f>'CP Backup'!$D$115</f>
        <v>0</v>
      </c>
      <c r="G86" s="484"/>
      <c r="H86" s="506">
        <f t="shared" si="2"/>
        <v>0</v>
      </c>
    </row>
    <row r="87" spans="1:8" ht="18.75" hidden="1" customHeight="1">
      <c r="A87" s="484"/>
      <c r="B87" s="484"/>
      <c r="C87" s="483">
        <f>'CP Backup'!B119</f>
        <v>0</v>
      </c>
      <c r="D87" s="693" t="str">
        <f>'CP Backup'!A119</f>
        <v>Total Markup</v>
      </c>
      <c r="E87" s="693"/>
      <c r="F87" s="501">
        <f>'CP Backup'!$D$119</f>
        <v>0</v>
      </c>
      <c r="G87" s="484"/>
      <c r="H87" s="506">
        <f t="shared" si="2"/>
        <v>0</v>
      </c>
    </row>
    <row r="88" spans="1:8" ht="18.75" hidden="1" customHeight="1">
      <c r="A88" s="484"/>
      <c r="B88" s="484"/>
      <c r="C88" s="483"/>
      <c r="D88" s="693" t="s">
        <v>27</v>
      </c>
      <c r="E88" s="693"/>
      <c r="F88" s="501">
        <f>'CP Backup'!$D$120</f>
        <v>0</v>
      </c>
      <c r="G88" s="484"/>
      <c r="H88" s="506">
        <f t="shared" si="2"/>
        <v>0</v>
      </c>
    </row>
    <row r="89" spans="1:8" ht="18.75" hidden="1" customHeight="1">
      <c r="A89" s="484"/>
      <c r="B89" s="484"/>
      <c r="C89" s="483"/>
      <c r="D89" s="693" t="s">
        <v>11</v>
      </c>
      <c r="E89" s="693"/>
      <c r="F89" s="501">
        <f>'CP Backup'!$D$121</f>
        <v>0</v>
      </c>
      <c r="G89" s="484"/>
      <c r="H89" s="506">
        <f t="shared" si="2"/>
        <v>0</v>
      </c>
    </row>
    <row r="90" spans="1:8" ht="18.75" hidden="1" customHeight="1">
      <c r="A90" s="484"/>
      <c r="B90" s="484"/>
      <c r="C90" s="483"/>
      <c r="D90" s="693" t="s">
        <v>28</v>
      </c>
      <c r="E90" s="693"/>
      <c r="F90" s="501">
        <f>'CP Backup'!$D$122</f>
        <v>0</v>
      </c>
      <c r="G90" s="484"/>
      <c r="H90" s="506">
        <f t="shared" si="2"/>
        <v>0</v>
      </c>
    </row>
    <row r="91" spans="1:8" ht="18.75" hidden="1" customHeight="1">
      <c r="A91" s="484"/>
      <c r="B91" s="484"/>
      <c r="C91" s="483"/>
      <c r="D91" s="693" t="s">
        <v>867</v>
      </c>
      <c r="E91" s="693"/>
      <c r="F91" s="501">
        <f>'CP Backup'!$D$123</f>
        <v>0</v>
      </c>
      <c r="G91" s="484"/>
      <c r="H91" s="506">
        <f t="shared" si="2"/>
        <v>0</v>
      </c>
    </row>
    <row r="92" spans="1:8" ht="18.75" hidden="1" customHeight="1">
      <c r="A92" s="484"/>
      <c r="B92" s="484"/>
      <c r="C92" s="483"/>
      <c r="D92" s="693" t="str">
        <f>'CP Backup'!A124</f>
        <v>Round to Nearest $5</v>
      </c>
      <c r="E92" s="693"/>
      <c r="F92" s="501">
        <f>'CP Backup'!$D$124</f>
        <v>0</v>
      </c>
      <c r="G92" s="484"/>
      <c r="H92" s="506">
        <f t="shared" si="2"/>
        <v>0</v>
      </c>
    </row>
    <row r="93" spans="1:8">
      <c r="A93" s="484"/>
      <c r="B93" s="485"/>
      <c r="C93" s="484"/>
      <c r="D93" s="485"/>
      <c r="E93" s="485"/>
      <c r="F93" s="503"/>
      <c r="G93" s="484"/>
      <c r="H93" s="506"/>
    </row>
    <row r="94" spans="1:8" ht="16" thickBot="1">
      <c r="A94" s="484"/>
      <c r="B94" s="485"/>
      <c r="C94" s="484"/>
      <c r="D94" s="484"/>
      <c r="E94" s="504" t="s">
        <v>12</v>
      </c>
      <c r="F94" s="505">
        <f>'CP Backup'!$D$125</f>
        <v>0</v>
      </c>
      <c r="G94" s="484"/>
      <c r="H94" s="506"/>
    </row>
    <row r="95" spans="1:8" ht="16" thickTop="1">
      <c r="A95" s="484"/>
      <c r="B95" s="485"/>
      <c r="C95" s="484"/>
      <c r="D95" s="486"/>
      <c r="E95" s="487"/>
      <c r="F95" s="486"/>
      <c r="G95" s="484"/>
      <c r="H95" s="506"/>
    </row>
  </sheetData>
  <sheetProtection algorithmName="SHA-512" hashValue="waUSzv6I/+rx5ZElkDAELwSAve45LzoTdm5CQGDCerl1r7RvN6fTAJ6ZdXchqiyFKZb8Ekt/P4GlgapmZ9LunQ==" saltValue="xCNG/sU+M1IdSFI2OFDcxg==" spinCount="100000" sheet="1" objects="1" scenarios="1" formatCells="0" autoFilter="0"/>
  <mergeCells count="45">
    <mergeCell ref="D92:E92"/>
    <mergeCell ref="D78:E78"/>
    <mergeCell ref="D80:E80"/>
    <mergeCell ref="D79:E79"/>
    <mergeCell ref="D71:F71"/>
    <mergeCell ref="D72:E72"/>
    <mergeCell ref="D76:E76"/>
    <mergeCell ref="D74:E74"/>
    <mergeCell ref="D75:E75"/>
    <mergeCell ref="D87:E87"/>
    <mergeCell ref="D81:E81"/>
    <mergeCell ref="D83:E83"/>
    <mergeCell ref="D84:E84"/>
    <mergeCell ref="D86:E86"/>
    <mergeCell ref="D85:E85"/>
    <mergeCell ref="D91:E91"/>
    <mergeCell ref="A2:F2"/>
    <mergeCell ref="D73:E73"/>
    <mergeCell ref="B4:D4"/>
    <mergeCell ref="B6:C6"/>
    <mergeCell ref="E6:F6"/>
    <mergeCell ref="B9:F9"/>
    <mergeCell ref="B10:F10"/>
    <mergeCell ref="B11:F11"/>
    <mergeCell ref="B15:F15"/>
    <mergeCell ref="B21:F21"/>
    <mergeCell ref="B22:F22"/>
    <mergeCell ref="B23:F23"/>
    <mergeCell ref="A17:A23"/>
    <mergeCell ref="B12:F12"/>
    <mergeCell ref="B13:F13"/>
    <mergeCell ref="B14:F14"/>
    <mergeCell ref="B5:C5"/>
    <mergeCell ref="D5:E5"/>
    <mergeCell ref="B7:C7"/>
    <mergeCell ref="E7:F7"/>
    <mergeCell ref="D90:E90"/>
    <mergeCell ref="D77:E77"/>
    <mergeCell ref="D89:E89"/>
    <mergeCell ref="B18:F18"/>
    <mergeCell ref="B19:F19"/>
    <mergeCell ref="B20:F20"/>
    <mergeCell ref="B17:F17"/>
    <mergeCell ref="D82:E82"/>
    <mergeCell ref="D88:E88"/>
  </mergeCells>
  <conditionalFormatting sqref="D93:F93">
    <cfRule type="expression" dxfId="35" priority="4">
      <formula>OCIP_Req=2</formula>
    </cfRule>
  </conditionalFormatting>
  <printOptions horizontalCentered="1" gridLines="1" gridLinesSet="0"/>
  <pageMargins left="0.5" right="0.5" top="0.5" bottom="0.5" header="0.3" footer="0.3"/>
  <pageSetup scale="98" fitToHeight="0" orientation="portrait" horizontalDpi="2400" verticalDpi="2400" r:id="rId1"/>
  <headerFooter alignWithMargins="0">
    <oddFooter>Page &amp;P of &amp;N</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X167"/>
  <sheetViews>
    <sheetView topLeftCell="A110" workbookViewId="0">
      <selection activeCell="D2" sqref="D2:F2"/>
    </sheetView>
  </sheetViews>
  <sheetFormatPr defaultRowHeight="14.5"/>
  <cols>
    <col min="1" max="1" width="27.81640625" customWidth="1"/>
    <col min="2" max="6" width="14.7265625" customWidth="1"/>
    <col min="7" max="7" width="20.1796875" customWidth="1"/>
    <col min="8" max="8" width="12" customWidth="1"/>
    <col min="10" max="10" width="11.81640625" customWidth="1"/>
    <col min="13" max="14" width="4.54296875" customWidth="1"/>
    <col min="15" max="15" width="29.26953125" bestFit="1" customWidth="1"/>
    <col min="16" max="19" width="12.7265625" customWidth="1"/>
    <col min="20" max="20" width="8.26953125" customWidth="1"/>
    <col min="21" max="21" width="18.54296875" style="40" customWidth="1"/>
    <col min="22" max="24" width="11.1796875" style="530" customWidth="1"/>
    <col min="25" max="26" width="16.81640625" customWidth="1"/>
  </cols>
  <sheetData>
    <row r="1" spans="1:24" ht="41.25" customHeight="1" thickBot="1">
      <c r="A1" s="519"/>
      <c r="B1" s="520"/>
      <c r="C1" s="760" t="s">
        <v>1246</v>
      </c>
      <c r="D1" s="760"/>
      <c r="E1" s="760"/>
      <c r="F1" s="761"/>
      <c r="G1" s="1"/>
      <c r="H1" s="223">
        <v>46239</v>
      </c>
      <c r="L1" s="36" t="s">
        <v>156</v>
      </c>
    </row>
    <row r="2" spans="1:24" s="2" customFormat="1" ht="15" customHeight="1" thickBot="1">
      <c r="A2" s="526" t="s">
        <v>13</v>
      </c>
      <c r="B2" s="44"/>
      <c r="C2" s="528" t="s">
        <v>15</v>
      </c>
      <c r="D2" s="708"/>
      <c r="E2" s="709"/>
      <c r="F2" s="762"/>
      <c r="G2" s="3"/>
      <c r="H2" t="s">
        <v>1294</v>
      </c>
      <c r="I2"/>
      <c r="J2"/>
      <c r="U2" s="26"/>
      <c r="V2" s="508"/>
      <c r="W2" s="508"/>
      <c r="X2" s="508"/>
    </row>
    <row r="3" spans="1:24" s="2" customFormat="1" ht="15" customHeight="1" thickBot="1">
      <c r="A3" s="527" t="s">
        <v>67</v>
      </c>
      <c r="B3" s="522"/>
      <c r="C3" s="528" t="s">
        <v>159</v>
      </c>
      <c r="D3" s="708"/>
      <c r="E3" s="709"/>
      <c r="F3" s="762"/>
      <c r="G3" s="3"/>
      <c r="H3"/>
      <c r="I3"/>
      <c r="J3"/>
      <c r="U3" s="26"/>
      <c r="V3" s="508"/>
      <c r="W3" s="508"/>
      <c r="X3" s="508"/>
    </row>
    <row r="4" spans="1:24" s="2" customFormat="1" ht="15" customHeight="1" thickBot="1">
      <c r="A4" s="527" t="s">
        <v>1056</v>
      </c>
      <c r="B4" s="45"/>
      <c r="C4" s="528" t="s">
        <v>14</v>
      </c>
      <c r="D4" s="708"/>
      <c r="E4" s="709"/>
      <c r="F4" s="762"/>
      <c r="G4" s="3"/>
      <c r="H4"/>
      <c r="I4"/>
      <c r="J4"/>
      <c r="U4" s="26"/>
      <c r="V4" s="508"/>
      <c r="W4" s="508"/>
      <c r="X4" s="508"/>
    </row>
    <row r="5" spans="1:24" s="2" customFormat="1" ht="15" customHeight="1" thickBot="1">
      <c r="A5" s="528" t="s">
        <v>75</v>
      </c>
      <c r="B5" s="522"/>
      <c r="C5" s="528" t="s">
        <v>1281</v>
      </c>
      <c r="D5" s="708"/>
      <c r="E5" s="709"/>
      <c r="F5" s="762"/>
      <c r="G5" s="3"/>
      <c r="H5"/>
      <c r="I5"/>
      <c r="J5"/>
      <c r="U5" s="26"/>
      <c r="V5" s="508"/>
      <c r="W5" s="508"/>
      <c r="X5" s="508"/>
    </row>
    <row r="6" spans="1:24" s="2" customFormat="1" ht="15" customHeight="1" thickBot="1">
      <c r="A6" s="528" t="s">
        <v>155</v>
      </c>
      <c r="B6" s="708"/>
      <c r="C6" s="709"/>
      <c r="D6" s="709"/>
      <c r="E6" s="709"/>
      <c r="F6" s="762"/>
      <c r="G6" s="3"/>
      <c r="H6"/>
      <c r="I6"/>
      <c r="J6"/>
      <c r="U6" s="26"/>
      <c r="V6" s="508"/>
      <c r="W6" s="508"/>
      <c r="X6" s="508"/>
    </row>
    <row r="7" spans="1:24" s="2" customFormat="1" ht="15" customHeight="1" thickBot="1">
      <c r="A7" s="705" t="s">
        <v>65</v>
      </c>
      <c r="B7" s="708"/>
      <c r="C7" s="709"/>
      <c r="D7" s="709"/>
      <c r="E7" s="709"/>
      <c r="F7" s="546"/>
      <c r="G7" s="3"/>
      <c r="H7"/>
      <c r="I7"/>
      <c r="J7"/>
      <c r="U7" s="26"/>
      <c r="V7" s="508"/>
      <c r="W7" s="508"/>
      <c r="X7" s="508"/>
    </row>
    <row r="8" spans="1:24" s="2" customFormat="1" ht="15" customHeight="1" thickBot="1">
      <c r="A8" s="706"/>
      <c r="B8" s="708"/>
      <c r="C8" s="709"/>
      <c r="D8" s="709"/>
      <c r="E8" s="709"/>
      <c r="F8" s="548"/>
      <c r="G8" s="3"/>
      <c r="H8"/>
      <c r="I8"/>
      <c r="J8"/>
      <c r="U8" s="26"/>
      <c r="V8" s="508"/>
      <c r="W8" s="508"/>
      <c r="X8" s="508"/>
    </row>
    <row r="9" spans="1:24" s="2" customFormat="1" ht="15" customHeight="1" thickBot="1">
      <c r="A9" s="706"/>
      <c r="B9" s="708"/>
      <c r="C9" s="709"/>
      <c r="D9" s="709"/>
      <c r="E9" s="709"/>
      <c r="F9" s="548"/>
      <c r="G9" s="3"/>
      <c r="H9"/>
      <c r="I9"/>
      <c r="J9"/>
      <c r="U9" s="26"/>
      <c r="V9" s="508"/>
      <c r="W9" s="508"/>
      <c r="X9" s="508"/>
    </row>
    <row r="10" spans="1:24" s="2" customFormat="1" ht="15" customHeight="1" thickBot="1">
      <c r="A10" s="706"/>
      <c r="B10" s="708"/>
      <c r="C10" s="709"/>
      <c r="D10" s="709"/>
      <c r="E10" s="709"/>
      <c r="F10" s="548"/>
      <c r="G10" s="3"/>
      <c r="H10"/>
      <c r="I10"/>
      <c r="J10"/>
      <c r="U10" s="26"/>
      <c r="V10" s="508"/>
      <c r="W10" s="508"/>
      <c r="X10" s="508"/>
    </row>
    <row r="11" spans="1:24" s="2" customFormat="1" ht="15" customHeight="1" thickBot="1">
      <c r="A11" s="706"/>
      <c r="B11" s="708"/>
      <c r="C11" s="709"/>
      <c r="D11" s="709"/>
      <c r="E11" s="709"/>
      <c r="F11" s="548"/>
      <c r="G11" s="3"/>
      <c r="H11"/>
      <c r="I11"/>
      <c r="J11"/>
      <c r="U11" s="26"/>
      <c r="V11" s="508"/>
      <c r="W11" s="508"/>
      <c r="X11" s="508"/>
    </row>
    <row r="12" spans="1:24" s="2" customFormat="1" ht="15" customHeight="1" thickBot="1">
      <c r="A12" s="706"/>
      <c r="B12" s="708"/>
      <c r="C12" s="709"/>
      <c r="D12" s="709"/>
      <c r="E12" s="709"/>
      <c r="F12" s="548"/>
      <c r="G12" s="3"/>
      <c r="H12"/>
      <c r="I12"/>
      <c r="J12"/>
      <c r="U12" s="26"/>
      <c r="V12" s="508"/>
      <c r="W12" s="508"/>
      <c r="X12" s="508"/>
    </row>
    <row r="13" spans="1:24" s="2" customFormat="1" ht="15" customHeight="1" thickBot="1">
      <c r="A13" s="707"/>
      <c r="B13" s="708"/>
      <c r="C13" s="709"/>
      <c r="D13" s="709"/>
      <c r="E13" s="709"/>
      <c r="F13" s="548"/>
      <c r="G13" s="3"/>
      <c r="H13"/>
      <c r="I13"/>
      <c r="J13"/>
      <c r="U13" s="26"/>
      <c r="V13" s="508"/>
      <c r="W13" s="508"/>
      <c r="X13" s="508"/>
    </row>
    <row r="14" spans="1:24" s="2" customFormat="1" ht="15" customHeight="1" thickBot="1">
      <c r="A14" s="705" t="s">
        <v>92</v>
      </c>
      <c r="B14" s="708"/>
      <c r="C14" s="709"/>
      <c r="D14" s="709"/>
      <c r="E14" s="709"/>
      <c r="F14" s="548"/>
      <c r="G14" s="3"/>
      <c r="H14"/>
      <c r="I14"/>
      <c r="J14"/>
      <c r="U14" s="26"/>
      <c r="V14" s="508"/>
      <c r="W14" s="508"/>
      <c r="X14" s="508"/>
    </row>
    <row r="15" spans="1:24" s="2" customFormat="1" ht="15" customHeight="1" thickBot="1">
      <c r="A15" s="706"/>
      <c r="B15" s="708"/>
      <c r="C15" s="709"/>
      <c r="D15" s="709"/>
      <c r="E15" s="709"/>
      <c r="F15" s="548"/>
      <c r="G15" s="3"/>
      <c r="H15"/>
      <c r="I15"/>
      <c r="J15"/>
      <c r="U15" s="26"/>
      <c r="V15" s="508"/>
      <c r="W15" s="508"/>
      <c r="X15" s="508"/>
    </row>
    <row r="16" spans="1:24" s="2" customFormat="1" ht="15" customHeight="1" thickBot="1">
      <c r="A16" s="706"/>
      <c r="B16" s="708"/>
      <c r="C16" s="709"/>
      <c r="D16" s="709"/>
      <c r="E16" s="709"/>
      <c r="F16" s="548"/>
      <c r="G16" s="3"/>
      <c r="H16"/>
      <c r="I16"/>
      <c r="J16"/>
      <c r="U16" s="26"/>
      <c r="V16" s="508"/>
      <c r="W16" s="508"/>
      <c r="X16" s="508"/>
    </row>
    <row r="17" spans="1:24" s="2" customFormat="1" ht="15" customHeight="1" thickBot="1">
      <c r="A17" s="706"/>
      <c r="B17" s="708"/>
      <c r="C17" s="709"/>
      <c r="D17" s="709"/>
      <c r="E17" s="709"/>
      <c r="F17" s="548"/>
      <c r="G17" s="3"/>
      <c r="H17"/>
      <c r="I17"/>
      <c r="J17"/>
      <c r="U17" s="26"/>
      <c r="V17" s="508"/>
      <c r="W17" s="508"/>
      <c r="X17" s="508"/>
    </row>
    <row r="18" spans="1:24" s="2" customFormat="1" ht="15" customHeight="1" thickBot="1">
      <c r="A18" s="706"/>
      <c r="B18" s="708"/>
      <c r="C18" s="709"/>
      <c r="D18" s="709"/>
      <c r="E18" s="709"/>
      <c r="F18" s="548"/>
      <c r="G18" s="3"/>
      <c r="H18"/>
      <c r="I18"/>
      <c r="J18"/>
      <c r="U18" s="26"/>
      <c r="V18" s="508"/>
      <c r="W18" s="508"/>
      <c r="X18" s="508"/>
    </row>
    <row r="19" spans="1:24" s="2" customFormat="1" ht="15" customHeight="1" thickBot="1">
      <c r="A19" s="706"/>
      <c r="B19" s="708"/>
      <c r="C19" s="709"/>
      <c r="D19" s="709"/>
      <c r="E19" s="709"/>
      <c r="F19" s="548"/>
      <c r="G19" s="3"/>
      <c r="H19"/>
      <c r="I19"/>
      <c r="J19"/>
      <c r="U19" s="26"/>
      <c r="V19" s="508"/>
      <c r="W19" s="508"/>
      <c r="X19" s="508"/>
    </row>
    <row r="20" spans="1:24" s="2" customFormat="1" ht="15" customHeight="1" thickBot="1">
      <c r="A20" s="707"/>
      <c r="B20" s="708"/>
      <c r="C20" s="709"/>
      <c r="D20" s="709"/>
      <c r="E20" s="709"/>
      <c r="F20" s="547"/>
      <c r="G20" s="3"/>
      <c r="H20"/>
      <c r="I20"/>
      <c r="J20"/>
      <c r="U20" s="26"/>
      <c r="V20" s="508"/>
      <c r="W20" s="508"/>
      <c r="X20" s="508"/>
    </row>
    <row r="21" spans="1:24" s="2" customFormat="1" ht="4.5" customHeight="1" thickBot="1">
      <c r="A21" s="713"/>
      <c r="B21" s="714"/>
      <c r="C21" s="714"/>
      <c r="D21" s="714"/>
      <c r="E21" s="714"/>
      <c r="F21" s="715"/>
      <c r="G21" s="4"/>
      <c r="H21"/>
      <c r="I21"/>
      <c r="J21" s="186"/>
      <c r="U21" s="26"/>
      <c r="V21" s="508"/>
      <c r="W21" s="508"/>
      <c r="X21" s="508"/>
    </row>
    <row r="22" spans="1:24" s="2" customFormat="1" ht="18.5" thickBot="1">
      <c r="A22" s="731" t="s">
        <v>59</v>
      </c>
      <c r="B22" s="732"/>
      <c r="C22" s="732"/>
      <c r="D22" s="733"/>
      <c r="E22" s="5"/>
      <c r="F22" s="308"/>
      <c r="G22" s="4"/>
      <c r="H22"/>
      <c r="I22"/>
      <c r="J22"/>
      <c r="U22" s="26"/>
      <c r="V22" s="508"/>
      <c r="W22" s="508"/>
      <c r="X22" s="508"/>
    </row>
    <row r="23" spans="1:24" s="2" customFormat="1" ht="15" thickBot="1">
      <c r="A23" s="734" t="s">
        <v>65</v>
      </c>
      <c r="B23" s="735"/>
      <c r="C23" s="332"/>
      <c r="D23" s="333" t="s">
        <v>3</v>
      </c>
      <c r="E23" s="309"/>
      <c r="F23" s="310"/>
      <c r="G23" s="4"/>
      <c r="H23"/>
      <c r="I23"/>
      <c r="J23"/>
      <c r="U23" s="26"/>
      <c r="V23" s="508"/>
      <c r="W23" s="508"/>
      <c r="X23" s="508"/>
    </row>
    <row r="24" spans="1:24" s="2" customFormat="1">
      <c r="A24" s="748" t="s">
        <v>688</v>
      </c>
      <c r="B24" s="749"/>
      <c r="C24" s="334"/>
      <c r="D24" s="18">
        <f>'SM Takeoff'!H93+'Inventory Takeoff'!I2+'Inventory Takeoff'!V2+'Plumb Takeoff'!F93+'Pipe Takeoff'!F93</f>
        <v>0</v>
      </c>
      <c r="E24" s="311"/>
      <c r="F24" s="312"/>
      <c r="G24" s="4"/>
      <c r="H24"/>
      <c r="I24"/>
      <c r="J24"/>
      <c r="U24" s="26"/>
      <c r="V24" s="508"/>
      <c r="W24" s="508"/>
      <c r="X24" s="508"/>
    </row>
    <row r="25" spans="1:24" s="2" customFormat="1">
      <c r="A25" s="721" t="s">
        <v>18</v>
      </c>
      <c r="B25" s="722"/>
      <c r="C25" s="723"/>
      <c r="D25" s="8"/>
      <c r="E25" s="311"/>
      <c r="F25" s="312"/>
      <c r="G25" s="4"/>
      <c r="H25"/>
      <c r="I25"/>
      <c r="J25"/>
      <c r="U25" s="26"/>
      <c r="V25" s="508"/>
      <c r="W25" s="508"/>
      <c r="X25" s="508"/>
    </row>
    <row r="26" spans="1:24" s="2" customFormat="1">
      <c r="A26" s="721"/>
      <c r="B26" s="722"/>
      <c r="C26" s="723"/>
      <c r="D26" s="8"/>
      <c r="E26" s="311"/>
      <c r="F26" s="312"/>
      <c r="G26" s="4"/>
      <c r="H26"/>
      <c r="I26"/>
      <c r="J26"/>
      <c r="U26" s="26"/>
      <c r="V26" s="508"/>
      <c r="W26" s="508"/>
      <c r="X26" s="508"/>
    </row>
    <row r="27" spans="1:24" s="2" customFormat="1">
      <c r="A27" s="721"/>
      <c r="B27" s="722"/>
      <c r="C27" s="723"/>
      <c r="D27" s="8"/>
      <c r="E27" s="311"/>
      <c r="F27" s="312"/>
      <c r="G27" s="4"/>
      <c r="H27"/>
      <c r="I27"/>
      <c r="J27"/>
      <c r="U27" s="26"/>
      <c r="V27" s="508"/>
      <c r="W27" s="508"/>
      <c r="X27" s="508"/>
    </row>
    <row r="28" spans="1:24" s="2" customFormat="1">
      <c r="A28" s="721"/>
      <c r="B28" s="722"/>
      <c r="C28" s="723"/>
      <c r="D28" s="8"/>
      <c r="E28" s="311"/>
      <c r="F28" s="312"/>
      <c r="G28" s="4"/>
      <c r="H28"/>
      <c r="I28"/>
      <c r="J28"/>
      <c r="U28" s="26"/>
      <c r="V28" s="508"/>
      <c r="W28" s="508"/>
      <c r="X28" s="508"/>
    </row>
    <row r="29" spans="1:24" s="2" customFormat="1">
      <c r="A29" s="721"/>
      <c r="B29" s="722"/>
      <c r="C29" s="723"/>
      <c r="D29" s="8"/>
      <c r="E29" s="311"/>
      <c r="F29" s="312"/>
      <c r="G29" s="4"/>
      <c r="H29"/>
      <c r="I29"/>
      <c r="J29"/>
      <c r="U29" s="26"/>
      <c r="V29" s="508"/>
      <c r="W29" s="508"/>
      <c r="X29" s="508"/>
    </row>
    <row r="30" spans="1:24" s="2" customFormat="1" ht="15" thickBot="1">
      <c r="A30" s="718"/>
      <c r="B30" s="719"/>
      <c r="C30" s="720"/>
      <c r="D30" s="10"/>
      <c r="E30" s="311"/>
      <c r="F30" s="312"/>
      <c r="G30" s="4"/>
      <c r="H30"/>
      <c r="I30"/>
      <c r="J30"/>
      <c r="U30" s="26"/>
      <c r="V30" s="508"/>
      <c r="W30" s="508"/>
      <c r="X30" s="508"/>
    </row>
    <row r="31" spans="1:24" s="2" customFormat="1">
      <c r="A31" s="337" t="s">
        <v>19</v>
      </c>
      <c r="B31" s="338"/>
      <c r="C31" s="340"/>
      <c r="D31" s="11">
        <f>SUM(D24:D30)</f>
        <v>0</v>
      </c>
      <c r="E31" s="313"/>
      <c r="F31" s="314"/>
      <c r="G31" s="4"/>
      <c r="H31"/>
      <c r="I31"/>
      <c r="J31"/>
      <c r="U31" s="26"/>
      <c r="V31" s="508"/>
      <c r="W31" s="508"/>
      <c r="X31" s="508"/>
    </row>
    <row r="32" spans="1:24" s="2" customFormat="1" ht="15" thickBot="1">
      <c r="A32" s="300" t="s">
        <v>56</v>
      </c>
      <c r="B32" s="370">
        <v>0.1</v>
      </c>
      <c r="C32" s="302"/>
      <c r="D32" s="12">
        <f>ROUND(D31*B32,2)</f>
        <v>0</v>
      </c>
      <c r="E32" s="6" t="s">
        <v>16</v>
      </c>
      <c r="F32" s="7" t="s">
        <v>17</v>
      </c>
      <c r="G32" s="4"/>
      <c r="H32"/>
      <c r="I32"/>
      <c r="J32"/>
      <c r="U32" s="26"/>
      <c r="V32" s="508"/>
      <c r="W32" s="508"/>
      <c r="X32" s="508"/>
    </row>
    <row r="33" spans="1:24" s="2" customFormat="1" ht="18.5" thickBot="1">
      <c r="A33" s="339" t="s">
        <v>20</v>
      </c>
      <c r="B33" s="336"/>
      <c r="C33" s="331"/>
      <c r="D33" s="14">
        <f>SUM(D31:D32)</f>
        <v>0</v>
      </c>
      <c r="E33" s="15" t="str">
        <f>IF(D$118=0,"No Total",D33/D$118)</f>
        <v>No Total</v>
      </c>
      <c r="F33" s="16" t="str">
        <f>IF(D$125=0,"No Total",D33/D$125)</f>
        <v>No Total</v>
      </c>
      <c r="G33" s="4"/>
      <c r="H33"/>
      <c r="I33"/>
      <c r="J33" s="185"/>
      <c r="U33" s="26"/>
      <c r="V33" s="508"/>
      <c r="W33" s="508"/>
      <c r="X33" s="508"/>
    </row>
    <row r="34" spans="1:24" s="2" customFormat="1" ht="4.5" customHeight="1" thickBot="1">
      <c r="A34" s="713"/>
      <c r="B34" s="714"/>
      <c r="C34" s="714"/>
      <c r="D34" s="714"/>
      <c r="E34" s="714"/>
      <c r="F34" s="715"/>
      <c r="G34" s="4"/>
      <c r="H34"/>
      <c r="I34"/>
      <c r="J34" s="185"/>
      <c r="U34" s="26"/>
      <c r="V34" s="508"/>
      <c r="W34" s="508"/>
      <c r="X34" s="508"/>
    </row>
    <row r="35" spans="1:24" s="2" customFormat="1" ht="18.5" thickBot="1">
      <c r="A35" s="731" t="s">
        <v>1280</v>
      </c>
      <c r="B35" s="732"/>
      <c r="C35" s="732"/>
      <c r="D35" s="733"/>
      <c r="E35" s="5"/>
      <c r="F35" s="308"/>
      <c r="G35" s="4"/>
      <c r="H35"/>
      <c r="I35"/>
      <c r="J35" s="185"/>
      <c r="U35" s="26"/>
      <c r="V35" s="508"/>
      <c r="W35" s="508"/>
      <c r="X35" s="508"/>
    </row>
    <row r="36" spans="1:24" s="2" customFormat="1" ht="15" thickBot="1">
      <c r="A36" s="734" t="s">
        <v>65</v>
      </c>
      <c r="B36" s="735"/>
      <c r="C36" s="750"/>
      <c r="D36" s="372" t="s">
        <v>3</v>
      </c>
      <c r="E36" s="309"/>
      <c r="F36" s="310"/>
      <c r="G36" s="4"/>
      <c r="H36"/>
      <c r="I36"/>
      <c r="J36" s="36">
        <v>2</v>
      </c>
      <c r="U36" s="26"/>
      <c r="V36" s="508"/>
      <c r="W36" s="508"/>
      <c r="X36" s="508"/>
    </row>
    <row r="37" spans="1:24" s="2" customFormat="1">
      <c r="A37" s="751"/>
      <c r="B37" s="752"/>
      <c r="C37" s="753"/>
      <c r="D37" s="373"/>
      <c r="E37" s="311"/>
      <c r="F37" s="312"/>
      <c r="G37" s="4"/>
      <c r="H37"/>
      <c r="I37"/>
      <c r="J37" s="186"/>
      <c r="U37" s="26"/>
      <c r="V37" s="508"/>
      <c r="W37" s="508"/>
      <c r="X37" s="508"/>
    </row>
    <row r="38" spans="1:24" s="2" customFormat="1">
      <c r="A38" s="754"/>
      <c r="B38" s="755"/>
      <c r="C38" s="756"/>
      <c r="D38" s="373"/>
      <c r="E38" s="311"/>
      <c r="F38" s="312"/>
      <c r="G38" s="4"/>
      <c r="H38"/>
      <c r="I38"/>
      <c r="J38" s="186"/>
      <c r="U38" s="26"/>
      <c r="V38" s="508"/>
      <c r="W38" s="508"/>
      <c r="X38" s="508"/>
    </row>
    <row r="39" spans="1:24" s="2" customFormat="1">
      <c r="A39" s="721"/>
      <c r="B39" s="722"/>
      <c r="C39" s="723"/>
      <c r="D39" s="373"/>
      <c r="E39" s="311"/>
      <c r="F39" s="312"/>
      <c r="G39" s="4"/>
      <c r="H39"/>
      <c r="I39"/>
      <c r="J39" s="186"/>
      <c r="U39" s="26"/>
      <c r="V39" s="508"/>
      <c r="W39" s="508"/>
      <c r="X39" s="508"/>
    </row>
    <row r="40" spans="1:24" s="2" customFormat="1">
      <c r="A40" s="721"/>
      <c r="B40" s="722"/>
      <c r="C40" s="723"/>
      <c r="D40" s="373"/>
      <c r="E40" s="311"/>
      <c r="F40" s="312"/>
      <c r="G40" s="4"/>
      <c r="H40"/>
      <c r="I40"/>
      <c r="J40" s="186"/>
      <c r="U40" s="26"/>
      <c r="V40" s="508"/>
      <c r="W40" s="508"/>
      <c r="X40" s="508"/>
    </row>
    <row r="41" spans="1:24" s="2" customFormat="1">
      <c r="A41" s="721"/>
      <c r="B41" s="722"/>
      <c r="C41" s="723"/>
      <c r="D41" s="374"/>
      <c r="E41" s="311"/>
      <c r="F41" s="312"/>
      <c r="G41" s="4"/>
      <c r="H41"/>
      <c r="I41"/>
      <c r="J41" s="186"/>
      <c r="U41" s="26"/>
      <c r="V41" s="508"/>
      <c r="W41" s="508"/>
      <c r="X41" s="508"/>
    </row>
    <row r="42" spans="1:24" s="2" customFormat="1" ht="15" thickBot="1">
      <c r="A42" s="757"/>
      <c r="B42" s="758"/>
      <c r="C42" s="759"/>
      <c r="D42" s="375"/>
      <c r="E42" s="311"/>
      <c r="F42" s="312"/>
      <c r="G42" s="4"/>
      <c r="H42"/>
      <c r="I42"/>
      <c r="J42" s="36"/>
      <c r="U42" s="26"/>
      <c r="V42" s="508"/>
      <c r="W42" s="508"/>
      <c r="X42" s="508"/>
    </row>
    <row r="43" spans="1:24" s="2" customFormat="1">
      <c r="A43" s="337" t="s">
        <v>19</v>
      </c>
      <c r="B43" s="338"/>
      <c r="C43" s="334"/>
      <c r="D43" s="17">
        <f>SUM(D37:D42)</f>
        <v>0</v>
      </c>
      <c r="E43" s="313"/>
      <c r="F43" s="314"/>
      <c r="G43" s="4"/>
      <c r="H43"/>
      <c r="I43"/>
      <c r="J43" s="186"/>
      <c r="U43" s="26"/>
      <c r="V43" s="508"/>
      <c r="W43" s="508"/>
      <c r="X43" s="508"/>
    </row>
    <row r="44" spans="1:24" s="2" customFormat="1" ht="15" thickBot="1">
      <c r="A44" s="300" t="s">
        <v>87</v>
      </c>
      <c r="B44" s="370">
        <v>0.1</v>
      </c>
      <c r="C44" s="301"/>
      <c r="D44" s="18">
        <f>ROUND(D43*B44,2)</f>
        <v>0</v>
      </c>
      <c r="E44" s="6" t="s">
        <v>16</v>
      </c>
      <c r="F44" s="7" t="s">
        <v>17</v>
      </c>
      <c r="G44" s="4"/>
      <c r="H44"/>
      <c r="I44"/>
      <c r="J44" s="186"/>
      <c r="U44" s="26"/>
      <c r="V44" s="508"/>
      <c r="W44" s="508"/>
      <c r="X44" s="508"/>
    </row>
    <row r="45" spans="1:24" s="2" customFormat="1" ht="18.5" thickBot="1">
      <c r="A45" s="339" t="s">
        <v>21</v>
      </c>
      <c r="B45" s="336"/>
      <c r="C45" s="335"/>
      <c r="D45" s="19">
        <f>SUM(D43:D44)</f>
        <v>0</v>
      </c>
      <c r="E45" s="20" t="str">
        <f>IF(D$118=0,"No Total",D45/D$118)</f>
        <v>No Total</v>
      </c>
      <c r="F45" s="16" t="str">
        <f>IF(D$125=0,"No Total",D45/D$125)</f>
        <v>No Total</v>
      </c>
      <c r="G45" s="4"/>
      <c r="H45"/>
      <c r="I45"/>
      <c r="J45" s="186"/>
      <c r="U45" s="26"/>
      <c r="V45" s="508"/>
      <c r="W45" s="508"/>
      <c r="X45" s="508"/>
    </row>
    <row r="46" spans="1:24" s="2" customFormat="1" ht="4.5" customHeight="1" thickBot="1">
      <c r="A46" s="713"/>
      <c r="B46" s="714"/>
      <c r="C46" s="714"/>
      <c r="D46" s="714"/>
      <c r="E46" s="714"/>
      <c r="F46" s="715"/>
      <c r="G46" s="4"/>
      <c r="H46"/>
      <c r="I46"/>
      <c r="J46" s="186"/>
      <c r="U46" s="26"/>
      <c r="V46" s="508"/>
      <c r="W46" s="508"/>
      <c r="X46" s="508"/>
    </row>
    <row r="47" spans="1:24" s="23" customFormat="1" ht="18.75" customHeight="1" thickBot="1">
      <c r="A47" s="341" t="s">
        <v>179</v>
      </c>
      <c r="B47" s="326" t="s">
        <v>1137</v>
      </c>
      <c r="C47" s="326" t="s">
        <v>719</v>
      </c>
      <c r="D47" s="326" t="s">
        <v>1138</v>
      </c>
      <c r="E47" s="327" t="s">
        <v>1159</v>
      </c>
      <c r="F47" s="325" t="s">
        <v>1143</v>
      </c>
      <c r="G47" s="746" t="s">
        <v>1216</v>
      </c>
      <c r="H47" s="747"/>
      <c r="I47" s="747"/>
      <c r="J47" s="747"/>
      <c r="K47" s="747"/>
      <c r="L47" s="747"/>
      <c r="O47" s="743" t="s">
        <v>753</v>
      </c>
      <c r="P47" s="744"/>
      <c r="Q47" s="744"/>
      <c r="R47" s="744"/>
      <c r="S47" s="745"/>
      <c r="U47" s="529" t="s">
        <v>175</v>
      </c>
      <c r="V47" s="531" t="s">
        <v>1287</v>
      </c>
      <c r="W47" s="531" t="s">
        <v>1279</v>
      </c>
      <c r="X47" s="531" t="s">
        <v>1288</v>
      </c>
    </row>
    <row r="48" spans="1:24" s="2" customFormat="1" ht="15.75" customHeight="1" thickBot="1">
      <c r="A48" s="429" t="s">
        <v>1265</v>
      </c>
      <c r="B48" s="449">
        <f>ROUND('Crew Mix'!J8+(P70*H48)+L48,2)</f>
        <v>0</v>
      </c>
      <c r="C48" s="449">
        <f>'Crew Mix'!J13</f>
        <v>0</v>
      </c>
      <c r="D48" s="449">
        <f>'Crew Mix'!J18</f>
        <v>0</v>
      </c>
      <c r="E48" s="449">
        <f>'Crew Mix'!M8</f>
        <v>0</v>
      </c>
      <c r="F48" s="430"/>
      <c r="G48" s="4" t="s">
        <v>1192</v>
      </c>
      <c r="H48" s="171"/>
      <c r="I48" t="s">
        <v>1212</v>
      </c>
      <c r="J48"/>
      <c r="K48" s="2" t="s">
        <v>80</v>
      </c>
      <c r="L48" s="172"/>
      <c r="O48" s="379" t="s">
        <v>1175</v>
      </c>
      <c r="P48" s="380" t="s">
        <v>1137</v>
      </c>
      <c r="Q48" s="380" t="s">
        <v>719</v>
      </c>
      <c r="R48" s="380" t="s">
        <v>1138</v>
      </c>
      <c r="S48" s="380" t="s">
        <v>1159</v>
      </c>
      <c r="U48" s="532" t="str">
        <f>G48</f>
        <v>Plumb Apprentice</v>
      </c>
      <c r="V48" s="533">
        <f>B48*SUM('Labor Rates'!C8:E8)</f>
        <v>0</v>
      </c>
      <c r="W48" s="533">
        <f>C48*SUM('Labor Rates'!C13:E13)</f>
        <v>0</v>
      </c>
      <c r="X48" s="533">
        <f>D48*SUM('Labor Rates'!C18:E18)</f>
        <v>0</v>
      </c>
    </row>
    <row r="49" spans="1:24" s="2" customFormat="1" ht="15.75" customHeight="1" thickBot="1">
      <c r="A49" s="431" t="s">
        <v>57</v>
      </c>
      <c r="B49" s="450">
        <f>IF(Pay_Type_Selection=1,'Crew Mix'!$I$8,$P$49)</f>
        <v>122.73</v>
      </c>
      <c r="C49" s="451">
        <f>IF(Pay_Type_Selection=1,'Crew Mix'!$I$13,Q49)</f>
        <v>164.59</v>
      </c>
      <c r="D49" s="450">
        <f>IF(Pay_Type_Selection=1,'Crew Mix'!$I$18,R49)</f>
        <v>206.45</v>
      </c>
      <c r="E49" s="467">
        <f>IF(Pay_Type_Selection=1,IF(E48=0,0,ROUND('Crew Mix'!N8/'Crew Mix'!M8,2)),S49)</f>
        <v>0</v>
      </c>
      <c r="F49" s="432">
        <f>ROUND((B48*B49)+(C48*C49)+(D48*D49)+(E48*E49),2)</f>
        <v>0</v>
      </c>
      <c r="G49" s="4"/>
      <c r="H49"/>
      <c r="I49"/>
      <c r="J49" s="36"/>
      <c r="O49" s="378" t="s">
        <v>1266</v>
      </c>
      <c r="P49" s="367">
        <v>122.73</v>
      </c>
      <c r="Q49" s="382">
        <v>164.59</v>
      </c>
      <c r="R49" s="382">
        <v>206.45</v>
      </c>
      <c r="S49" s="382"/>
      <c r="U49" s="532"/>
      <c r="V49" s="533"/>
      <c r="W49" s="533"/>
      <c r="X49" s="533"/>
    </row>
    <row r="50" spans="1:24" s="2" customFormat="1" ht="15.75" customHeight="1" thickTop="1" thickBot="1">
      <c r="A50" s="429" t="s">
        <v>1144</v>
      </c>
      <c r="B50" s="449">
        <f>ROUND('Crew Mix'!J7+(P70*H50)+L50,2)</f>
        <v>0</v>
      </c>
      <c r="C50" s="449">
        <f>'Crew Mix'!J12</f>
        <v>0</v>
      </c>
      <c r="D50" s="449">
        <f>'Crew Mix'!J17</f>
        <v>0</v>
      </c>
      <c r="E50" s="449">
        <f>'Crew Mix'!M7</f>
        <v>0</v>
      </c>
      <c r="F50" s="430"/>
      <c r="G50" s="4" t="s">
        <v>1193</v>
      </c>
      <c r="H50" s="171"/>
      <c r="I50" t="s">
        <v>1212</v>
      </c>
      <c r="J50"/>
      <c r="K50" s="2" t="s">
        <v>80</v>
      </c>
      <c r="L50" s="172"/>
      <c r="O50" s="377" t="s">
        <v>1161</v>
      </c>
      <c r="P50" s="367">
        <v>134.1</v>
      </c>
      <c r="Q50" s="367">
        <v>180.61</v>
      </c>
      <c r="R50" s="367">
        <v>227.12</v>
      </c>
      <c r="S50" s="367"/>
      <c r="U50" s="532" t="str">
        <f t="shared" ref="U50:U84" si="0">G50</f>
        <v>Plumb Journeyman</v>
      </c>
      <c r="V50" s="533">
        <f>B50*SUM('Labor Rates'!C7:E7)</f>
        <v>0</v>
      </c>
      <c r="W50" s="533">
        <f>C50*SUM('Labor Rates'!C12:E12)</f>
        <v>0</v>
      </c>
      <c r="X50" s="533">
        <f>D50*SUM('Labor Rates'!C17:E17)</f>
        <v>0</v>
      </c>
    </row>
    <row r="51" spans="1:24" s="2" customFormat="1" ht="15.75" customHeight="1" thickBot="1">
      <c r="A51" s="431" t="s">
        <v>57</v>
      </c>
      <c r="B51" s="450">
        <f>IF(Pay_Type_Selection=1,'Crew Mix'!$I$7,P50)</f>
        <v>134.1</v>
      </c>
      <c r="C51" s="451">
        <f>IF(Pay_Type_Selection=1,'Crew Mix'!$I$12,Q50)</f>
        <v>180.61</v>
      </c>
      <c r="D51" s="450">
        <f>IF(Pay_Type_Selection=1,'Crew Mix'!$I$17,R50)</f>
        <v>227.12</v>
      </c>
      <c r="E51" s="467">
        <f>IF(Pay_Type_Selection=1,IF(E50=0,0,ROUND('Crew Mix'!N7/'Crew Mix'!M7,2)),S50)</f>
        <v>0</v>
      </c>
      <c r="F51" s="432">
        <f>ROUND((B50*B51)+(C50*C51)+(D50*D51)+(E50*E51),2)</f>
        <v>0</v>
      </c>
      <c r="O51" s="377" t="s">
        <v>1162</v>
      </c>
      <c r="P51" s="367">
        <v>149.33000000000001</v>
      </c>
      <c r="Q51" s="367">
        <v>203.45</v>
      </c>
      <c r="R51" s="367">
        <v>257.58</v>
      </c>
      <c r="S51" s="367"/>
      <c r="U51" s="532"/>
      <c r="V51" s="533"/>
      <c r="W51" s="533"/>
      <c r="X51" s="533"/>
    </row>
    <row r="52" spans="1:24" s="2" customFormat="1" ht="15.75" customHeight="1" thickTop="1" thickBot="1">
      <c r="A52" s="429" t="s">
        <v>1145</v>
      </c>
      <c r="B52" s="449">
        <f>ROUND('Crew Mix'!J6+(P70*H52)+L52,2)</f>
        <v>0</v>
      </c>
      <c r="C52" s="449">
        <f>'Crew Mix'!J11</f>
        <v>0</v>
      </c>
      <c r="D52" s="449">
        <f>'Crew Mix'!J16</f>
        <v>0</v>
      </c>
      <c r="E52" s="449">
        <f>'Crew Mix'!M6</f>
        <v>0</v>
      </c>
      <c r="F52" s="430"/>
      <c r="G52" s="4" t="s">
        <v>1140</v>
      </c>
      <c r="H52" s="171"/>
      <c r="I52" t="s">
        <v>1212</v>
      </c>
      <c r="J52"/>
      <c r="K52" s="2" t="s">
        <v>80</v>
      </c>
      <c r="L52" s="172"/>
      <c r="O52" s="377" t="s">
        <v>1163</v>
      </c>
      <c r="P52" s="367">
        <v>164.56</v>
      </c>
      <c r="Q52" s="367">
        <v>226.3</v>
      </c>
      <c r="R52" s="367">
        <v>288.04000000000002</v>
      </c>
      <c r="S52" s="382"/>
      <c r="U52" s="532" t="str">
        <f t="shared" si="0"/>
        <v>Plumb Foreman</v>
      </c>
      <c r="V52" s="533">
        <f>B52*SUM('Labor Rates'!C6:E6)</f>
        <v>0</v>
      </c>
      <c r="W52" s="533">
        <f>C52*SUM('Labor Rates'!C11:E11)</f>
        <v>0</v>
      </c>
      <c r="X52" s="533">
        <f>D52*SUM('Labor Rates'!C16:E16)</f>
        <v>0</v>
      </c>
    </row>
    <row r="53" spans="1:24" s="2" customFormat="1" ht="15.75" customHeight="1" thickBot="1">
      <c r="A53" s="431" t="s">
        <v>57</v>
      </c>
      <c r="B53" s="450">
        <f>IF(Pay_Type_Selection=1,'Crew Mix'!$I$6,P51)</f>
        <v>149.33000000000001</v>
      </c>
      <c r="C53" s="451">
        <f>IF(Pay_Type_Selection=1,'Crew Mix'!$I$11,Q51)</f>
        <v>203.45</v>
      </c>
      <c r="D53" s="450">
        <f>IF(Pay_Type_Selection=1,'Crew Mix'!$I$16,R51)</f>
        <v>257.58</v>
      </c>
      <c r="E53" s="467">
        <f>IF(Pay_Type_Selection=1,IF(E52=0,0,ROUND('Crew Mix'!N6/'Crew Mix'!M6,2)),S51)</f>
        <v>0</v>
      </c>
      <c r="F53" s="432">
        <f>ROUND((B52*B53)+(C52*C53)+(D52*D53)+(E52*E53),2)</f>
        <v>0</v>
      </c>
      <c r="O53" s="377" t="s">
        <v>1267</v>
      </c>
      <c r="P53" s="367">
        <v>122.73</v>
      </c>
      <c r="Q53" s="367">
        <v>164.59</v>
      </c>
      <c r="R53" s="367">
        <v>206.45</v>
      </c>
      <c r="S53" s="367"/>
      <c r="U53" s="532"/>
      <c r="V53" s="533"/>
      <c r="W53" s="533"/>
      <c r="X53" s="533"/>
    </row>
    <row r="54" spans="1:24" s="2" customFormat="1" ht="15.75" customHeight="1" thickTop="1" thickBot="1">
      <c r="A54" s="429" t="s">
        <v>1146</v>
      </c>
      <c r="B54" s="449">
        <f>ROUND('Crew Mix'!J5+(P70*H54)+L54,2)</f>
        <v>0</v>
      </c>
      <c r="C54" s="449">
        <f>'Crew Mix'!J10</f>
        <v>0</v>
      </c>
      <c r="D54" s="449">
        <f>'Crew Mix'!J15</f>
        <v>0</v>
      </c>
      <c r="E54" s="449">
        <f>'Crew Mix'!M5</f>
        <v>0</v>
      </c>
      <c r="F54" s="430"/>
      <c r="G54" s="4" t="s">
        <v>1186</v>
      </c>
      <c r="H54" s="171"/>
      <c r="I54" t="s">
        <v>1212</v>
      </c>
      <c r="J54"/>
      <c r="K54" s="2" t="s">
        <v>80</v>
      </c>
      <c r="L54" s="172"/>
      <c r="O54" s="377" t="s">
        <v>1164</v>
      </c>
      <c r="P54" s="367">
        <v>134.1</v>
      </c>
      <c r="Q54" s="367">
        <v>180.61</v>
      </c>
      <c r="R54" s="367">
        <v>227.12</v>
      </c>
      <c r="S54" s="367"/>
      <c r="U54" s="532" t="str">
        <f t="shared" si="0"/>
        <v>Plumb GF</v>
      </c>
      <c r="V54" s="533">
        <f>B54*SUM('Labor Rates'!C5:E5)</f>
        <v>0</v>
      </c>
      <c r="W54" s="533">
        <f>C54*SUM('Labor Rates'!C10:E10)</f>
        <v>0</v>
      </c>
      <c r="X54" s="533">
        <f>D54*SUM('Labor Rates'!C15:E15)</f>
        <v>0</v>
      </c>
    </row>
    <row r="55" spans="1:24" s="2" customFormat="1" ht="15.75" customHeight="1" thickBot="1">
      <c r="A55" s="431" t="s">
        <v>57</v>
      </c>
      <c r="B55" s="450">
        <f>IF(Pay_Type_Selection=1,'Crew Mix'!$I$5,P52)</f>
        <v>164.56</v>
      </c>
      <c r="C55" s="451">
        <f>IF(Pay_Type_Selection=1,'Crew Mix'!$I$10,Q52)</f>
        <v>226.3</v>
      </c>
      <c r="D55" s="450">
        <f>IF(Pay_Type_Selection=1,'Crew Mix'!$I$15,R52)</f>
        <v>288.04000000000002</v>
      </c>
      <c r="E55" s="467">
        <f>IF(Pay_Type_Selection=1,IF(E54=0,0,ROUND('Crew Mix'!N5/'Crew Mix'!M5,2)),S52)</f>
        <v>0</v>
      </c>
      <c r="F55" s="432">
        <f>ROUND((B54*B55)+(C54*C55)+(D54*D55)+(E54*E55),2)</f>
        <v>0</v>
      </c>
      <c r="I55"/>
      <c r="J55"/>
      <c r="O55" s="377" t="s">
        <v>1165</v>
      </c>
      <c r="P55" s="367">
        <v>149.33000000000001</v>
      </c>
      <c r="Q55" s="367">
        <v>203.45</v>
      </c>
      <c r="R55" s="367">
        <v>257.58</v>
      </c>
      <c r="S55" s="382"/>
      <c r="U55" s="532"/>
      <c r="V55" s="533"/>
      <c r="W55" s="533"/>
      <c r="X55" s="533"/>
    </row>
    <row r="56" spans="1:24" s="2" customFormat="1" ht="15.75" customHeight="1" thickTop="1" thickBot="1">
      <c r="A56" s="433" t="s">
        <v>1268</v>
      </c>
      <c r="B56" s="452">
        <f>ROUND('Crew Mix'!J28+(P71*H56)+L56,2)</f>
        <v>0</v>
      </c>
      <c r="C56" s="452">
        <f>'Crew Mix'!J33</f>
        <v>0</v>
      </c>
      <c r="D56" s="452">
        <f>'Crew Mix'!J38</f>
        <v>0</v>
      </c>
      <c r="E56" s="452">
        <f>'Crew Mix'!M28</f>
        <v>0</v>
      </c>
      <c r="F56" s="434"/>
      <c r="G56" s="4" t="s">
        <v>1194</v>
      </c>
      <c r="H56" s="171"/>
      <c r="I56" t="s">
        <v>1212</v>
      </c>
      <c r="J56"/>
      <c r="K56" s="2" t="s">
        <v>80</v>
      </c>
      <c r="L56" s="172"/>
      <c r="O56" s="377" t="s">
        <v>1166</v>
      </c>
      <c r="P56" s="367">
        <v>164.56</v>
      </c>
      <c r="Q56" s="367">
        <v>226.3</v>
      </c>
      <c r="R56" s="367">
        <v>288.04000000000002</v>
      </c>
      <c r="S56" s="367"/>
      <c r="U56" s="534" t="str">
        <f t="shared" si="0"/>
        <v>Pipe Apprentice</v>
      </c>
      <c r="V56" s="535">
        <f>B56*SUM('Labor Rates'!C28:E28)</f>
        <v>0</v>
      </c>
      <c r="W56" s="535">
        <f>C56*SUM('Labor Rates'!C33:E33)</f>
        <v>0</v>
      </c>
      <c r="X56" s="535">
        <f>D56*SUM('Labor Rates'!C38:E38)</f>
        <v>0</v>
      </c>
    </row>
    <row r="57" spans="1:24" s="2" customFormat="1" ht="15.75" customHeight="1" thickBot="1">
      <c r="A57" s="435" t="s">
        <v>57</v>
      </c>
      <c r="B57" s="453">
        <f>IF(Pay_Type_Selection=1,'Crew Mix'!$I$28,P53)</f>
        <v>122.73</v>
      </c>
      <c r="C57" s="454">
        <f>IF(Pay_Type_Selection=1,'Crew Mix'!$I$33,Q53)</f>
        <v>164.59</v>
      </c>
      <c r="D57" s="453">
        <f>IF(Pay_Type_Selection=1,'Crew Mix'!$I$38,R53)</f>
        <v>206.45</v>
      </c>
      <c r="E57" s="466">
        <f>IF(Pay_Type_Selection=1,IF(E56=0,0,ROUND('Crew Mix'!N28/'Crew Mix'!M28,2)),S53)</f>
        <v>0</v>
      </c>
      <c r="F57" s="436">
        <f>ROUND((B56*B57)+(C56*C57)+(D56*D57)+(E56*E57),2)</f>
        <v>0</v>
      </c>
      <c r="G57" s="4"/>
      <c r="H57"/>
      <c r="I57"/>
      <c r="J57" s="36"/>
      <c r="O57" s="377" t="s">
        <v>1269</v>
      </c>
      <c r="P57" s="367">
        <v>108.89</v>
      </c>
      <c r="Q57" s="367">
        <v>147.53</v>
      </c>
      <c r="R57" s="367">
        <f>'Crew Mix'!$I$58</f>
        <v>135.71</v>
      </c>
      <c r="S57" s="367"/>
      <c r="U57" s="534"/>
      <c r="V57" s="535"/>
      <c r="W57" s="535"/>
      <c r="X57" s="535"/>
    </row>
    <row r="58" spans="1:24" s="2" customFormat="1" ht="15.75" customHeight="1" thickTop="1" thickBot="1">
      <c r="A58" s="433" t="s">
        <v>1147</v>
      </c>
      <c r="B58" s="452">
        <f>ROUND('Crew Mix'!J27+(P71*H58)+L58,2)</f>
        <v>0</v>
      </c>
      <c r="C58" s="452">
        <f>'Crew Mix'!J32</f>
        <v>0</v>
      </c>
      <c r="D58" s="452">
        <f>'Crew Mix'!J37</f>
        <v>0</v>
      </c>
      <c r="E58" s="452">
        <f>'Crew Mix'!M27</f>
        <v>0</v>
      </c>
      <c r="F58" s="434"/>
      <c r="G58" s="4" t="s">
        <v>1195</v>
      </c>
      <c r="H58" s="171"/>
      <c r="I58" t="s">
        <v>1212</v>
      </c>
      <c r="J58"/>
      <c r="K58" s="2" t="s">
        <v>80</v>
      </c>
      <c r="L58" s="172"/>
      <c r="O58" s="377" t="s">
        <v>1167</v>
      </c>
      <c r="P58" s="367">
        <v>121.8</v>
      </c>
      <c r="Q58" s="367">
        <v>164.73</v>
      </c>
      <c r="R58" s="367">
        <f>'Crew Mix'!$I$57</f>
        <v>175.29</v>
      </c>
      <c r="S58" s="382"/>
      <c r="U58" s="534" t="str">
        <f t="shared" si="0"/>
        <v>Pipe Journeyman</v>
      </c>
      <c r="V58" s="535">
        <f>B58*SUM('Labor Rates'!C27:E27)</f>
        <v>0</v>
      </c>
      <c r="W58" s="535">
        <f>C58*SUM('Labor Rates'!C32:E32)</f>
        <v>0</v>
      </c>
      <c r="X58" s="535">
        <f>D58*SUM('Labor Rates'!C37:E37)</f>
        <v>0</v>
      </c>
    </row>
    <row r="59" spans="1:24" s="2" customFormat="1" ht="15.75" customHeight="1" thickBot="1">
      <c r="A59" s="435" t="s">
        <v>57</v>
      </c>
      <c r="B59" s="453">
        <f>IF(Pay_Type_Selection=1,'Crew Mix'!$I$27,P54)</f>
        <v>134.1</v>
      </c>
      <c r="C59" s="454">
        <f>IF(Pay_Type_Selection=1,'Crew Mix'!$I$32,Q54)</f>
        <v>180.61</v>
      </c>
      <c r="D59" s="453">
        <f>IF(Pay_Type_Selection=1,'Crew Mix'!$I$37,R54)</f>
        <v>227.12</v>
      </c>
      <c r="E59" s="466">
        <f>IF(Pay_Type_Selection=1,IF(E58=0,0,ROUND('Crew Mix'!N27/'Crew Mix'!M27,2)),S54)</f>
        <v>0</v>
      </c>
      <c r="F59" s="436">
        <f>ROUND((B58*B59)+(C58*C59)+(D58*D59)+(E58*E59),2)</f>
        <v>0</v>
      </c>
      <c r="G59" s="4"/>
      <c r="H59" s="56"/>
      <c r="I59"/>
      <c r="J59"/>
      <c r="O59" s="377" t="s">
        <v>1168</v>
      </c>
      <c r="P59" s="367">
        <v>134.41</v>
      </c>
      <c r="Q59" s="367">
        <v>183.65</v>
      </c>
      <c r="R59" s="367">
        <f>'Crew Mix'!$I$56</f>
        <v>195.75</v>
      </c>
      <c r="S59" s="367"/>
      <c r="U59" s="534"/>
      <c r="V59" s="535"/>
      <c r="W59" s="535"/>
      <c r="X59" s="535"/>
    </row>
    <row r="60" spans="1:24" s="2" customFormat="1" ht="15.75" customHeight="1" thickTop="1" thickBot="1">
      <c r="A60" s="433" t="s">
        <v>1148</v>
      </c>
      <c r="B60" s="452">
        <f>ROUND('Crew Mix'!J26+(P71*H60)+L60,2)</f>
        <v>0</v>
      </c>
      <c r="C60" s="452">
        <f>'Crew Mix'!J31</f>
        <v>0</v>
      </c>
      <c r="D60" s="452">
        <f>'Crew Mix'!J36</f>
        <v>0</v>
      </c>
      <c r="E60" s="452">
        <f>'Crew Mix'!M26</f>
        <v>0</v>
      </c>
      <c r="F60" s="434"/>
      <c r="G60" s="4" t="s">
        <v>1141</v>
      </c>
      <c r="H60" s="171"/>
      <c r="I60" t="s">
        <v>1213</v>
      </c>
      <c r="J60"/>
      <c r="K60" s="2" t="s">
        <v>80</v>
      </c>
      <c r="L60" s="172"/>
      <c r="O60" s="377" t="s">
        <v>1169</v>
      </c>
      <c r="P60" s="367">
        <v>138.61000000000001</v>
      </c>
      <c r="Q60" s="367">
        <v>189.96</v>
      </c>
      <c r="R60" s="367">
        <f>'Crew Mix'!$I$55</f>
        <v>202.57000000000002</v>
      </c>
      <c r="S60" s="367"/>
      <c r="U60" s="534" t="str">
        <f t="shared" si="0"/>
        <v>Pipe Foreman</v>
      </c>
      <c r="V60" s="535">
        <f>B60*SUM('Labor Rates'!C26:E26)</f>
        <v>0</v>
      </c>
      <c r="W60" s="535">
        <f>C60*SUM('Labor Rates'!C31:E31)</f>
        <v>0</v>
      </c>
      <c r="X60" s="535">
        <f>D60*SUM('Labor Rates'!C36:E36)</f>
        <v>0</v>
      </c>
    </row>
    <row r="61" spans="1:24" s="2" customFormat="1" ht="15.75" customHeight="1" thickBot="1">
      <c r="A61" s="435" t="s">
        <v>57</v>
      </c>
      <c r="B61" s="453">
        <f>IF(Pay_Type_Selection=1,'Crew Mix'!$I$26,P55)</f>
        <v>149.33000000000001</v>
      </c>
      <c r="C61" s="454">
        <f>IF(Pay_Type_Selection=1,'Crew Mix'!$I$31,Q55)</f>
        <v>203.45</v>
      </c>
      <c r="D61" s="453">
        <f>IF(Pay_Type_Selection=1,'Crew Mix'!$I$36,R55)</f>
        <v>257.58</v>
      </c>
      <c r="E61" s="466">
        <f>IF(Pay_Type_Selection=1,IF(E60=0,0,ROUND('Crew Mix'!N26/'Crew Mix'!M26,2)),S55)</f>
        <v>0</v>
      </c>
      <c r="F61" s="436">
        <f>ROUND((B60*B61)+(C60*C61)+(D60*D61)+(E60*E61),2)</f>
        <v>0</v>
      </c>
      <c r="G61" s="4"/>
      <c r="H61" s="56"/>
      <c r="I61"/>
      <c r="J61"/>
      <c r="O61" s="377" t="s">
        <v>1270</v>
      </c>
      <c r="P61" s="367">
        <v>108.89</v>
      </c>
      <c r="Q61" s="367">
        <v>147.53</v>
      </c>
      <c r="R61" s="367">
        <v>135.71</v>
      </c>
      <c r="S61" s="382"/>
      <c r="U61" s="534"/>
      <c r="V61" s="535"/>
      <c r="W61" s="535"/>
      <c r="X61" s="535"/>
    </row>
    <row r="62" spans="1:24" s="2" customFormat="1" ht="15.75" customHeight="1" thickTop="1" thickBot="1">
      <c r="A62" s="433" t="s">
        <v>1149</v>
      </c>
      <c r="B62" s="452">
        <f>ROUND('Crew Mix'!J25+(P71*H62)+L62,2)</f>
        <v>0</v>
      </c>
      <c r="C62" s="452">
        <f>'Crew Mix'!J30</f>
        <v>0</v>
      </c>
      <c r="D62" s="452">
        <f>'Crew Mix'!J35</f>
        <v>0</v>
      </c>
      <c r="E62" s="452">
        <f>'Crew Mix'!M25</f>
        <v>0</v>
      </c>
      <c r="F62" s="434"/>
      <c r="G62" s="4" t="s">
        <v>1187</v>
      </c>
      <c r="H62" s="171"/>
      <c r="I62" t="s">
        <v>1213</v>
      </c>
      <c r="J62"/>
      <c r="K62" s="2" t="s">
        <v>80</v>
      </c>
      <c r="L62" s="172"/>
      <c r="O62" s="377" t="s">
        <v>1170</v>
      </c>
      <c r="P62" s="367">
        <v>121.8</v>
      </c>
      <c r="Q62" s="367">
        <v>164.73</v>
      </c>
      <c r="R62" s="367">
        <v>175.29</v>
      </c>
      <c r="S62" s="367"/>
      <c r="U62" s="534" t="str">
        <f t="shared" si="0"/>
        <v>Pipe GF</v>
      </c>
      <c r="V62" s="535">
        <f>B62*SUM('Labor Rates'!C25:E25)</f>
        <v>0</v>
      </c>
      <c r="W62" s="535">
        <f>C62*SUM('Labor Rates'!C30:E30)</f>
        <v>0</v>
      </c>
      <c r="X62" s="535">
        <f>D62*SUM('Labor Rates'!C35:E35)</f>
        <v>0</v>
      </c>
    </row>
    <row r="63" spans="1:24" s="2" customFormat="1" ht="15.75" customHeight="1" thickBot="1">
      <c r="A63" s="435" t="s">
        <v>57</v>
      </c>
      <c r="B63" s="453">
        <f>IF(Pay_Type_Selection=1,'Crew Mix'!$I$25,P56)</f>
        <v>164.56</v>
      </c>
      <c r="C63" s="454">
        <f>IF(Pay_Type_Selection=1,'Crew Mix'!$I$30,Q56)</f>
        <v>226.3</v>
      </c>
      <c r="D63" s="453">
        <f>IF(Pay_Type_Selection=1,'Crew Mix'!$I$35,R56)</f>
        <v>288.04000000000002</v>
      </c>
      <c r="E63" s="466">
        <f>IF(Pay_Type_Selection=1,IF(E62=0,0,ROUND('Crew Mix'!N25/'Crew Mix'!M25,2)),S56)</f>
        <v>0</v>
      </c>
      <c r="F63" s="436">
        <f>ROUND((B62*B63)+(C62*C63)+(D62*D63)+(E62*E63),2)</f>
        <v>0</v>
      </c>
      <c r="G63" s="4"/>
      <c r="H63" s="56"/>
      <c r="I63"/>
      <c r="J63"/>
      <c r="O63" s="377" t="s">
        <v>1171</v>
      </c>
      <c r="P63" s="367">
        <v>134.41</v>
      </c>
      <c r="Q63" s="367">
        <v>183.65</v>
      </c>
      <c r="R63" s="367">
        <v>195.75</v>
      </c>
      <c r="S63" s="367"/>
      <c r="U63" s="534"/>
      <c r="V63" s="535"/>
      <c r="W63" s="535"/>
      <c r="X63" s="535"/>
    </row>
    <row r="64" spans="1:24" s="2" customFormat="1" ht="15.75" customHeight="1" thickTop="1" thickBot="1">
      <c r="A64" s="437" t="s">
        <v>1271</v>
      </c>
      <c r="B64" s="455">
        <f>ROUND('Crew Mix'!J48+(P72*H64)+L64,2)</f>
        <v>0</v>
      </c>
      <c r="C64" s="455">
        <f>'Crew Mix'!J53</f>
        <v>0</v>
      </c>
      <c r="D64" s="455">
        <f>'Crew Mix'!J58</f>
        <v>0</v>
      </c>
      <c r="E64" s="455">
        <f>'Crew Mix'!M48</f>
        <v>0</v>
      </c>
      <c r="F64" s="438"/>
      <c r="G64" s="4" t="s">
        <v>1196</v>
      </c>
      <c r="H64" s="171"/>
      <c r="I64" t="s">
        <v>1214</v>
      </c>
      <c r="J64"/>
      <c r="K64" s="2" t="s">
        <v>80</v>
      </c>
      <c r="L64" s="172"/>
      <c r="O64" s="377" t="s">
        <v>1199</v>
      </c>
      <c r="P64" s="367">
        <v>138.61000000000001</v>
      </c>
      <c r="Q64" s="367">
        <v>189.96</v>
      </c>
      <c r="R64" s="367">
        <v>202.57000000000002</v>
      </c>
      <c r="S64" s="382"/>
      <c r="U64" s="536" t="str">
        <f t="shared" si="0"/>
        <v>SM Apprentice</v>
      </c>
      <c r="V64" s="537">
        <f>B64*SUM('Labor Rates'!C48:E48)</f>
        <v>0</v>
      </c>
      <c r="W64" s="537">
        <f>C64*SUM('Labor Rates'!C53:E53)</f>
        <v>0</v>
      </c>
      <c r="X64" s="537">
        <f>D64*SUM('Labor Rates'!C58:E58)</f>
        <v>0</v>
      </c>
    </row>
    <row r="65" spans="1:24" s="2" customFormat="1" ht="15.75" customHeight="1" thickBot="1">
      <c r="A65" s="439" t="s">
        <v>57</v>
      </c>
      <c r="B65" s="456">
        <f>IF(Pay_Type_Selection=1,'Crew Mix'!$I$48,P57)</f>
        <v>108.89</v>
      </c>
      <c r="C65" s="457">
        <f>IF(Pay_Type_Selection=1,'Crew Mix'!$I$53,Q57)</f>
        <v>147.53</v>
      </c>
      <c r="D65" s="456">
        <f>IF(Pay_Type_Selection=1,'Crew Mix'!$I$58,R57)</f>
        <v>135.71</v>
      </c>
      <c r="E65" s="456">
        <f>IF(Pay_Type_Selection=1,IF(E64=0,0,ROUND('Crew Mix'!N48/'Crew Mix'!M48,2)),S57)</f>
        <v>0</v>
      </c>
      <c r="F65" s="440">
        <f>ROUND((B64*B65)+(C64*C65)+(D64*D65)+(E64*E65),2)</f>
        <v>0</v>
      </c>
      <c r="G65" s="4"/>
      <c r="H65"/>
      <c r="I65"/>
      <c r="J65" s="36"/>
      <c r="O65" s="377" t="s">
        <v>1172</v>
      </c>
      <c r="P65" s="471">
        <v>143.91999999999999</v>
      </c>
      <c r="Q65" s="367">
        <f>ROUND('Crew Mix'!$I$50*1.1,2)</f>
        <v>177</v>
      </c>
      <c r="R65" s="367">
        <f>ROUND('Crew Mix'!$I$55*1.1,2)</f>
        <v>222.83</v>
      </c>
      <c r="U65" s="536"/>
      <c r="V65" s="537"/>
      <c r="W65" s="537"/>
      <c r="X65" s="537"/>
    </row>
    <row r="66" spans="1:24" s="2" customFormat="1" ht="15.75" customHeight="1" thickTop="1" thickBot="1">
      <c r="A66" s="437" t="s">
        <v>1150</v>
      </c>
      <c r="B66" s="455">
        <f>ROUND('Crew Mix'!J47+(P72*H66)+L66,2)</f>
        <v>0</v>
      </c>
      <c r="C66" s="455">
        <f>'Crew Mix'!J52</f>
        <v>0</v>
      </c>
      <c r="D66" s="455">
        <f>'Crew Mix'!J57</f>
        <v>0</v>
      </c>
      <c r="E66" s="455">
        <f>'Crew Mix'!M47</f>
        <v>0</v>
      </c>
      <c r="F66" s="438"/>
      <c r="G66" s="4" t="s">
        <v>1197</v>
      </c>
      <c r="H66" s="171"/>
      <c r="I66" t="s">
        <v>1214</v>
      </c>
      <c r="J66"/>
      <c r="K66" s="2" t="s">
        <v>80</v>
      </c>
      <c r="L66" s="172"/>
      <c r="O66" s="377" t="s">
        <v>1173</v>
      </c>
      <c r="P66" s="367">
        <v>118.81</v>
      </c>
      <c r="Q66" s="367">
        <f>'Crew Mix'!$I$53</f>
        <v>109.58</v>
      </c>
      <c r="R66" s="367">
        <f>'Crew Mix'!$I$58</f>
        <v>135.71</v>
      </c>
      <c r="U66" s="536" t="str">
        <f t="shared" si="0"/>
        <v>SM Journeyman</v>
      </c>
      <c r="V66" s="537">
        <f>B66*SUM('Labor Rates'!C47:E47)</f>
        <v>0</v>
      </c>
      <c r="W66" s="537">
        <f>C66*SUM('Labor Rates'!C52:E52)</f>
        <v>0</v>
      </c>
      <c r="X66" s="537">
        <f>D66*SUM('Labor Rates'!C57:E57)</f>
        <v>0</v>
      </c>
    </row>
    <row r="67" spans="1:24" s="2" customFormat="1" ht="15.75" customHeight="1" thickBot="1">
      <c r="A67" s="439" t="s">
        <v>57</v>
      </c>
      <c r="B67" s="456">
        <f>IF(Pay_Type_Selection=1,'Crew Mix'!$I$47,P58)</f>
        <v>121.8</v>
      </c>
      <c r="C67" s="457">
        <f>IF(Pay_Type_Selection=1,'Crew Mix'!$I$52,Q58)</f>
        <v>164.73</v>
      </c>
      <c r="D67" s="456">
        <f>IF(Pay_Type_Selection=1,'Crew Mix'!$I$57,R58)</f>
        <v>175.29</v>
      </c>
      <c r="E67" s="456">
        <f>IF(Pay_Type_Selection=1,IF(E66=0,0,ROUND('Crew Mix'!N47/'Crew Mix'!M47,2)),S58)</f>
        <v>0</v>
      </c>
      <c r="F67" s="440">
        <f>ROUND((B66*B67)+(C66*C67)+(D66*D67)+(E66*E67),2)</f>
        <v>0</v>
      </c>
      <c r="G67" s="4"/>
      <c r="H67" s="56"/>
      <c r="I67"/>
      <c r="J67"/>
      <c r="O67" s="377" t="s">
        <v>1174</v>
      </c>
      <c r="P67" s="471">
        <v>144.61000000000001</v>
      </c>
      <c r="Q67" s="367">
        <f>'Crew Mix'!$I$50</f>
        <v>160.91</v>
      </c>
      <c r="R67" s="367">
        <f>'Crew Mix'!$I$55</f>
        <v>202.57000000000002</v>
      </c>
      <c r="U67" s="536"/>
      <c r="V67" s="537"/>
      <c r="W67" s="537"/>
      <c r="X67" s="537"/>
    </row>
    <row r="68" spans="1:24" s="2" customFormat="1" ht="15.75" customHeight="1" thickTop="1" thickBot="1">
      <c r="A68" s="437" t="s">
        <v>1135</v>
      </c>
      <c r="B68" s="455">
        <f>ROUND('Crew Mix'!J46+(P72*H68)+L68,2)</f>
        <v>0</v>
      </c>
      <c r="C68" s="455">
        <f>'Crew Mix'!J51</f>
        <v>0</v>
      </c>
      <c r="D68" s="455">
        <f>'Crew Mix'!J56</f>
        <v>0</v>
      </c>
      <c r="E68" s="455">
        <f>'Crew Mix'!M46</f>
        <v>0</v>
      </c>
      <c r="F68" s="438"/>
      <c r="G68" s="4" t="s">
        <v>1179</v>
      </c>
      <c r="H68" s="171"/>
      <c r="I68" t="s">
        <v>1214</v>
      </c>
      <c r="J68"/>
      <c r="K68" s="2" t="s">
        <v>80</v>
      </c>
      <c r="L68" s="172"/>
      <c r="U68" s="536" t="str">
        <f t="shared" si="0"/>
        <v>SM Foreman</v>
      </c>
      <c r="V68" s="537">
        <f>B68*SUM('Labor Rates'!C46:E46)</f>
        <v>0</v>
      </c>
      <c r="W68" s="537">
        <f>C68*SUM('Labor Rates'!C51:E51)</f>
        <v>0</v>
      </c>
      <c r="X68" s="537">
        <f>D68*SUM('Labor Rates'!C56:E56)</f>
        <v>0</v>
      </c>
    </row>
    <row r="69" spans="1:24" s="2" customFormat="1" ht="15.75" customHeight="1" thickBot="1">
      <c r="A69" s="439" t="s">
        <v>57</v>
      </c>
      <c r="B69" s="456">
        <f>IF(Pay_Type_Selection=1,'Crew Mix'!$I$46,P59)</f>
        <v>134.41</v>
      </c>
      <c r="C69" s="457">
        <f>IF(Pay_Type_Selection=1,'Crew Mix'!$I$51,Q59)</f>
        <v>183.65</v>
      </c>
      <c r="D69" s="456">
        <f>IF(Pay_Type_Selection=1,'Crew Mix'!$I$56,R59)</f>
        <v>195.75</v>
      </c>
      <c r="E69" s="456">
        <f>IF(Pay_Type_Selection=1,IF(E68=0,0,ROUND('Crew Mix'!N46/'Crew Mix'!M46,2)),S59)</f>
        <v>0</v>
      </c>
      <c r="F69" s="440">
        <f>ROUND((B68*B69)+(C68*C69)+(D68*D69)+(E68*E69),2)</f>
        <v>0</v>
      </c>
      <c r="G69" s="4"/>
      <c r="H69" s="56"/>
      <c r="I69"/>
      <c r="J69"/>
      <c r="O69" s="26" t="s">
        <v>1223</v>
      </c>
      <c r="P69" s="164" t="s">
        <v>1224</v>
      </c>
      <c r="Q69" s="164" t="s">
        <v>12</v>
      </c>
      <c r="R69" s="164" t="s">
        <v>684</v>
      </c>
      <c r="U69" s="536"/>
      <c r="V69" s="537"/>
      <c r="W69" s="537"/>
      <c r="X69" s="537"/>
    </row>
    <row r="70" spans="1:24" s="2" customFormat="1" ht="15.75" customHeight="1" thickTop="1" thickBot="1">
      <c r="A70" s="437" t="s">
        <v>1151</v>
      </c>
      <c r="B70" s="455">
        <f>ROUND('Crew Mix'!J45+(P72*H70)+L70,2)</f>
        <v>0</v>
      </c>
      <c r="C70" s="455">
        <f>'Crew Mix'!J50</f>
        <v>0</v>
      </c>
      <c r="D70" s="455">
        <f>'Crew Mix'!J55</f>
        <v>0</v>
      </c>
      <c r="E70" s="455">
        <f>'Crew Mix'!M45</f>
        <v>0</v>
      </c>
      <c r="F70" s="438"/>
      <c r="G70" s="4" t="s">
        <v>1230</v>
      </c>
      <c r="H70" s="171"/>
      <c r="I70" t="s">
        <v>1214</v>
      </c>
      <c r="J70"/>
      <c r="K70" s="2" t="s">
        <v>80</v>
      </c>
      <c r="L70" s="172"/>
      <c r="O70" s="26" t="s">
        <v>1207</v>
      </c>
      <c r="P70" s="164">
        <f>'Plumb Takeoff'!D93</f>
        <v>0</v>
      </c>
      <c r="Q70" s="164">
        <f>SUM(B48:D48,B50:D50,B52:D52,B54:D54)</f>
        <v>0</v>
      </c>
      <c r="R70" s="508">
        <f>SUM(F48:F55)</f>
        <v>0</v>
      </c>
      <c r="U70" s="536" t="str">
        <f t="shared" si="0"/>
        <v>SM GF</v>
      </c>
      <c r="V70" s="537">
        <f>B70*SUM('Labor Rates'!C45:E45)</f>
        <v>0</v>
      </c>
      <c r="W70" s="537">
        <f>C70*SUM('Labor Rates'!C50:E50)</f>
        <v>0</v>
      </c>
      <c r="X70" s="537">
        <f>D70*SUM('Labor Rates'!C55:E55)</f>
        <v>0</v>
      </c>
    </row>
    <row r="71" spans="1:24" s="2" customFormat="1" ht="15.75" customHeight="1" thickBot="1">
      <c r="A71" s="439" t="s">
        <v>57</v>
      </c>
      <c r="B71" s="456">
        <f>IF(Pay_Type_Selection=1,'Crew Mix'!$I$45,P60)</f>
        <v>138.61000000000001</v>
      </c>
      <c r="C71" s="457">
        <f>IF(Pay_Type_Selection=1,'Crew Mix'!$I$50,Q60)</f>
        <v>189.96</v>
      </c>
      <c r="D71" s="456">
        <f>IF(Pay_Type_Selection=1,'Crew Mix'!$I$55,R60)</f>
        <v>202.57000000000002</v>
      </c>
      <c r="E71" s="456">
        <f>IF(Pay_Type_Selection=1,IF(E70=0,0,ROUND('Crew Mix'!N45/'Crew Mix'!M45,2)),S60)</f>
        <v>0</v>
      </c>
      <c r="F71" s="440">
        <f>ROUND((B70*B71)+(C70*C71)+(D70*D71)+(E70*E71),2)</f>
        <v>0</v>
      </c>
      <c r="G71" s="4"/>
      <c r="H71" s="56"/>
      <c r="I71"/>
      <c r="J71"/>
      <c r="O71" s="26" t="s">
        <v>1208</v>
      </c>
      <c r="P71" s="164">
        <f>'Pipe Takeoff'!D93</f>
        <v>0</v>
      </c>
      <c r="Q71" s="164">
        <f>SUM(B56:D56,B58:D58,B60:D60,B62:D62)</f>
        <v>0</v>
      </c>
      <c r="R71" s="508">
        <f>SUM(F56:F63)</f>
        <v>0</v>
      </c>
      <c r="U71" s="536"/>
      <c r="V71" s="537"/>
      <c r="W71" s="537"/>
      <c r="X71" s="537"/>
    </row>
    <row r="72" spans="1:24" s="2" customFormat="1" ht="15.75" customHeight="1" thickTop="1" thickBot="1">
      <c r="A72" s="441" t="s">
        <v>1272</v>
      </c>
      <c r="B72" s="458">
        <f>ROUND('Crew Mix'!J68+(P73*H72)+L72,2)</f>
        <v>0</v>
      </c>
      <c r="C72" s="458">
        <f>'Crew Mix'!J73</f>
        <v>0</v>
      </c>
      <c r="D72" s="458">
        <f>'Crew Mix'!J78</f>
        <v>0</v>
      </c>
      <c r="E72" s="458">
        <f>'Crew Mix'!M68</f>
        <v>0</v>
      </c>
      <c r="F72" s="442"/>
      <c r="G72" s="4" t="s">
        <v>1190</v>
      </c>
      <c r="H72" s="171"/>
      <c r="I72" t="s">
        <v>1215</v>
      </c>
      <c r="J72"/>
      <c r="K72" s="2" t="s">
        <v>80</v>
      </c>
      <c r="L72" s="172"/>
      <c r="O72" s="26" t="s">
        <v>1209</v>
      </c>
      <c r="P72" s="164">
        <f>'SM Takeoff'!D93</f>
        <v>0</v>
      </c>
      <c r="Q72" s="164">
        <f>SUM(B64:D64,B66:D66,B68:D68,B70:D70)</f>
        <v>0</v>
      </c>
      <c r="R72" s="508">
        <f>SUM(F64:F71)</f>
        <v>0</v>
      </c>
      <c r="U72" s="538" t="str">
        <f t="shared" si="0"/>
        <v>SM Shop Apprentice</v>
      </c>
      <c r="V72" s="539">
        <f>B72*SUM('Labor Rates'!C68:E68)</f>
        <v>0</v>
      </c>
      <c r="W72" s="539">
        <f>C72*SUM('Labor Rates'!C73:E73)</f>
        <v>0</v>
      </c>
      <c r="X72" s="539">
        <f>D72*SUM('Labor Rates'!C78:E78)</f>
        <v>0</v>
      </c>
    </row>
    <row r="73" spans="1:24" s="2" customFormat="1" ht="15.75" customHeight="1" thickBot="1">
      <c r="A73" s="443" t="s">
        <v>57</v>
      </c>
      <c r="B73" s="459">
        <f>IF(Pay_Type_Selection=1,'Crew Mix'!$I$68,P61)</f>
        <v>108.89</v>
      </c>
      <c r="C73" s="460">
        <f>IF(Pay_Type_Selection=1,'Crew Mix'!$I$73,Q61)</f>
        <v>147.53</v>
      </c>
      <c r="D73" s="459">
        <f>IF(Pay_Type_Selection=1,'Crew Mix'!$I$78,R61)</f>
        <v>135.71</v>
      </c>
      <c r="E73" s="461">
        <f>IF(Pay_Type_Selection=1,IF(E72=0,0,ROUND('Crew Mix'!N68/'Crew Mix'!M68,2)),S61)</f>
        <v>0</v>
      </c>
      <c r="F73" s="444">
        <f>ROUND((B72*B73)+(C72*C73)+(D72*D73)+(E72*E73),2)</f>
        <v>0</v>
      </c>
      <c r="G73" s="4"/>
      <c r="H73" s="56"/>
      <c r="I73"/>
      <c r="J73"/>
      <c r="O73" s="26" t="s">
        <v>1210</v>
      </c>
      <c r="P73" s="164">
        <f>'SM Takeoff'!F93</f>
        <v>0</v>
      </c>
      <c r="Q73" s="164">
        <f>SUM(B72:D72,B74:D74,B76:D76,B78:D78)</f>
        <v>0</v>
      </c>
      <c r="R73" s="508">
        <f>SUM(F72:F79)</f>
        <v>0</v>
      </c>
      <c r="U73" s="538"/>
      <c r="V73" s="539"/>
      <c r="W73" s="539"/>
      <c r="X73" s="539"/>
    </row>
    <row r="74" spans="1:24" s="2" customFormat="1" ht="15.75" customHeight="1" thickTop="1" thickBot="1">
      <c r="A74" s="441" t="s">
        <v>1152</v>
      </c>
      <c r="B74" s="458">
        <f>ROUND('Crew Mix'!J67+(P73*H74)+L74,2)</f>
        <v>0</v>
      </c>
      <c r="C74" s="458">
        <f>'Crew Mix'!J72</f>
        <v>0</v>
      </c>
      <c r="D74" s="458">
        <f>'Crew Mix'!J77</f>
        <v>0</v>
      </c>
      <c r="E74" s="458">
        <f>'Crew Mix'!M67</f>
        <v>0</v>
      </c>
      <c r="F74" s="442"/>
      <c r="G74" s="4" t="s">
        <v>1191</v>
      </c>
      <c r="H74" s="171"/>
      <c r="I74" t="s">
        <v>1215</v>
      </c>
      <c r="J74"/>
      <c r="K74" s="2" t="s">
        <v>80</v>
      </c>
      <c r="L74" s="172"/>
      <c r="O74" s="26" t="s">
        <v>1211</v>
      </c>
      <c r="P74" s="164">
        <f>SUM(P70:P72)</f>
        <v>0</v>
      </c>
      <c r="Q74" s="164">
        <f>SUM(Q70:Q72)</f>
        <v>0</v>
      </c>
      <c r="R74" s="508">
        <f>SUM(R70:R72)</f>
        <v>0</v>
      </c>
      <c r="U74" s="538" t="str">
        <f t="shared" si="0"/>
        <v>SM Shop Journeyman</v>
      </c>
      <c r="V74" s="539">
        <f>B74*SUM('Labor Rates'!C67:E67)</f>
        <v>0</v>
      </c>
      <c r="W74" s="539">
        <f>C74*SUM('Labor Rates'!C72:E72)</f>
        <v>0</v>
      </c>
      <c r="X74" s="539">
        <f>D74*SUM('Labor Rates'!C77:E77)</f>
        <v>0</v>
      </c>
    </row>
    <row r="75" spans="1:24" s="2" customFormat="1" ht="15.75" customHeight="1" thickBot="1">
      <c r="A75" s="443" t="s">
        <v>57</v>
      </c>
      <c r="B75" s="459">
        <f>IF(Pay_Type_Selection=1,'Crew Mix'!$I$67,P62)</f>
        <v>121.8</v>
      </c>
      <c r="C75" s="460">
        <f>IF(Pay_Type_Selection=1,'Crew Mix'!$I$72,Q62)</f>
        <v>164.73</v>
      </c>
      <c r="D75" s="459">
        <f>IF(Pay_Type_Selection=1,'Crew Mix'!$I$77,R62)</f>
        <v>175.29</v>
      </c>
      <c r="E75" s="461">
        <f>IF(Pay_Type_Selection=1,IF(E74=0,0,ROUND('Crew Mix'!N67/'Crew Mix'!M67,2)),S62)</f>
        <v>0</v>
      </c>
      <c r="F75" s="444">
        <f>ROUND((B74*B75)+(C74*C75)+(D74*D75)+(E74*E75),2)</f>
        <v>0</v>
      </c>
      <c r="U75" s="538"/>
      <c r="V75" s="539"/>
      <c r="W75" s="539"/>
      <c r="X75" s="539"/>
    </row>
    <row r="76" spans="1:24" s="2" customFormat="1" ht="15.75" customHeight="1" thickTop="1" thickBot="1">
      <c r="A76" s="441" t="s">
        <v>1153</v>
      </c>
      <c r="B76" s="458">
        <f>ROUND('Crew Mix'!J66+(P73*H76)+L76,2)</f>
        <v>0</v>
      </c>
      <c r="C76" s="458">
        <f>'Crew Mix'!J71</f>
        <v>0</v>
      </c>
      <c r="D76" s="458">
        <f>'Crew Mix'!J76</f>
        <v>0</v>
      </c>
      <c r="E76" s="458">
        <f>'Crew Mix'!M66</f>
        <v>0</v>
      </c>
      <c r="F76" s="442"/>
      <c r="G76" s="4" t="s">
        <v>1142</v>
      </c>
      <c r="H76" s="171"/>
      <c r="I76" t="s">
        <v>1215</v>
      </c>
      <c r="J76"/>
      <c r="K76" s="2" t="s">
        <v>80</v>
      </c>
      <c r="L76" s="172"/>
      <c r="U76" s="538" t="str">
        <f t="shared" si="0"/>
        <v>SM Shop Foreman</v>
      </c>
      <c r="V76" s="539">
        <f>B76*SUM('Labor Rates'!C66:E66)</f>
        <v>0</v>
      </c>
      <c r="W76" s="539">
        <f>C76*SUM('Labor Rates'!C71:E71)</f>
        <v>0</v>
      </c>
      <c r="X76" s="539">
        <f>D76*SUM('Labor Rates'!C76:E76)</f>
        <v>0</v>
      </c>
    </row>
    <row r="77" spans="1:24" s="2" customFormat="1" ht="15.75" customHeight="1" thickBot="1">
      <c r="A77" s="443" t="s">
        <v>57</v>
      </c>
      <c r="B77" s="459">
        <f>IF(Pay_Type_Selection=1,'Crew Mix'!$I$66,P63)</f>
        <v>134.41</v>
      </c>
      <c r="C77" s="460">
        <f>IF(Pay_Type_Selection=1,'Crew Mix'!$I$71,Q63)</f>
        <v>183.65</v>
      </c>
      <c r="D77" s="459">
        <f>IF(Pay_Type_Selection=1,'Crew Mix'!$I$76,R63)</f>
        <v>195.75</v>
      </c>
      <c r="E77" s="461">
        <f>IF(Pay_Type_Selection=1,IF(E76=0,0,ROUND('Crew Mix'!N66/'Crew Mix'!M66,2)),S63)</f>
        <v>0</v>
      </c>
      <c r="F77" s="444">
        <f>ROUND((B76*B77)+(C76*C77)+(D76*D77)+(E76*E77),2)</f>
        <v>0</v>
      </c>
      <c r="U77" s="538"/>
      <c r="V77" s="539"/>
      <c r="W77" s="539"/>
      <c r="X77" s="539"/>
    </row>
    <row r="78" spans="1:24" s="2" customFormat="1" ht="15.75" customHeight="1" thickTop="1" thickBot="1">
      <c r="A78" s="441" t="s">
        <v>1188</v>
      </c>
      <c r="B78" s="458">
        <f>ROUND('Crew Mix'!J65+(P73*H78)+L78,2)</f>
        <v>0</v>
      </c>
      <c r="C78" s="458">
        <f>'Crew Mix'!J70</f>
        <v>0</v>
      </c>
      <c r="D78" s="458">
        <f>'Crew Mix'!J75</f>
        <v>0</v>
      </c>
      <c r="E78" s="458">
        <f>'Crew Mix'!M65</f>
        <v>0</v>
      </c>
      <c r="F78" s="442"/>
      <c r="G78" s="4" t="s">
        <v>1189</v>
      </c>
      <c r="H78" s="171"/>
      <c r="I78" t="s">
        <v>1215</v>
      </c>
      <c r="J78"/>
      <c r="K78" s="2" t="s">
        <v>80</v>
      </c>
      <c r="L78" s="172"/>
      <c r="U78" s="538" t="str">
        <f t="shared" si="0"/>
        <v>SM Shop GF</v>
      </c>
      <c r="V78" s="539">
        <f>B78*SUM('Labor Rates'!C65:E65)</f>
        <v>0</v>
      </c>
      <c r="W78" s="539">
        <f>C78*SUM('Labor Rates'!C70:E70)</f>
        <v>0</v>
      </c>
      <c r="X78" s="539">
        <f>D78*SUM('Labor Rates'!C75:E75)</f>
        <v>0</v>
      </c>
    </row>
    <row r="79" spans="1:24" s="2" customFormat="1" ht="15.75" customHeight="1" thickBot="1">
      <c r="A79" s="443" t="s">
        <v>57</v>
      </c>
      <c r="B79" s="459">
        <f>IF(Pay_Type_Selection=1,'Crew Mix'!$I$65,P64)</f>
        <v>138.61000000000001</v>
      </c>
      <c r="C79" s="460">
        <f>IF(Pay_Type_Selection=1,'Crew Mix'!$I$70,Q64)</f>
        <v>189.96</v>
      </c>
      <c r="D79" s="459">
        <f>IF(Pay_Type_Selection=1,'Crew Mix'!$I$75,R64)</f>
        <v>202.57000000000002</v>
      </c>
      <c r="E79" s="461">
        <f>IF(Pay_Type_Selection=1,IF(E78=0,0,ROUND('Crew Mix'!N65/'Crew Mix'!M65,2)),S64)</f>
        <v>0</v>
      </c>
      <c r="F79" s="444">
        <f>ROUND((B78*B79)+(C78*C79)+(D78*D79)+(E78*E79),2)</f>
        <v>0</v>
      </c>
      <c r="U79" s="538"/>
      <c r="V79" s="539"/>
      <c r="W79" s="539"/>
      <c r="X79" s="539"/>
    </row>
    <row r="80" spans="1:24" s="2" customFormat="1" ht="15.75" customHeight="1" thickTop="1" thickBot="1">
      <c r="A80" s="323" t="s">
        <v>1136</v>
      </c>
      <c r="B80" s="462">
        <f>ROUND(Q74*H80+L80,2)</f>
        <v>0</v>
      </c>
      <c r="C80" s="464"/>
      <c r="D80" s="464"/>
      <c r="E80" s="462"/>
      <c r="F80" s="356"/>
      <c r="G80" s="4" t="s">
        <v>67</v>
      </c>
      <c r="H80" s="171">
        <v>0.1</v>
      </c>
      <c r="I80" t="s">
        <v>1217</v>
      </c>
      <c r="J80"/>
      <c r="K80" s="2" t="s">
        <v>80</v>
      </c>
      <c r="L80" s="172"/>
      <c r="U80" s="4" t="str">
        <f t="shared" si="0"/>
        <v>Project Manager</v>
      </c>
      <c r="V80" s="508">
        <f>B80*SUM('Labor Rates'!C45:E45)*1.1</f>
        <v>0</v>
      </c>
      <c r="W80" s="508">
        <f>C80*SUM('Labor Rates'!C50:E50)*1.1</f>
        <v>0</v>
      </c>
      <c r="X80" s="508">
        <f>D80*SUM('Labor Rates'!C55:E55)*1.1</f>
        <v>0</v>
      </c>
    </row>
    <row r="81" spans="1:24" s="2" customFormat="1" ht="15.75" customHeight="1" thickBot="1">
      <c r="A81" s="329" t="s">
        <v>57</v>
      </c>
      <c r="B81" s="463">
        <f>IF(Pay_Type_Selection=1,ROUND('Crew Mix'!$I$45*1.1,2),P65)</f>
        <v>143.91999999999999</v>
      </c>
      <c r="C81" s="463">
        <f>IF(Pay_Type_Selection=1,ROUND('Crew Mix'!$I$50*1.1,2),Q65)</f>
        <v>177</v>
      </c>
      <c r="D81" s="463">
        <f>IF(Pay_Type_Selection=1,ROUND('Crew Mix'!$I$55*1.1,2),R65)</f>
        <v>222.83</v>
      </c>
      <c r="E81" s="473"/>
      <c r="F81" s="355">
        <f>ROUND((B80*B81)+(C80*C81)+(D80*D81)+(E80*E81),2)</f>
        <v>0</v>
      </c>
      <c r="G81" s="4"/>
      <c r="H81" s="56"/>
      <c r="I81"/>
      <c r="J81"/>
      <c r="U81" s="4"/>
      <c r="V81" s="508"/>
      <c r="W81" s="508"/>
      <c r="X81" s="508"/>
    </row>
    <row r="82" spans="1:24" s="2" customFormat="1" ht="15.75" customHeight="1" thickTop="1" thickBot="1">
      <c r="A82" s="323" t="s">
        <v>1160</v>
      </c>
      <c r="B82" s="462">
        <f>ROUND($Q$74*H82+L82,2)</f>
        <v>0</v>
      </c>
      <c r="C82" s="464"/>
      <c r="D82" s="464"/>
      <c r="E82" s="462"/>
      <c r="F82" s="356"/>
      <c r="G82" s="4" t="s">
        <v>1198</v>
      </c>
      <c r="H82" s="171"/>
      <c r="I82" t="s">
        <v>1217</v>
      </c>
      <c r="J82"/>
      <c r="K82" s="2" t="s">
        <v>80</v>
      </c>
      <c r="L82" s="172"/>
      <c r="U82" s="4" t="str">
        <f t="shared" si="0"/>
        <v>Project Engineer</v>
      </c>
      <c r="V82" s="508">
        <f>B82*SUM('Labor Rates'!C48:E48)</f>
        <v>0</v>
      </c>
      <c r="W82" s="508">
        <f>C82*SUM('Labor Rates'!C53:E53)</f>
        <v>0</v>
      </c>
      <c r="X82" s="508">
        <f>D82*SUM('Labor Rates'!C58:E58)</f>
        <v>0</v>
      </c>
    </row>
    <row r="83" spans="1:24" s="2" customFormat="1" ht="15.75" customHeight="1" thickBot="1">
      <c r="A83" s="329" t="s">
        <v>57</v>
      </c>
      <c r="B83" s="463">
        <f>IF(Pay_Type_Selection=1,'Crew Mix'!I48,P66)</f>
        <v>118.81</v>
      </c>
      <c r="C83" s="463">
        <f>IF(Pay_Type_Selection=1,'Crew Mix'!I53,Q66)</f>
        <v>109.58</v>
      </c>
      <c r="D83" s="463">
        <f>IF(Pay_Type_Selection=1,'Crew Mix'!I58,R66)</f>
        <v>135.71</v>
      </c>
      <c r="E83" s="473"/>
      <c r="F83" s="355">
        <f>ROUND((B82*B83)+(C82*C83)+(D82*D83)+(E82*E83),2)</f>
        <v>0</v>
      </c>
      <c r="U83" s="4"/>
      <c r="V83" s="508"/>
      <c r="W83" s="508"/>
      <c r="X83" s="508"/>
    </row>
    <row r="84" spans="1:24" s="2" customFormat="1" ht="15.75" customHeight="1" thickTop="1" thickBot="1">
      <c r="A84" s="323" t="s">
        <v>1154</v>
      </c>
      <c r="B84" s="462">
        <f>ROUND($Q$74*H84+L84,2)</f>
        <v>0</v>
      </c>
      <c r="C84" s="464"/>
      <c r="D84" s="464"/>
      <c r="E84" s="462"/>
      <c r="F84" s="356"/>
      <c r="G84" s="4" t="s">
        <v>1274</v>
      </c>
      <c r="H84" s="171"/>
      <c r="I84" t="s">
        <v>1217</v>
      </c>
      <c r="J84"/>
      <c r="K84" s="2" t="s">
        <v>80</v>
      </c>
      <c r="L84" s="172"/>
      <c r="U84" s="4" t="str">
        <f t="shared" si="0"/>
        <v>BIM/Coordination</v>
      </c>
      <c r="V84" s="508">
        <f>B84*SUM('Labor Rates'!C45:E45)</f>
        <v>0</v>
      </c>
      <c r="W84" s="508">
        <f>C84*SUM('Labor Rates'!C50:E50)</f>
        <v>0</v>
      </c>
      <c r="X84" s="508">
        <f>D84*SUM('Labor Rates'!C55:E55)</f>
        <v>0</v>
      </c>
    </row>
    <row r="85" spans="1:24" s="2" customFormat="1" ht="15.75" customHeight="1" thickBot="1">
      <c r="A85" s="329" t="s">
        <v>57</v>
      </c>
      <c r="B85" s="463">
        <f>IF(Pay_Type_Selection=1,'Crew Mix'!$I$45,P67)</f>
        <v>144.61000000000001</v>
      </c>
      <c r="C85" s="463">
        <f>IF(Pay_Type_Selection=1,'Crew Mix'!$I$50,Q67)</f>
        <v>160.91</v>
      </c>
      <c r="D85" s="463">
        <f>IF(Pay_Type_Selection=1,'Crew Mix'!$I$55,R67)</f>
        <v>202.57000000000002</v>
      </c>
      <c r="E85" s="473"/>
      <c r="F85" s="355">
        <f>ROUND((B84*B85)+(C84*C85)+(D84*D85)+(E84*E85),2)</f>
        <v>0</v>
      </c>
      <c r="U85" s="26"/>
      <c r="V85" s="508"/>
      <c r="W85" s="508"/>
      <c r="X85" s="508"/>
    </row>
    <row r="86" spans="1:24" s="2" customFormat="1" ht="15.75" customHeight="1" thickTop="1" thickBot="1">
      <c r="A86" s="381" t="s">
        <v>1155</v>
      </c>
      <c r="B86" s="464"/>
      <c r="C86" s="464"/>
      <c r="D86" s="464"/>
      <c r="E86" s="464"/>
      <c r="F86" s="356"/>
      <c r="G86" s="4" t="s">
        <v>1220</v>
      </c>
      <c r="H86" s="41">
        <f>SUM(B48:D48,B50:D50,B52:D52,B54:D54,B56:D56,B58:D58,B60:D60,B62:D62,B64:D64,B66:D66,B68:D68,B70:D70)</f>
        <v>0</v>
      </c>
      <c r="U86" s="4" t="str">
        <f>LEFT(A86, LEN(A86) - 4)</f>
        <v>Custom 1</v>
      </c>
      <c r="V86" s="508">
        <f>B86*SUM('Labor Rates'!C47:E47)</f>
        <v>0</v>
      </c>
      <c r="W86" s="508">
        <f>C86*SUM('Labor Rates'!C52:E52)</f>
        <v>0</v>
      </c>
      <c r="X86" s="508">
        <f>D86*SUM('Labor Rates'!C57:E57)</f>
        <v>0</v>
      </c>
    </row>
    <row r="87" spans="1:24" s="2" customFormat="1" ht="15.75" customHeight="1" thickBot="1">
      <c r="A87" s="329" t="s">
        <v>57</v>
      </c>
      <c r="B87" s="465"/>
      <c r="C87" s="465"/>
      <c r="D87" s="465"/>
      <c r="E87" s="474"/>
      <c r="F87" s="355">
        <f>ROUND((B86*B87)+(C86*C87)+(D86*D87)+(E86*E87),2)</f>
        <v>0</v>
      </c>
      <c r="G87" s="4" t="s">
        <v>1289</v>
      </c>
      <c r="H87" s="56">
        <f>SUM(F48:F71)</f>
        <v>0</v>
      </c>
      <c r="I87"/>
      <c r="J87"/>
      <c r="U87" s="26"/>
      <c r="V87" s="508"/>
      <c r="W87" s="508"/>
      <c r="X87" s="508"/>
    </row>
    <row r="88" spans="1:24" s="2" customFormat="1" ht="15.75" customHeight="1" thickTop="1" thickBot="1">
      <c r="A88" s="381" t="s">
        <v>1156</v>
      </c>
      <c r="B88" s="464"/>
      <c r="C88" s="464"/>
      <c r="D88" s="464"/>
      <c r="E88" s="464"/>
      <c r="F88" s="356"/>
      <c r="G88" s="4"/>
      <c r="H88" s="56"/>
      <c r="I88"/>
      <c r="J88"/>
      <c r="U88" s="4" t="str">
        <f>LEFT(A88, LEN(A88) - 4)</f>
        <v>Custom 2</v>
      </c>
      <c r="V88" s="508">
        <f>B88*SUM('Labor Rates'!C47:E47)</f>
        <v>0</v>
      </c>
      <c r="W88" s="508">
        <f>C88*SUM('Labor Rates'!C52:E52)</f>
        <v>0</v>
      </c>
      <c r="X88" s="508">
        <f>D88*SUM('Labor Rates'!C57:E57)</f>
        <v>0</v>
      </c>
    </row>
    <row r="89" spans="1:24" s="2" customFormat="1" ht="15.75" customHeight="1" thickBot="1">
      <c r="A89" s="329" t="s">
        <v>57</v>
      </c>
      <c r="B89" s="465"/>
      <c r="C89" s="465"/>
      <c r="D89" s="465"/>
      <c r="E89" s="474"/>
      <c r="F89" s="355">
        <f>ROUND((B88*B89)+(C88*C89)+(D88*D89)+(E88*E89),2)</f>
        <v>0</v>
      </c>
      <c r="G89" s="4" t="s">
        <v>1221</v>
      </c>
      <c r="H89" s="41">
        <f>SUM(B72:D72,B74:D74,B76:D76,B78:D78)</f>
        <v>0</v>
      </c>
      <c r="I89"/>
      <c r="J89"/>
      <c r="U89" s="26"/>
      <c r="V89" s="508"/>
      <c r="W89" s="508"/>
      <c r="X89" s="508"/>
    </row>
    <row r="90" spans="1:24" s="2" customFormat="1" ht="15.75" customHeight="1" thickTop="1" thickBot="1">
      <c r="A90" s="381" t="s">
        <v>1157</v>
      </c>
      <c r="B90" s="464"/>
      <c r="C90" s="464"/>
      <c r="D90" s="464"/>
      <c r="E90" s="464"/>
      <c r="F90" s="356"/>
      <c r="G90" s="4" t="s">
        <v>1290</v>
      </c>
      <c r="H90" s="56">
        <f>SUM(F72:F79)</f>
        <v>0</v>
      </c>
      <c r="I90"/>
      <c r="J90"/>
      <c r="U90" s="4" t="str">
        <f>LEFT(A90, LEN(A90) - 4)</f>
        <v>Custom 3</v>
      </c>
      <c r="V90" s="508">
        <f>B90*SUM('Labor Rates'!C47:E47)</f>
        <v>0</v>
      </c>
      <c r="W90" s="508">
        <f>C90*SUM('Labor Rates'!C52:E52)</f>
        <v>0</v>
      </c>
      <c r="X90" s="508">
        <f>D90*SUM('Labor Rates'!C57:E57)</f>
        <v>0</v>
      </c>
    </row>
    <row r="91" spans="1:24" s="2" customFormat="1" ht="15.75" customHeight="1" thickBot="1">
      <c r="A91" s="324" t="s">
        <v>57</v>
      </c>
      <c r="B91" s="476"/>
      <c r="C91" s="476"/>
      <c r="D91" s="476"/>
      <c r="E91" s="477"/>
      <c r="F91" s="478">
        <f>ROUND((B90*B91)+(C90*C91)+(D90*D91)+(E90*E91),2)</f>
        <v>0</v>
      </c>
      <c r="G91" s="4"/>
      <c r="H91" s="56"/>
      <c r="I91"/>
      <c r="J91"/>
      <c r="U91" s="26"/>
      <c r="V91" s="508"/>
      <c r="W91" s="508"/>
      <c r="X91" s="508"/>
    </row>
    <row r="92" spans="1:24" s="2" customFormat="1">
      <c r="A92" s="354" t="s">
        <v>19</v>
      </c>
      <c r="B92" s="475"/>
      <c r="C92" s="352"/>
      <c r="D92" s="39">
        <f>SUM(F48:F91)</f>
        <v>0</v>
      </c>
      <c r="E92" s="311"/>
      <c r="F92" s="312"/>
      <c r="G92" s="4" t="s">
        <v>1219</v>
      </c>
      <c r="H92" s="41">
        <f>SUM(B80:D80,B82:D82,B84:D84)</f>
        <v>0</v>
      </c>
      <c r="I92"/>
      <c r="J92"/>
      <c r="U92" s="26"/>
      <c r="V92" s="508"/>
      <c r="W92" s="508"/>
      <c r="X92" s="508"/>
    </row>
    <row r="93" spans="1:24" s="2" customFormat="1" ht="15" thickBot="1">
      <c r="A93" s="9" t="s">
        <v>58</v>
      </c>
      <c r="B93" s="367"/>
      <c r="C93" s="376"/>
      <c r="D93" s="39">
        <f>ROUND((H86/8)*B93,2)</f>
        <v>0</v>
      </c>
      <c r="E93" s="317"/>
      <c r="F93" s="318"/>
      <c r="G93" s="4" t="s">
        <v>1291</v>
      </c>
      <c r="H93" s="56">
        <f>SUM(F80:F85)</f>
        <v>0</v>
      </c>
      <c r="I93"/>
      <c r="J93"/>
      <c r="U93" s="26"/>
      <c r="V93" s="508"/>
      <c r="W93" s="508"/>
      <c r="X93" s="508"/>
    </row>
    <row r="94" spans="1:24" s="2" customFormat="1" ht="15" thickBot="1">
      <c r="A94" s="300" t="s">
        <v>62</v>
      </c>
      <c r="B94" s="370">
        <v>0.1</v>
      </c>
      <c r="C94" s="366"/>
      <c r="D94" s="12">
        <f>ROUND(D92*B94,2)</f>
        <v>0</v>
      </c>
      <c r="E94" s="21" t="s">
        <v>16</v>
      </c>
      <c r="F94" s="22" t="s">
        <v>17</v>
      </c>
      <c r="G94" s="4" t="s">
        <v>1222</v>
      </c>
      <c r="H94" s="41">
        <f>SUM(B86:D86,B88:D88,B90:D90)</f>
        <v>0</v>
      </c>
      <c r="I94"/>
      <c r="J94"/>
      <c r="U94" s="26"/>
      <c r="V94" s="508"/>
      <c r="W94" s="508"/>
      <c r="X94" s="508"/>
    </row>
    <row r="95" spans="1:24" s="2" customFormat="1" ht="18.5" thickBot="1">
      <c r="A95" s="13" t="s">
        <v>24</v>
      </c>
      <c r="B95" s="330"/>
      <c r="C95" s="331"/>
      <c r="D95" s="14">
        <f>SUM(D92:D94)</f>
        <v>0</v>
      </c>
      <c r="E95" s="15" t="str">
        <f>IF(D$118=0,"No Total",D95/D$118)</f>
        <v>No Total</v>
      </c>
      <c r="F95" s="16" t="str">
        <f>IF(D$125=0,"No Total",D95/D$125)</f>
        <v>No Total</v>
      </c>
      <c r="G95" s="4" t="s">
        <v>1292</v>
      </c>
      <c r="H95" s="56">
        <f>SUM(F86:F91)</f>
        <v>0</v>
      </c>
      <c r="I95"/>
      <c r="J95"/>
      <c r="U95" s="26"/>
      <c r="V95" s="508"/>
      <c r="W95" s="508"/>
      <c r="X95" s="508"/>
    </row>
    <row r="96" spans="1:24" s="2" customFormat="1" ht="4.5" customHeight="1" thickBot="1">
      <c r="A96" s="713"/>
      <c r="B96" s="714"/>
      <c r="C96" s="714"/>
      <c r="D96" s="714"/>
      <c r="E96" s="714"/>
      <c r="F96" s="715"/>
      <c r="G96" s="4"/>
      <c r="H96"/>
      <c r="I96"/>
      <c r="J96"/>
      <c r="U96" s="26"/>
      <c r="V96" s="508"/>
      <c r="W96" s="508"/>
      <c r="X96" s="508"/>
    </row>
    <row r="97" spans="1:24" s="2" customFormat="1" ht="18.75" customHeight="1" thickBot="1">
      <c r="A97" s="736" t="s">
        <v>6</v>
      </c>
      <c r="B97" s="737"/>
      <c r="C97" s="738"/>
      <c r="D97" s="509" t="s">
        <v>1245</v>
      </c>
      <c r="E97" s="315"/>
      <c r="F97" s="316"/>
      <c r="G97" s="4"/>
      <c r="H97"/>
      <c r="I97"/>
      <c r="J97"/>
      <c r="U97" s="26"/>
      <c r="V97" s="508"/>
      <c r="W97" s="508"/>
      <c r="X97" s="508"/>
    </row>
    <row r="98" spans="1:24" s="2" customFormat="1">
      <c r="A98" s="710"/>
      <c r="B98" s="711"/>
      <c r="C98" s="712"/>
      <c r="D98" s="37"/>
      <c r="E98" s="311"/>
      <c r="F98" s="312"/>
      <c r="G98" s="4"/>
      <c r="H98"/>
      <c r="I98"/>
      <c r="J98"/>
      <c r="U98" s="26"/>
      <c r="V98" s="508"/>
      <c r="W98" s="508"/>
      <c r="X98" s="508"/>
    </row>
    <row r="99" spans="1:24" s="2" customFormat="1">
      <c r="A99" s="710"/>
      <c r="B99" s="711"/>
      <c r="C99" s="712"/>
      <c r="D99" s="37"/>
      <c r="E99" s="311"/>
      <c r="F99" s="312"/>
      <c r="G99" s="4"/>
      <c r="H99"/>
      <c r="I99"/>
      <c r="J99"/>
      <c r="U99" s="26"/>
      <c r="V99" s="508"/>
      <c r="W99" s="508"/>
      <c r="X99" s="508"/>
    </row>
    <row r="100" spans="1:24" s="2" customFormat="1">
      <c r="A100" s="710"/>
      <c r="B100" s="711"/>
      <c r="C100" s="712"/>
      <c r="D100" s="37"/>
      <c r="E100" s="311"/>
      <c r="F100" s="312"/>
      <c r="G100" s="4"/>
      <c r="H100"/>
      <c r="I100"/>
      <c r="J100"/>
      <c r="U100" s="26"/>
      <c r="V100" s="508"/>
      <c r="W100" s="508"/>
      <c r="X100" s="508"/>
    </row>
    <row r="101" spans="1:24" s="2" customFormat="1">
      <c r="A101" s="710"/>
      <c r="B101" s="711"/>
      <c r="C101" s="712"/>
      <c r="D101" s="37"/>
      <c r="E101" s="311"/>
      <c r="F101" s="312"/>
      <c r="G101" s="4"/>
      <c r="H101"/>
      <c r="I101"/>
      <c r="J101"/>
      <c r="U101" s="26"/>
      <c r="V101" s="508"/>
      <c r="W101" s="508"/>
      <c r="X101" s="508"/>
    </row>
    <row r="102" spans="1:24" s="2" customFormat="1">
      <c r="A102" s="710"/>
      <c r="B102" s="711"/>
      <c r="C102" s="712"/>
      <c r="D102" s="37"/>
      <c r="E102" s="311"/>
      <c r="F102" s="312"/>
      <c r="G102" s="4"/>
      <c r="H102"/>
      <c r="I102"/>
      <c r="J102"/>
      <c r="U102" s="26"/>
      <c r="V102" s="508"/>
      <c r="W102" s="508"/>
      <c r="X102" s="508"/>
    </row>
    <row r="103" spans="1:24" s="2" customFormat="1" ht="15" thickBot="1">
      <c r="A103" s="726"/>
      <c r="B103" s="727"/>
      <c r="C103" s="728"/>
      <c r="D103" s="37"/>
      <c r="E103" s="311"/>
      <c r="F103" s="312"/>
      <c r="G103" s="4"/>
      <c r="H103"/>
      <c r="I103"/>
      <c r="J103"/>
      <c r="U103" s="26"/>
      <c r="V103" s="508"/>
      <c r="W103" s="508"/>
      <c r="X103" s="508"/>
    </row>
    <row r="104" spans="1:24" s="2" customFormat="1" ht="15" thickBot="1">
      <c r="A104" s="354" t="s">
        <v>19</v>
      </c>
      <c r="B104" s="338"/>
      <c r="C104" s="334"/>
      <c r="D104" s="11">
        <f>SUM(D98:D103)</f>
        <v>0</v>
      </c>
      <c r="E104" s="317"/>
      <c r="F104" s="318"/>
      <c r="G104" s="4"/>
      <c r="H104"/>
      <c r="I104"/>
      <c r="J104"/>
      <c r="U104" s="26"/>
      <c r="V104" s="508"/>
      <c r="W104" s="508"/>
      <c r="X104" s="508"/>
    </row>
    <row r="105" spans="1:24" s="2" customFormat="1" ht="15" thickBot="1">
      <c r="A105" s="300" t="s">
        <v>63</v>
      </c>
      <c r="B105" s="370">
        <v>0.1</v>
      </c>
      <c r="C105" s="302"/>
      <c r="D105" s="12">
        <f>ROUND(D104*B105,2)</f>
        <v>0</v>
      </c>
      <c r="E105" s="21" t="s">
        <v>16</v>
      </c>
      <c r="F105" s="22" t="s">
        <v>17</v>
      </c>
      <c r="G105" s="4"/>
      <c r="H105"/>
      <c r="I105"/>
      <c r="J105"/>
      <c r="U105" s="26"/>
      <c r="V105" s="508"/>
      <c r="W105" s="508"/>
      <c r="X105" s="508"/>
    </row>
    <row r="106" spans="1:24" s="2" customFormat="1" ht="18.5" thickBot="1">
      <c r="A106" s="13" t="s">
        <v>25</v>
      </c>
      <c r="B106" s="359"/>
      <c r="C106" s="335"/>
      <c r="D106" s="14">
        <f>SUM(D104:D105)</f>
        <v>0</v>
      </c>
      <c r="E106" s="15" t="str">
        <f>IF(D$118=0,"No Total",D106/D$118)</f>
        <v>No Total</v>
      </c>
      <c r="F106" s="16" t="str">
        <f>IF(D$125=0,"No Total",D106/D$125)</f>
        <v>No Total</v>
      </c>
      <c r="G106" s="4"/>
      <c r="H106"/>
      <c r="I106"/>
      <c r="J106"/>
      <c r="U106" s="26"/>
      <c r="V106" s="508"/>
      <c r="W106" s="508"/>
      <c r="X106" s="508"/>
    </row>
    <row r="107" spans="1:24" s="2" customFormat="1" ht="4.5" customHeight="1" thickBot="1">
      <c r="A107" s="713"/>
      <c r="B107" s="714"/>
      <c r="C107" s="714"/>
      <c r="D107" s="714"/>
      <c r="E107" s="714"/>
      <c r="F107" s="715"/>
      <c r="G107" s="4"/>
      <c r="H107"/>
      <c r="I107"/>
      <c r="J107"/>
      <c r="U107" s="26"/>
      <c r="V107" s="508"/>
      <c r="W107" s="508"/>
      <c r="X107" s="508"/>
    </row>
    <row r="108" spans="1:24" s="2" customFormat="1">
      <c r="A108" s="716" t="s">
        <v>71</v>
      </c>
      <c r="B108" s="717"/>
      <c r="C108" s="334"/>
      <c r="D108" s="11">
        <f>K111</f>
        <v>0</v>
      </c>
      <c r="E108" s="315"/>
      <c r="F108" s="316"/>
      <c r="G108" s="40" t="s">
        <v>48</v>
      </c>
      <c r="H108" s="163">
        <v>2.5000000000000001E-2</v>
      </c>
      <c r="I108" t="s">
        <v>1218</v>
      </c>
      <c r="J108"/>
      <c r="K108" s="169">
        <f>ROUND(H108*$H$87,2)</f>
        <v>0</v>
      </c>
      <c r="U108" s="26"/>
      <c r="V108" s="508"/>
      <c r="W108" s="508"/>
      <c r="X108" s="508"/>
    </row>
    <row r="109" spans="1:24" s="2" customFormat="1">
      <c r="A109" s="361" t="s">
        <v>7</v>
      </c>
      <c r="B109" s="360"/>
      <c r="C109" s="357"/>
      <c r="D109" s="37">
        <v>0</v>
      </c>
      <c r="E109" s="311"/>
      <c r="F109" s="312"/>
      <c r="G109" s="40" t="s">
        <v>49</v>
      </c>
      <c r="H109" s="163">
        <v>2.5000000000000001E-2</v>
      </c>
      <c r="I109" t="s">
        <v>1218</v>
      </c>
      <c r="J109"/>
      <c r="K109" s="169">
        <f>ROUND(H109*$H$87,2)</f>
        <v>0</v>
      </c>
      <c r="U109" s="26"/>
      <c r="V109" s="508"/>
      <c r="W109" s="508"/>
      <c r="X109" s="508"/>
    </row>
    <row r="110" spans="1:24" s="2" customFormat="1" ht="15" thickBot="1">
      <c r="A110" s="358"/>
      <c r="B110" s="365" t="s">
        <v>66</v>
      </c>
      <c r="C110" s="366" t="s">
        <v>64</v>
      </c>
      <c r="D110" s="39"/>
      <c r="E110" s="311"/>
      <c r="F110" s="312"/>
      <c r="G110" s="40" t="s">
        <v>50</v>
      </c>
      <c r="H110" s="163">
        <v>0</v>
      </c>
      <c r="I110" t="s">
        <v>1218</v>
      </c>
      <c r="J110"/>
      <c r="K110" s="169">
        <f>ROUND(H110*$H$87,2)</f>
        <v>0</v>
      </c>
      <c r="U110" s="26"/>
      <c r="V110" s="508"/>
      <c r="W110" s="508"/>
      <c r="X110" s="508"/>
    </row>
    <row r="111" spans="1:24" s="2" customFormat="1" ht="13.5" thickBot="1">
      <c r="A111" s="38" t="s">
        <v>8</v>
      </c>
      <c r="B111" s="367">
        <v>150</v>
      </c>
      <c r="C111" s="368"/>
      <c r="D111" s="12">
        <f>ROUND(B111*C111,2)</f>
        <v>0</v>
      </c>
      <c r="E111" s="311"/>
      <c r="F111" s="312"/>
      <c r="H111" s="164"/>
      <c r="K111" s="170">
        <f>SUM(K108:K110)</f>
        <v>0</v>
      </c>
      <c r="U111" s="26"/>
      <c r="V111" s="508"/>
      <c r="W111" s="508"/>
      <c r="X111" s="508"/>
    </row>
    <row r="112" spans="1:24" s="2" customFormat="1">
      <c r="A112" s="362" t="s">
        <v>68</v>
      </c>
      <c r="B112" s="363"/>
      <c r="C112" s="357"/>
      <c r="D112" s="12">
        <f>ROUND(H113*$H$87,2)</f>
        <v>0</v>
      </c>
      <c r="E112" s="311"/>
      <c r="F112" s="312"/>
      <c r="G112" s="40"/>
      <c r="H112" s="164"/>
      <c r="J112"/>
      <c r="U112" s="26"/>
      <c r="V112" s="508"/>
      <c r="W112" s="508"/>
      <c r="X112" s="508"/>
    </row>
    <row r="113" spans="1:24" s="2" customFormat="1" ht="15" thickBot="1">
      <c r="A113" s="364" t="s">
        <v>69</v>
      </c>
      <c r="B113" s="336"/>
      <c r="C113" s="335"/>
      <c r="D113" s="42">
        <v>0</v>
      </c>
      <c r="E113" s="311"/>
      <c r="F113" s="312"/>
      <c r="G113" s="40" t="s">
        <v>68</v>
      </c>
      <c r="H113" s="163">
        <v>2.5000000000000001E-2</v>
      </c>
      <c r="I113" t="s">
        <v>1218</v>
      </c>
      <c r="J113"/>
      <c r="U113" s="26"/>
      <c r="V113" s="508"/>
      <c r="W113" s="508"/>
      <c r="X113" s="508"/>
    </row>
    <row r="114" spans="1:24" s="2" customFormat="1" ht="15" thickBot="1">
      <c r="A114" s="337" t="s">
        <v>19</v>
      </c>
      <c r="B114" s="338"/>
      <c r="C114" s="334"/>
      <c r="D114" s="11">
        <f>SUM(D108:D113)</f>
        <v>0</v>
      </c>
      <c r="E114" s="317"/>
      <c r="F114" s="318"/>
      <c r="G114" s="40"/>
      <c r="H114" s="138"/>
      <c r="I114"/>
      <c r="J114"/>
      <c r="U114" s="26"/>
      <c r="V114" s="508"/>
      <c r="W114" s="508"/>
      <c r="X114" s="508"/>
    </row>
    <row r="115" spans="1:24" s="2" customFormat="1" ht="15" thickBot="1">
      <c r="A115" s="300" t="s">
        <v>74</v>
      </c>
      <c r="B115" s="370">
        <v>0</v>
      </c>
      <c r="C115" s="302"/>
      <c r="D115" s="12">
        <f>ROUND(D114*B115,2)</f>
        <v>0</v>
      </c>
      <c r="E115" s="21" t="s">
        <v>16</v>
      </c>
      <c r="F115" s="22" t="s">
        <v>17</v>
      </c>
      <c r="G115" s="4"/>
      <c r="H115" s="165" t="str">
        <f>IF(H116="","","!!WARNING!!")</f>
        <v/>
      </c>
      <c r="I115"/>
      <c r="J115"/>
      <c r="U115" s="26"/>
      <c r="V115" s="508"/>
      <c r="W115" s="508"/>
      <c r="X115" s="508"/>
    </row>
    <row r="116" spans="1:24" s="2" customFormat="1" ht="18.5" thickBot="1">
      <c r="A116" s="339" t="s">
        <v>72</v>
      </c>
      <c r="B116" s="369"/>
      <c r="C116" s="335"/>
      <c r="D116" s="14">
        <f>SUM(D114,D115)</f>
        <v>0</v>
      </c>
      <c r="E116" s="20" t="str">
        <f>IF(D$118=0,"No Total",D116/D$118)</f>
        <v>No Total</v>
      </c>
      <c r="F116" s="16" t="str">
        <f>IF(D$125=0,"No Total",D116/D$125)</f>
        <v>No Total</v>
      </c>
      <c r="G116" s="4"/>
      <c r="H116" s="165" t="str">
        <f>IF(SUM('Labor Rates'!J12,'Labor Rates'!J32,'Labor Rates'!J52,'Labor Rates'!J72)=0,"","There are indirects buried in the Labor Table Worksheet")</f>
        <v/>
      </c>
      <c r="I116"/>
      <c r="J116"/>
      <c r="U116" s="26"/>
      <c r="V116" s="508"/>
      <c r="W116" s="508"/>
      <c r="X116" s="508"/>
    </row>
    <row r="117" spans="1:24" s="2" customFormat="1" ht="4.5" customHeight="1" thickBot="1">
      <c r="A117" s="713"/>
      <c r="B117" s="714"/>
      <c r="C117" s="714"/>
      <c r="D117" s="714"/>
      <c r="E117" s="714"/>
      <c r="F117" s="715"/>
      <c r="G117" s="4"/>
      <c r="H117" s="166"/>
      <c r="I117"/>
      <c r="J117"/>
      <c r="U117" s="26"/>
      <c r="V117" s="508"/>
      <c r="W117" s="508"/>
      <c r="X117" s="508"/>
    </row>
    <row r="118" spans="1:24" s="2" customFormat="1" ht="18.5" thickBot="1">
      <c r="A118" s="349" t="s">
        <v>26</v>
      </c>
      <c r="B118" s="345"/>
      <c r="C118" s="343"/>
      <c r="D118" s="346">
        <f>D116+D106+D95+D45+D33</f>
        <v>0</v>
      </c>
      <c r="E118" s="321"/>
      <c r="F118" s="22" t="s">
        <v>17</v>
      </c>
      <c r="G118" s="4"/>
      <c r="H118" s="138"/>
      <c r="I118"/>
      <c r="J118"/>
      <c r="U118" s="26"/>
      <c r="V118" s="508"/>
      <c r="W118" s="508"/>
      <c r="X118" s="508"/>
    </row>
    <row r="119" spans="1:24" s="2" customFormat="1" ht="15" thickBot="1">
      <c r="A119" s="347" t="s">
        <v>73</v>
      </c>
      <c r="B119" s="371"/>
      <c r="C119" s="328"/>
      <c r="D119" s="348">
        <f>ROUND(D118*B119,2)</f>
        <v>0</v>
      </c>
      <c r="E119" s="322"/>
      <c r="F119" s="16" t="str">
        <f>IF(D$125=0,"No Total",D119/D$125)</f>
        <v>No Total</v>
      </c>
      <c r="G119" s="4"/>
      <c r="H119" s="138"/>
      <c r="I119"/>
      <c r="J119"/>
      <c r="U119" s="26"/>
      <c r="V119" s="508"/>
      <c r="W119" s="508"/>
      <c r="X119" s="508"/>
    </row>
    <row r="120" spans="1:24" s="2" customFormat="1">
      <c r="A120" s="350" t="s">
        <v>27</v>
      </c>
      <c r="B120" s="351"/>
      <c r="C120" s="357"/>
      <c r="D120" s="43">
        <v>0</v>
      </c>
      <c r="E120" s="309"/>
      <c r="F120" s="312"/>
      <c r="G120" s="4"/>
      <c r="H120" s="138"/>
      <c r="I120"/>
      <c r="J120"/>
      <c r="U120" s="26"/>
      <c r="V120" s="508"/>
      <c r="W120" s="508"/>
      <c r="X120" s="508"/>
    </row>
    <row r="121" spans="1:24" s="2" customFormat="1">
      <c r="A121" s="741" t="s">
        <v>11</v>
      </c>
      <c r="B121" s="742"/>
      <c r="C121" s="352"/>
      <c r="D121" s="43">
        <v>0</v>
      </c>
      <c r="E121" s="309"/>
      <c r="F121" s="312"/>
      <c r="G121" s="4"/>
      <c r="H121" s="138"/>
      <c r="I121"/>
      <c r="J121"/>
      <c r="U121" s="26"/>
      <c r="V121" s="508"/>
      <c r="W121" s="508"/>
      <c r="X121" s="508"/>
    </row>
    <row r="122" spans="1:24" s="2" customFormat="1" ht="15" thickBot="1">
      <c r="A122" s="353" t="s">
        <v>28</v>
      </c>
      <c r="B122" s="351"/>
      <c r="C122" s="335"/>
      <c r="D122" s="43">
        <v>0</v>
      </c>
      <c r="E122" s="309"/>
      <c r="F122" s="312"/>
      <c r="G122" s="4"/>
      <c r="H122" s="167"/>
      <c r="I122"/>
      <c r="J122"/>
      <c r="U122" s="26"/>
      <c r="V122" s="508"/>
      <c r="W122" s="508"/>
      <c r="X122" s="508"/>
    </row>
    <row r="123" spans="1:24" s="2" customFormat="1" ht="15" thickBot="1">
      <c r="A123" s="739" t="s">
        <v>852</v>
      </c>
      <c r="B123" s="740"/>
      <c r="C123" s="190">
        <f>IF(A123="Oregon CAT Tax",0.004+0.0015,IF(A123="Washington B&amp;O Tax",0.0044+0.0015,0))</f>
        <v>5.4999999999999997E-3</v>
      </c>
      <c r="D123" s="12">
        <f>C123*SUM(D118:D122)</f>
        <v>0</v>
      </c>
      <c r="E123" s="309"/>
      <c r="F123" s="312"/>
      <c r="G123" s="193" t="s">
        <v>866</v>
      </c>
      <c r="H123" s="138"/>
      <c r="I123" s="185"/>
      <c r="J123" s="185"/>
      <c r="K123" s="521"/>
      <c r="U123" s="26"/>
      <c r="V123" s="508"/>
      <c r="W123" s="508"/>
      <c r="X123" s="508"/>
    </row>
    <row r="124" spans="1:24" s="2" customFormat="1" ht="15" thickBot="1">
      <c r="A124" s="344" t="str">
        <f>"Round to Nearest $" &amp;H125</f>
        <v>Round to Nearest $5</v>
      </c>
      <c r="B124" s="345"/>
      <c r="C124" s="343"/>
      <c r="D124" s="162">
        <f>MROUND(SUM(D118:D123),J125)-SUM(D118:D123)</f>
        <v>0</v>
      </c>
      <c r="E124" s="309"/>
      <c r="F124" s="312"/>
      <c r="I124" s="185"/>
      <c r="J124" s="185"/>
      <c r="K124" s="521"/>
      <c r="U124" s="26"/>
      <c r="V124" s="508"/>
      <c r="W124" s="508"/>
      <c r="X124" s="508"/>
    </row>
    <row r="125" spans="1:24" s="2" customFormat="1" ht="20.5" thickBot="1">
      <c r="A125" s="729" t="s">
        <v>29</v>
      </c>
      <c r="B125" s="730"/>
      <c r="C125" s="730"/>
      <c r="D125" s="342">
        <f>SUM(D118:D124)</f>
        <v>0</v>
      </c>
      <c r="E125" s="320"/>
      <c r="F125" s="319"/>
      <c r="G125" s="40" t="s">
        <v>718</v>
      </c>
      <c r="H125" s="168">
        <v>5</v>
      </c>
      <c r="I125" s="186">
        <f>IF(SUM(D119:D123)&gt;=0,1,IF(SUM(D119:D123)&lt;0,-1))</f>
        <v>1</v>
      </c>
      <c r="J125" s="191">
        <f>H125*I125</f>
        <v>5</v>
      </c>
      <c r="K125" s="521"/>
      <c r="U125" s="26"/>
      <c r="V125" s="508"/>
      <c r="W125" s="508"/>
      <c r="X125" s="508"/>
    </row>
    <row r="126" spans="1:24" s="2" customFormat="1">
      <c r="A126"/>
      <c r="B126"/>
      <c r="C126"/>
      <c r="D126"/>
      <c r="E126"/>
      <c r="F126"/>
      <c r="G126" s="472" t="s">
        <v>1228</v>
      </c>
      <c r="H126"/>
      <c r="I126" s="185"/>
      <c r="J126" s="185"/>
      <c r="K126" s="185"/>
      <c r="U126" s="26"/>
      <c r="V126" s="508"/>
      <c r="W126" s="508"/>
      <c r="X126" s="508"/>
    </row>
    <row r="127" spans="1:24" ht="15" thickBot="1">
      <c r="A127" s="2"/>
      <c r="B127" s="4"/>
      <c r="C127" s="26"/>
      <c r="D127" s="3"/>
      <c r="E127" s="25"/>
      <c r="F127" s="25"/>
      <c r="K127" s="2"/>
      <c r="O127" s="2"/>
      <c r="P127" s="2"/>
    </row>
    <row r="128" spans="1:24" s="2" customFormat="1">
      <c r="A128" s="724" t="s">
        <v>30</v>
      </c>
      <c r="B128" s="725"/>
      <c r="C128" s="26"/>
      <c r="D128" s="3"/>
      <c r="E128" s="25"/>
      <c r="F128" s="25"/>
      <c r="G128" s="4"/>
      <c r="H128"/>
      <c r="I128"/>
      <c r="J128"/>
      <c r="O128"/>
      <c r="P128"/>
      <c r="U128" s="26"/>
      <c r="V128" s="508"/>
      <c r="W128" s="508"/>
      <c r="X128" s="508"/>
    </row>
    <row r="129" spans="1:24" s="2" customFormat="1">
      <c r="A129" s="9" t="s">
        <v>59</v>
      </c>
      <c r="B129" s="27">
        <f>D31</f>
        <v>0</v>
      </c>
      <c r="C129" s="26"/>
      <c r="D129" s="3"/>
      <c r="E129" s="25"/>
      <c r="F129" s="25"/>
      <c r="G129" s="4"/>
      <c r="H129"/>
      <c r="I129"/>
      <c r="J129"/>
      <c r="U129" s="26"/>
      <c r="V129" s="508"/>
      <c r="W129" s="508"/>
      <c r="X129" s="508"/>
    </row>
    <row r="130" spans="1:24" s="2" customFormat="1">
      <c r="A130" s="9" t="s">
        <v>60</v>
      </c>
      <c r="B130" s="27">
        <f>D43</f>
        <v>0</v>
      </c>
      <c r="C130"/>
      <c r="D130"/>
      <c r="E130"/>
      <c r="F130"/>
      <c r="G130" s="4"/>
      <c r="H130"/>
      <c r="I130"/>
      <c r="J130"/>
      <c r="K130" s="26"/>
      <c r="U130" s="26"/>
      <c r="V130" s="508"/>
      <c r="W130" s="508"/>
      <c r="X130" s="508"/>
    </row>
    <row r="131" spans="1:24" s="26" customFormat="1">
      <c r="A131" s="9" t="s">
        <v>31</v>
      </c>
      <c r="B131" s="27">
        <f>H90</f>
        <v>0</v>
      </c>
      <c r="C131"/>
      <c r="D131"/>
      <c r="E131"/>
      <c r="F131"/>
      <c r="G131"/>
      <c r="H131"/>
      <c r="I131"/>
      <c r="J131"/>
      <c r="O131" s="2"/>
      <c r="P131" s="2"/>
      <c r="V131" s="508"/>
      <c r="W131" s="508"/>
      <c r="X131" s="508"/>
    </row>
    <row r="132" spans="1:24" s="26" customFormat="1">
      <c r="A132" s="9" t="s">
        <v>5</v>
      </c>
      <c r="B132" s="27">
        <f>H87</f>
        <v>0</v>
      </c>
      <c r="C132"/>
      <c r="D132"/>
      <c r="E132"/>
      <c r="F132"/>
      <c r="G132"/>
      <c r="H132"/>
      <c r="I132"/>
      <c r="J132"/>
      <c r="V132" s="508"/>
      <c r="W132" s="508"/>
      <c r="X132" s="508"/>
    </row>
    <row r="133" spans="1:24" s="26" customFormat="1">
      <c r="A133" s="9" t="s">
        <v>32</v>
      </c>
      <c r="B133" s="27">
        <f>D92-B131-B132</f>
        <v>0</v>
      </c>
      <c r="C133"/>
      <c r="D133"/>
      <c r="E133"/>
      <c r="F133"/>
      <c r="G133"/>
      <c r="H133"/>
      <c r="I133"/>
      <c r="J133"/>
      <c r="V133" s="508"/>
      <c r="W133" s="508"/>
      <c r="X133" s="508"/>
    </row>
    <row r="134" spans="1:24" s="26" customFormat="1">
      <c r="A134" s="9" t="s">
        <v>6</v>
      </c>
      <c r="B134" s="27">
        <f>D104</f>
        <v>0</v>
      </c>
      <c r="C134"/>
      <c r="D134"/>
      <c r="E134"/>
      <c r="F134"/>
      <c r="G134"/>
      <c r="H134"/>
      <c r="I134"/>
      <c r="J134"/>
      <c r="V134" s="508"/>
      <c r="W134" s="508"/>
      <c r="X134" s="508"/>
    </row>
    <row r="135" spans="1:24" s="26" customFormat="1" ht="15" thickBot="1">
      <c r="A135" s="24" t="s">
        <v>33</v>
      </c>
      <c r="B135" s="28">
        <f>D114</f>
        <v>0</v>
      </c>
      <c r="C135"/>
      <c r="D135"/>
      <c r="E135"/>
      <c r="F135"/>
      <c r="G135"/>
      <c r="H135"/>
      <c r="I135"/>
      <c r="J135"/>
      <c r="V135" s="508"/>
      <c r="W135" s="508"/>
      <c r="X135" s="508"/>
    </row>
    <row r="136" spans="1:24" s="26" customFormat="1">
      <c r="A136"/>
      <c r="B136"/>
      <c r="C136"/>
      <c r="D136"/>
      <c r="E136"/>
      <c r="F136"/>
      <c r="G136"/>
      <c r="H136"/>
      <c r="I136"/>
      <c r="J136"/>
      <c r="K136"/>
      <c r="V136" s="508"/>
      <c r="W136" s="508"/>
      <c r="X136" s="508"/>
    </row>
    <row r="137" spans="1:24">
      <c r="O137" s="26"/>
      <c r="P137" s="26"/>
    </row>
    <row r="156" spans="1:24" ht="15" thickBot="1">
      <c r="A156" s="2"/>
      <c r="B156" s="4"/>
      <c r="K156" s="26"/>
    </row>
    <row r="157" spans="1:24" s="26" customFormat="1">
      <c r="A157" s="724" t="s">
        <v>2</v>
      </c>
      <c r="B157" s="725"/>
      <c r="C157"/>
      <c r="D157"/>
      <c r="E157"/>
      <c r="F157"/>
      <c r="G157"/>
      <c r="H157"/>
      <c r="I157"/>
      <c r="J157"/>
      <c r="O157"/>
      <c r="P157"/>
      <c r="V157" s="508"/>
      <c r="W157" s="508"/>
      <c r="X157" s="508"/>
    </row>
    <row r="158" spans="1:24" s="26" customFormat="1">
      <c r="A158" s="9" t="s">
        <v>4</v>
      </c>
      <c r="B158" s="12">
        <f>B129+B130+B131</f>
        <v>0</v>
      </c>
      <c r="C158"/>
      <c r="D158"/>
      <c r="E158"/>
      <c r="F158"/>
      <c r="G158"/>
      <c r="H158"/>
      <c r="I158"/>
      <c r="J158"/>
      <c r="V158" s="508"/>
      <c r="W158" s="508"/>
      <c r="X158" s="508"/>
    </row>
    <row r="159" spans="1:24" s="26" customFormat="1">
      <c r="A159" s="9" t="s">
        <v>5</v>
      </c>
      <c r="B159" s="12">
        <f>B132+B133</f>
        <v>0</v>
      </c>
      <c r="C159"/>
      <c r="D159"/>
      <c r="E159"/>
      <c r="F159"/>
      <c r="G159"/>
      <c r="H159"/>
      <c r="I159"/>
      <c r="J159"/>
      <c r="V159" s="508"/>
      <c r="W159" s="508"/>
      <c r="X159" s="508"/>
    </row>
    <row r="160" spans="1:24" s="26" customFormat="1">
      <c r="A160" s="9" t="s">
        <v>6</v>
      </c>
      <c r="B160" s="12">
        <f>B134</f>
        <v>0</v>
      </c>
      <c r="C160"/>
      <c r="D160"/>
      <c r="E160"/>
      <c r="F160"/>
      <c r="G160"/>
      <c r="H160"/>
      <c r="I160"/>
      <c r="J160"/>
      <c r="V160" s="508"/>
      <c r="W160" s="508"/>
      <c r="X160" s="508"/>
    </row>
    <row r="161" spans="1:24" s="26" customFormat="1">
      <c r="A161" s="9" t="s">
        <v>7</v>
      </c>
      <c r="B161" s="12">
        <f>B135</f>
        <v>0</v>
      </c>
      <c r="C161"/>
      <c r="D161"/>
      <c r="E161"/>
      <c r="F161"/>
      <c r="G161"/>
      <c r="H161"/>
      <c r="I161"/>
      <c r="J161"/>
      <c r="V161" s="508"/>
      <c r="W161" s="508"/>
      <c r="X161" s="508"/>
    </row>
    <row r="162" spans="1:24" s="26" customFormat="1">
      <c r="A162" s="9" t="s">
        <v>9</v>
      </c>
      <c r="B162" s="12">
        <f>SUM(D32+D44+D94+D105+D115+D119)</f>
        <v>0</v>
      </c>
      <c r="C162"/>
      <c r="D162"/>
      <c r="E162"/>
      <c r="F162"/>
      <c r="G162"/>
      <c r="H162"/>
      <c r="I162"/>
      <c r="J162"/>
      <c r="V162" s="508"/>
      <c r="W162" s="508"/>
      <c r="X162" s="508"/>
    </row>
    <row r="163" spans="1:24" s="26" customFormat="1">
      <c r="A163" s="192" t="s">
        <v>853</v>
      </c>
      <c r="B163" s="12">
        <f>SUM(D120,D121,D122,D123,D124)</f>
        <v>0</v>
      </c>
      <c r="C163"/>
      <c r="D163"/>
      <c r="E163"/>
      <c r="F163"/>
      <c r="G163"/>
      <c r="H163"/>
      <c r="I163"/>
      <c r="J163"/>
      <c r="V163" s="508"/>
      <c r="W163" s="508"/>
      <c r="X163" s="508"/>
    </row>
    <row r="164" spans="1:24" s="26" customFormat="1" ht="15" thickBot="1">
      <c r="A164" s="29"/>
      <c r="B164" s="14">
        <f>SUM(B158:B163)</f>
        <v>0</v>
      </c>
      <c r="C164"/>
      <c r="D164"/>
      <c r="E164"/>
      <c r="F164"/>
      <c r="G164"/>
      <c r="H164"/>
      <c r="I164"/>
      <c r="J164"/>
      <c r="V164" s="508"/>
      <c r="W164" s="508"/>
      <c r="X164" s="508"/>
    </row>
    <row r="165" spans="1:24" s="26" customFormat="1">
      <c r="A165" s="2"/>
      <c r="B165" s="4"/>
      <c r="C165"/>
      <c r="D165"/>
      <c r="E165"/>
      <c r="F165"/>
      <c r="G165"/>
      <c r="H165"/>
      <c r="I165"/>
      <c r="J165"/>
      <c r="V165" s="508"/>
      <c r="W165" s="508"/>
      <c r="X165" s="508"/>
    </row>
    <row r="166" spans="1:24" s="26" customFormat="1">
      <c r="A166"/>
      <c r="B166"/>
      <c r="C166"/>
      <c r="D166"/>
      <c r="E166"/>
      <c r="F166"/>
      <c r="G166"/>
      <c r="H166"/>
      <c r="I166"/>
      <c r="J166"/>
      <c r="K166"/>
      <c r="V166" s="508"/>
      <c r="W166" s="508"/>
      <c r="X166" s="508"/>
    </row>
    <row r="167" spans="1:24">
      <c r="O167" s="26"/>
      <c r="P167" s="26"/>
    </row>
  </sheetData>
  <sheetProtection algorithmName="SHA-512" hashValue="0m7pIoAD5qaV5nbgzgI9WMexC1eNB6hoK1nP9fIc4n9LFMdAS61Kq99wAPoAtuQGiyzbVwQE6IMhPDKEHgT+bg==" saltValue="yXsN/fLA04p1zIJCnSk80w==" spinCount="100000" sheet="1" objects="1" scenarios="1" formatCells="0" selectLockedCells="1" autoFilter="0"/>
  <mergeCells count="60">
    <mergeCell ref="C1:F1"/>
    <mergeCell ref="D2:F2"/>
    <mergeCell ref="D4:F4"/>
    <mergeCell ref="D3:F3"/>
    <mergeCell ref="B6:F6"/>
    <mergeCell ref="D5:F5"/>
    <mergeCell ref="A121:B121"/>
    <mergeCell ref="O47:S47"/>
    <mergeCell ref="G47:L47"/>
    <mergeCell ref="A24:B24"/>
    <mergeCell ref="A107:F107"/>
    <mergeCell ref="A100:C100"/>
    <mergeCell ref="A25:C25"/>
    <mergeCell ref="A26:C26"/>
    <mergeCell ref="A27:C27"/>
    <mergeCell ref="A28:C28"/>
    <mergeCell ref="A36:C36"/>
    <mergeCell ref="A37:C37"/>
    <mergeCell ref="A38:C38"/>
    <mergeCell ref="A39:C39"/>
    <mergeCell ref="A40:C40"/>
    <mergeCell ref="A41:C41"/>
    <mergeCell ref="A29:C29"/>
    <mergeCell ref="A157:B157"/>
    <mergeCell ref="A21:F21"/>
    <mergeCell ref="A101:C101"/>
    <mergeCell ref="A102:C102"/>
    <mergeCell ref="A103:C103"/>
    <mergeCell ref="A125:C125"/>
    <mergeCell ref="A117:F117"/>
    <mergeCell ref="A35:D35"/>
    <mergeCell ref="A98:C98"/>
    <mergeCell ref="A128:B128"/>
    <mergeCell ref="A22:D22"/>
    <mergeCell ref="A23:B23"/>
    <mergeCell ref="A97:C97"/>
    <mergeCell ref="A34:F34"/>
    <mergeCell ref="A123:B123"/>
    <mergeCell ref="A99:C99"/>
    <mergeCell ref="A46:F46"/>
    <mergeCell ref="A96:F96"/>
    <mergeCell ref="A108:B108"/>
    <mergeCell ref="A30:C30"/>
    <mergeCell ref="A42:C42"/>
    <mergeCell ref="A7:A13"/>
    <mergeCell ref="A14:A20"/>
    <mergeCell ref="B7:E7"/>
    <mergeCell ref="B8:E8"/>
    <mergeCell ref="B9:E9"/>
    <mergeCell ref="B10:E10"/>
    <mergeCell ref="B11:E11"/>
    <mergeCell ref="B12:E12"/>
    <mergeCell ref="B13:E13"/>
    <mergeCell ref="B14:E14"/>
    <mergeCell ref="B15:E15"/>
    <mergeCell ref="B16:E16"/>
    <mergeCell ref="B17:E17"/>
    <mergeCell ref="B18:E18"/>
    <mergeCell ref="B19:E19"/>
    <mergeCell ref="B20:E20"/>
  </mergeCells>
  <dataValidations disablePrompts="1" count="1">
    <dataValidation type="list" allowBlank="1" showInputMessage="1" showErrorMessage="1" sqref="A123:B123" xr:uid="{00000000-0002-0000-0400-000000000000}">
      <formula1>"Oregon CAT Tax, Washington B&amp;O Tax, No Tax"</formula1>
    </dataValidation>
  </dataValidations>
  <printOptions horizontalCentered="1"/>
  <pageMargins left="0.5" right="0.5" top="0.5" bottom="0.5" header="0.5" footer="0.5"/>
  <pageSetup scale="93" fitToHeight="0" orientation="portrait" blackAndWhite="1" horizontalDpi="200" verticalDpi="200" r:id="rId1"/>
  <headerFooter scaleWithDoc="0" alignWithMargins="0">
    <oddFooter>Page &amp;P of &amp;N</oddFooter>
  </headerFooter>
  <rowBreaks count="4" manualBreakCount="4">
    <brk id="46" max="5" man="1"/>
    <brk id="96" max="5" man="1"/>
    <brk id="125" max="5" man="1"/>
    <brk id="157" max="16383" man="1"/>
  </rowBreaks>
  <ignoredErrors>
    <ignoredError sqref="B8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66" r:id="rId4" name="Group Box 18">
              <controlPr defaultSize="0" autoFill="0" autoPict="0">
                <anchor moveWithCells="1">
                  <from>
                    <xdr:col>7</xdr:col>
                    <xdr:colOff>0</xdr:colOff>
                    <xdr:row>32</xdr:row>
                    <xdr:rowOff>165100</xdr:rowOff>
                  </from>
                  <to>
                    <xdr:col>9</xdr:col>
                    <xdr:colOff>419100</xdr:colOff>
                    <xdr:row>36</xdr:row>
                    <xdr:rowOff>152400</xdr:rowOff>
                  </to>
                </anchor>
              </controlPr>
            </control>
          </mc:Choice>
        </mc:AlternateContent>
        <mc:AlternateContent xmlns:mc="http://schemas.openxmlformats.org/markup-compatibility/2006">
          <mc:Choice Requires="x14">
            <control shapeId="2067" r:id="rId5" name="Option Button 19">
              <controlPr defaultSize="0" autoFill="0" autoLine="0" autoPict="0">
                <anchor moveWithCells="1">
                  <from>
                    <xdr:col>7</xdr:col>
                    <xdr:colOff>88900</xdr:colOff>
                    <xdr:row>33</xdr:row>
                    <xdr:rowOff>19050</xdr:rowOff>
                  </from>
                  <to>
                    <xdr:col>9</xdr:col>
                    <xdr:colOff>209550</xdr:colOff>
                    <xdr:row>34</xdr:row>
                    <xdr:rowOff>184150</xdr:rowOff>
                  </to>
                </anchor>
              </controlPr>
            </control>
          </mc:Choice>
        </mc:AlternateContent>
        <mc:AlternateContent xmlns:mc="http://schemas.openxmlformats.org/markup-compatibility/2006">
          <mc:Choice Requires="x14">
            <control shapeId="2070" r:id="rId6" name="Option Button 22">
              <controlPr defaultSize="0" autoFill="0" autoLine="0" autoPict="0">
                <anchor moveWithCells="1">
                  <from>
                    <xdr:col>7</xdr:col>
                    <xdr:colOff>88900</xdr:colOff>
                    <xdr:row>35</xdr:row>
                    <xdr:rowOff>19050</xdr:rowOff>
                  </from>
                  <to>
                    <xdr:col>9</xdr:col>
                    <xdr:colOff>298450</xdr:colOff>
                    <xdr:row>36</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2994F-E4AF-47DE-A5E7-B11C0C74CF99}">
  <sheetPr codeName="Sheet15"/>
  <dimension ref="A1:Q93"/>
  <sheetViews>
    <sheetView workbookViewId="0">
      <selection activeCell="A2" sqref="A2"/>
    </sheetView>
  </sheetViews>
  <sheetFormatPr defaultColWidth="9.1796875" defaultRowHeight="14.5"/>
  <cols>
    <col min="1" max="1" width="48" style="53" customWidth="1"/>
    <col min="2" max="4" width="10.1796875" style="53" customWidth="1"/>
    <col min="5" max="5" width="15.453125" style="53" customWidth="1"/>
    <col min="6" max="6" width="15.26953125" style="53" customWidth="1"/>
    <col min="7" max="7" width="9.1796875" style="53"/>
    <col min="8" max="8" width="54" style="53" customWidth="1"/>
    <col min="9" max="9" width="12" style="53" customWidth="1"/>
    <col min="10" max="10" width="12.7265625" style="53" customWidth="1"/>
    <col min="11" max="11" width="9.1796875" style="53"/>
    <col min="12" max="13" width="19.453125" style="53" bestFit="1" customWidth="1"/>
    <col min="14" max="15" width="9.1796875" style="53"/>
    <col min="16" max="16" width="10.26953125" style="53" bestFit="1" customWidth="1"/>
    <col min="17" max="16384" width="9.1796875" style="53"/>
  </cols>
  <sheetData>
    <row r="1" spans="1:17" ht="54.5" thickBot="1">
      <c r="A1" s="49" t="s">
        <v>1177</v>
      </c>
      <c r="B1" s="49" t="s">
        <v>81</v>
      </c>
      <c r="C1" s="383" t="s">
        <v>88</v>
      </c>
      <c r="D1" s="383" t="s">
        <v>89</v>
      </c>
      <c r="E1" s="383" t="s">
        <v>82</v>
      </c>
      <c r="F1" s="384" t="s">
        <v>83</v>
      </c>
      <c r="G1" s="764" t="s">
        <v>84</v>
      </c>
      <c r="H1" s="765"/>
      <c r="I1" s="385" t="s">
        <v>719</v>
      </c>
      <c r="J1" s="385" t="s">
        <v>1158</v>
      </c>
      <c r="L1" s="402">
        <f>SUM(L2:L90)</f>
        <v>0</v>
      </c>
      <c r="M1" s="53">
        <f>SUM(M2:M90)</f>
        <v>0</v>
      </c>
      <c r="O1"/>
      <c r="P1" t="s">
        <v>1139</v>
      </c>
      <c r="Q1" s="53" t="s">
        <v>1180</v>
      </c>
    </row>
    <row r="2" spans="1:17" ht="15.5">
      <c r="A2" s="46"/>
      <c r="B2" s="386"/>
      <c r="C2" s="386"/>
      <c r="D2" s="386"/>
      <c r="E2" s="386"/>
      <c r="F2" s="386"/>
      <c r="G2" s="766"/>
      <c r="H2" s="767"/>
      <c r="I2" s="386"/>
      <c r="J2" s="386"/>
      <c r="L2" s="53" t="s">
        <v>1181</v>
      </c>
      <c r="M2" s="53" t="s">
        <v>1182</v>
      </c>
      <c r="O2" s="53" t="s">
        <v>1184</v>
      </c>
      <c r="P2" s="403">
        <v>6.25E-2</v>
      </c>
      <c r="Q2" s="403">
        <v>0.125</v>
      </c>
    </row>
    <row r="3" spans="1:17" ht="15.5">
      <c r="A3" s="47"/>
      <c r="B3" s="387"/>
      <c r="C3" s="388"/>
      <c r="D3" s="389">
        <f>IF($I$29="Yes",0,SUM(B3*C3,O3))</f>
        <v>0</v>
      </c>
      <c r="E3" s="388"/>
      <c r="F3" s="390">
        <f t="shared" ref="F3:F28" si="0">IF($I$29="Yes",0,B3*E3)</f>
        <v>0</v>
      </c>
      <c r="G3" s="763"/>
      <c r="H3" s="763"/>
      <c r="I3" s="388"/>
      <c r="J3" s="388"/>
      <c r="L3" s="402">
        <f>IF(J3="Swing",D3*'Crew Mix'!$J$3,IF(J3="Graveyard",D3*'Crew Mix'!$K$3,IF(J3="Special",D3*'Crew Mix'!$L$3,0)))</f>
        <v>0</v>
      </c>
      <c r="M3" s="53">
        <f>IF(L3&gt;0,D3,0)</f>
        <v>0</v>
      </c>
      <c r="O3" s="404">
        <f>ROUND(IF(J3="Swing",C3*$P$2,IF(J3="Graveyard",C3*$Q$2,0)),2)</f>
        <v>0</v>
      </c>
      <c r="P3" s="403"/>
    </row>
    <row r="4" spans="1:17" ht="15.5">
      <c r="A4" s="47"/>
      <c r="B4" s="387"/>
      <c r="C4" s="388"/>
      <c r="D4" s="389">
        <f t="shared" ref="D4:D28" si="1">IF($I$29="Yes",0,SUM(B4*C4,O4))</f>
        <v>0</v>
      </c>
      <c r="E4" s="388"/>
      <c r="F4" s="390">
        <f t="shared" si="0"/>
        <v>0</v>
      </c>
      <c r="G4" s="763"/>
      <c r="H4" s="763"/>
      <c r="I4" s="388"/>
      <c r="J4" s="388"/>
      <c r="L4" s="402">
        <f>IF(J4="Swing",D4*'Crew Mix'!$J$3,IF(J4="Graveyard",D4*'Crew Mix'!$K$3,IF(J4="Special",D4*'Crew Mix'!$L$3,0)))</f>
        <v>0</v>
      </c>
      <c r="M4" s="53">
        <f t="shared" ref="M4:M28" si="2">IF(L4&gt;0,D4,0)</f>
        <v>0</v>
      </c>
      <c r="O4" s="404">
        <f t="shared" ref="O4:O28" si="3">ROUND(IF(J4="Swing",C4*$P$2,IF(J4="Graveyard",C4*$Q$2,0)),2)</f>
        <v>0</v>
      </c>
    </row>
    <row r="5" spans="1:17" ht="15.5">
      <c r="A5" s="47"/>
      <c r="B5" s="387"/>
      <c r="C5" s="388"/>
      <c r="D5" s="389">
        <f t="shared" si="1"/>
        <v>0</v>
      </c>
      <c r="E5" s="388"/>
      <c r="F5" s="390">
        <f t="shared" si="0"/>
        <v>0</v>
      </c>
      <c r="G5" s="763"/>
      <c r="H5" s="763"/>
      <c r="I5" s="388"/>
      <c r="J5" s="388"/>
      <c r="L5" s="402">
        <f>IF(J5="Swing",D5*'Crew Mix'!$J$3,IF(J5="Graveyard",D5*'Crew Mix'!$K$3,IF(J5="Special",D5*'Crew Mix'!$L$3,0)))</f>
        <v>0</v>
      </c>
      <c r="M5" s="53">
        <f t="shared" si="2"/>
        <v>0</v>
      </c>
      <c r="O5" s="404">
        <f t="shared" si="3"/>
        <v>0</v>
      </c>
    </row>
    <row r="6" spans="1:17" ht="15.5">
      <c r="A6" s="47"/>
      <c r="B6" s="387"/>
      <c r="C6" s="388"/>
      <c r="D6" s="389">
        <f t="shared" si="1"/>
        <v>0</v>
      </c>
      <c r="E6" s="388"/>
      <c r="F6" s="390">
        <f t="shared" si="0"/>
        <v>0</v>
      </c>
      <c r="G6" s="763"/>
      <c r="H6" s="763"/>
      <c r="I6" s="388"/>
      <c r="J6" s="388"/>
      <c r="L6" s="402">
        <f>IF(J6="Swing",D6*'Crew Mix'!$J$3,IF(J6="Graveyard",D6*'Crew Mix'!$K$3,IF(J6="Special",D6*'Crew Mix'!$L$3,0)))</f>
        <v>0</v>
      </c>
      <c r="M6" s="53">
        <f t="shared" si="2"/>
        <v>0</v>
      </c>
      <c r="O6" s="404">
        <f t="shared" si="3"/>
        <v>0</v>
      </c>
    </row>
    <row r="7" spans="1:17" ht="15.5">
      <c r="A7" s="47"/>
      <c r="B7" s="387"/>
      <c r="C7" s="388"/>
      <c r="D7" s="389">
        <f t="shared" si="1"/>
        <v>0</v>
      </c>
      <c r="E7" s="388"/>
      <c r="F7" s="390">
        <f t="shared" si="0"/>
        <v>0</v>
      </c>
      <c r="G7" s="763"/>
      <c r="H7" s="763"/>
      <c r="I7" s="388"/>
      <c r="J7" s="388"/>
      <c r="L7" s="402">
        <f>IF(J7="Swing",D7*'Crew Mix'!$J$3,IF(J7="Graveyard",D7*'Crew Mix'!$K$3,IF(J7="Special",D7*'Crew Mix'!$L$3,0)))</f>
        <v>0</v>
      </c>
      <c r="M7" s="53">
        <f t="shared" si="2"/>
        <v>0</v>
      </c>
      <c r="O7" s="404">
        <f t="shared" si="3"/>
        <v>0</v>
      </c>
    </row>
    <row r="8" spans="1:17" ht="15.5">
      <c r="A8" s="47"/>
      <c r="B8" s="387"/>
      <c r="C8" s="388"/>
      <c r="D8" s="389">
        <f t="shared" si="1"/>
        <v>0</v>
      </c>
      <c r="E8" s="388"/>
      <c r="F8" s="390">
        <f t="shared" si="0"/>
        <v>0</v>
      </c>
      <c r="G8" s="763"/>
      <c r="H8" s="763"/>
      <c r="I8" s="388"/>
      <c r="J8" s="388"/>
      <c r="L8" s="402">
        <f>IF(J8="Swing",D8*'Crew Mix'!$J$3,IF(J8="Graveyard",D8*'Crew Mix'!$K$3,IF(J8="Special",D8*'Crew Mix'!$L$3,0)))</f>
        <v>0</v>
      </c>
      <c r="M8" s="53">
        <f t="shared" si="2"/>
        <v>0</v>
      </c>
      <c r="O8" s="404">
        <f t="shared" si="3"/>
        <v>0</v>
      </c>
    </row>
    <row r="9" spans="1:17" ht="15.5">
      <c r="A9" s="47"/>
      <c r="B9" s="387"/>
      <c r="C9" s="388"/>
      <c r="D9" s="389">
        <f t="shared" si="1"/>
        <v>0</v>
      </c>
      <c r="E9" s="388"/>
      <c r="F9" s="390">
        <f t="shared" si="0"/>
        <v>0</v>
      </c>
      <c r="G9" s="763"/>
      <c r="H9" s="763"/>
      <c r="I9" s="388"/>
      <c r="J9" s="388"/>
      <c r="L9" s="402">
        <f>IF(J9="Swing",D9*'Crew Mix'!$J$3,IF(J9="Graveyard",D9*'Crew Mix'!$K$3,IF(J9="Special",D9*'Crew Mix'!$L$3,0)))</f>
        <v>0</v>
      </c>
      <c r="M9" s="53">
        <f t="shared" si="2"/>
        <v>0</v>
      </c>
      <c r="O9" s="404">
        <f t="shared" si="3"/>
        <v>0</v>
      </c>
    </row>
    <row r="10" spans="1:17" ht="15.5">
      <c r="A10" s="47"/>
      <c r="B10" s="387"/>
      <c r="C10" s="388"/>
      <c r="D10" s="389">
        <f t="shared" si="1"/>
        <v>0</v>
      </c>
      <c r="E10" s="388"/>
      <c r="F10" s="390">
        <f t="shared" si="0"/>
        <v>0</v>
      </c>
      <c r="G10" s="763"/>
      <c r="H10" s="763"/>
      <c r="I10" s="388"/>
      <c r="J10" s="388"/>
      <c r="L10" s="402">
        <f>IF(J10="Swing",D10*'Crew Mix'!$J$3,IF(J10="Graveyard",D10*'Crew Mix'!$K$3,IF(J10="Special",D10*'Crew Mix'!$L$3,0)))</f>
        <v>0</v>
      </c>
      <c r="M10" s="53">
        <f t="shared" si="2"/>
        <v>0</v>
      </c>
      <c r="O10" s="404">
        <f t="shared" si="3"/>
        <v>0</v>
      </c>
    </row>
    <row r="11" spans="1:17" ht="15.5">
      <c r="A11" s="47"/>
      <c r="B11" s="387"/>
      <c r="C11" s="388"/>
      <c r="D11" s="389">
        <f t="shared" si="1"/>
        <v>0</v>
      </c>
      <c r="E11" s="388"/>
      <c r="F11" s="390">
        <f t="shared" si="0"/>
        <v>0</v>
      </c>
      <c r="G11" s="763"/>
      <c r="H11" s="763"/>
      <c r="I11" s="388"/>
      <c r="J11" s="388"/>
      <c r="L11" s="402">
        <f>IF(J11="Swing",D11*'Crew Mix'!$J$3,IF(J11="Graveyard",D11*'Crew Mix'!$K$3,IF(J11="Special",D11*'Crew Mix'!$L$3,0)))</f>
        <v>0</v>
      </c>
      <c r="M11" s="53">
        <f t="shared" si="2"/>
        <v>0</v>
      </c>
      <c r="O11" s="404">
        <f t="shared" si="3"/>
        <v>0</v>
      </c>
    </row>
    <row r="12" spans="1:17" ht="15.5">
      <c r="A12" s="47"/>
      <c r="B12" s="387"/>
      <c r="C12" s="388"/>
      <c r="D12" s="389">
        <f t="shared" si="1"/>
        <v>0</v>
      </c>
      <c r="E12" s="388"/>
      <c r="F12" s="390">
        <f t="shared" si="0"/>
        <v>0</v>
      </c>
      <c r="G12" s="763"/>
      <c r="H12" s="763"/>
      <c r="I12" s="388"/>
      <c r="J12" s="388"/>
      <c r="L12" s="402">
        <f>IF(J12="Swing",D12*'Crew Mix'!$J$3,IF(J12="Graveyard",D12*'Crew Mix'!$K$3,IF(J12="Special",D12*'Crew Mix'!$L$3,0)))</f>
        <v>0</v>
      </c>
      <c r="M12" s="53">
        <f t="shared" si="2"/>
        <v>0</v>
      </c>
      <c r="O12" s="404">
        <f t="shared" si="3"/>
        <v>0</v>
      </c>
    </row>
    <row r="13" spans="1:17" ht="15.5">
      <c r="A13" s="47"/>
      <c r="B13" s="387"/>
      <c r="C13" s="388"/>
      <c r="D13" s="389">
        <f t="shared" si="1"/>
        <v>0</v>
      </c>
      <c r="E13" s="388"/>
      <c r="F13" s="390">
        <f t="shared" si="0"/>
        <v>0</v>
      </c>
      <c r="G13" s="763"/>
      <c r="H13" s="763"/>
      <c r="I13" s="388"/>
      <c r="J13" s="388"/>
      <c r="L13" s="402">
        <f>IF(J13="Swing",D13*'Crew Mix'!$J$3,IF(J13="Graveyard",D13*'Crew Mix'!$K$3,IF(J13="Special",D13*'Crew Mix'!$L$3,0)))</f>
        <v>0</v>
      </c>
      <c r="M13" s="53">
        <f t="shared" si="2"/>
        <v>0</v>
      </c>
      <c r="O13" s="404">
        <f t="shared" si="3"/>
        <v>0</v>
      </c>
    </row>
    <row r="14" spans="1:17" ht="15.5">
      <c r="A14" s="47"/>
      <c r="B14" s="387"/>
      <c r="C14" s="388"/>
      <c r="D14" s="389">
        <f t="shared" si="1"/>
        <v>0</v>
      </c>
      <c r="E14" s="388"/>
      <c r="F14" s="390">
        <f t="shared" si="0"/>
        <v>0</v>
      </c>
      <c r="G14" s="763"/>
      <c r="H14" s="763"/>
      <c r="I14" s="388"/>
      <c r="J14" s="388"/>
      <c r="L14" s="402">
        <f>IF(J14="Swing",D14*'Crew Mix'!$J$3,IF(J14="Graveyard",D14*'Crew Mix'!$K$3,IF(J14="Special",D14*'Crew Mix'!$L$3,0)))</f>
        <v>0</v>
      </c>
      <c r="M14" s="53">
        <f t="shared" si="2"/>
        <v>0</v>
      </c>
      <c r="O14" s="404">
        <f t="shared" si="3"/>
        <v>0</v>
      </c>
    </row>
    <row r="15" spans="1:17" ht="15.5">
      <c r="A15" s="47"/>
      <c r="B15" s="387"/>
      <c r="C15" s="388"/>
      <c r="D15" s="389">
        <f t="shared" si="1"/>
        <v>0</v>
      </c>
      <c r="E15" s="388"/>
      <c r="F15" s="390">
        <f t="shared" si="0"/>
        <v>0</v>
      </c>
      <c r="G15" s="763"/>
      <c r="H15" s="763"/>
      <c r="I15" s="388"/>
      <c r="J15" s="388"/>
      <c r="L15" s="402">
        <f>IF(J15="Swing",D15*'Crew Mix'!$J$3,IF(J15="Graveyard",D15*'Crew Mix'!$K$3,IF(J15="Special",D15*'Crew Mix'!$L$3,0)))</f>
        <v>0</v>
      </c>
      <c r="M15" s="53">
        <f t="shared" si="2"/>
        <v>0</v>
      </c>
      <c r="O15" s="404">
        <f t="shared" si="3"/>
        <v>0</v>
      </c>
    </row>
    <row r="16" spans="1:17" ht="15.5">
      <c r="A16" s="47"/>
      <c r="B16" s="387"/>
      <c r="C16" s="388"/>
      <c r="D16" s="389">
        <f t="shared" si="1"/>
        <v>0</v>
      </c>
      <c r="E16" s="388"/>
      <c r="F16" s="390">
        <f t="shared" si="0"/>
        <v>0</v>
      </c>
      <c r="G16" s="763"/>
      <c r="H16" s="763"/>
      <c r="I16" s="388"/>
      <c r="J16" s="388"/>
      <c r="L16" s="402">
        <f>IF(J16="Swing",D16*'Crew Mix'!$J$3,IF(J16="Graveyard",D16*'Crew Mix'!$K$3,IF(J16="Special",D16*'Crew Mix'!$L$3,0)))</f>
        <v>0</v>
      </c>
      <c r="M16" s="53">
        <f t="shared" si="2"/>
        <v>0</v>
      </c>
      <c r="O16" s="404">
        <f t="shared" si="3"/>
        <v>0</v>
      </c>
    </row>
    <row r="17" spans="1:15" ht="15.5">
      <c r="A17" s="47"/>
      <c r="B17" s="387"/>
      <c r="C17" s="388"/>
      <c r="D17" s="389">
        <f t="shared" si="1"/>
        <v>0</v>
      </c>
      <c r="E17" s="388"/>
      <c r="F17" s="390">
        <f t="shared" si="0"/>
        <v>0</v>
      </c>
      <c r="G17" s="763"/>
      <c r="H17" s="763"/>
      <c r="I17" s="388"/>
      <c r="J17" s="388"/>
      <c r="L17" s="402">
        <f>IF(J17="Swing",D17*'Crew Mix'!$J$3,IF(J17="Graveyard",D17*'Crew Mix'!$K$3,IF(J17="Special",D17*'Crew Mix'!$L$3,0)))</f>
        <v>0</v>
      </c>
      <c r="M17" s="53">
        <f t="shared" si="2"/>
        <v>0</v>
      </c>
      <c r="O17" s="404">
        <f t="shared" si="3"/>
        <v>0</v>
      </c>
    </row>
    <row r="18" spans="1:15" ht="15.5">
      <c r="A18" s="47"/>
      <c r="B18" s="387"/>
      <c r="C18" s="388"/>
      <c r="D18" s="389">
        <f t="shared" si="1"/>
        <v>0</v>
      </c>
      <c r="E18" s="388"/>
      <c r="F18" s="390">
        <f t="shared" si="0"/>
        <v>0</v>
      </c>
      <c r="G18" s="763"/>
      <c r="H18" s="763"/>
      <c r="I18" s="388"/>
      <c r="J18" s="388"/>
      <c r="L18" s="402">
        <f>IF(J18="Swing",D18*'Crew Mix'!$J$3,IF(J18="Graveyard",D18*'Crew Mix'!$K$3,IF(J18="Special",D18*'Crew Mix'!$L$3,0)))</f>
        <v>0</v>
      </c>
      <c r="M18" s="53">
        <f t="shared" si="2"/>
        <v>0</v>
      </c>
      <c r="O18" s="404">
        <f t="shared" si="3"/>
        <v>0</v>
      </c>
    </row>
    <row r="19" spans="1:15" ht="15.5">
      <c r="A19" s="47"/>
      <c r="B19" s="387"/>
      <c r="C19" s="388"/>
      <c r="D19" s="389">
        <f t="shared" si="1"/>
        <v>0</v>
      </c>
      <c r="E19" s="388"/>
      <c r="F19" s="390">
        <f t="shared" si="0"/>
        <v>0</v>
      </c>
      <c r="G19" s="763"/>
      <c r="H19" s="763"/>
      <c r="I19" s="388"/>
      <c r="J19" s="388"/>
      <c r="L19" s="402">
        <f>IF(J19="Swing",D19*'Crew Mix'!$J$3,IF(J19="Graveyard",D19*'Crew Mix'!$K$3,IF(J19="Special",D19*'Crew Mix'!$L$3,0)))</f>
        <v>0</v>
      </c>
      <c r="M19" s="53">
        <f t="shared" si="2"/>
        <v>0</v>
      </c>
      <c r="O19" s="404">
        <f t="shared" si="3"/>
        <v>0</v>
      </c>
    </row>
    <row r="20" spans="1:15" ht="15.5">
      <c r="A20" s="47"/>
      <c r="B20" s="387"/>
      <c r="C20" s="388"/>
      <c r="D20" s="389">
        <f t="shared" si="1"/>
        <v>0</v>
      </c>
      <c r="E20" s="388"/>
      <c r="F20" s="390">
        <f t="shared" si="0"/>
        <v>0</v>
      </c>
      <c r="G20" s="763"/>
      <c r="H20" s="763"/>
      <c r="I20" s="388"/>
      <c r="J20" s="388"/>
      <c r="L20" s="402">
        <f>IF(J20="Swing",D20*'Crew Mix'!$J$3,IF(J20="Graveyard",D20*'Crew Mix'!$K$3,IF(J20="Special",D20*'Crew Mix'!$L$3,0)))</f>
        <v>0</v>
      </c>
      <c r="M20" s="53">
        <f t="shared" si="2"/>
        <v>0</v>
      </c>
      <c r="O20" s="404">
        <f t="shared" si="3"/>
        <v>0</v>
      </c>
    </row>
    <row r="21" spans="1:15" ht="15.5">
      <c r="A21" s="47"/>
      <c r="B21" s="387"/>
      <c r="C21" s="388"/>
      <c r="D21" s="389">
        <f t="shared" si="1"/>
        <v>0</v>
      </c>
      <c r="E21" s="388"/>
      <c r="F21" s="390">
        <f t="shared" si="0"/>
        <v>0</v>
      </c>
      <c r="G21" s="763"/>
      <c r="H21" s="763"/>
      <c r="I21" s="388"/>
      <c r="J21" s="388"/>
      <c r="L21" s="402">
        <f>IF(J21="Swing",D21*'Crew Mix'!$J$3,IF(J21="Graveyard",D21*'Crew Mix'!$K$3,IF(J21="Special",D21*'Crew Mix'!$L$3,0)))</f>
        <v>0</v>
      </c>
      <c r="M21" s="53">
        <f t="shared" si="2"/>
        <v>0</v>
      </c>
      <c r="O21" s="404">
        <f t="shared" si="3"/>
        <v>0</v>
      </c>
    </row>
    <row r="22" spans="1:15" ht="15.5">
      <c r="A22" s="47"/>
      <c r="B22" s="387"/>
      <c r="C22" s="388"/>
      <c r="D22" s="389">
        <f t="shared" si="1"/>
        <v>0</v>
      </c>
      <c r="E22" s="388"/>
      <c r="F22" s="390">
        <f t="shared" si="0"/>
        <v>0</v>
      </c>
      <c r="G22" s="763"/>
      <c r="H22" s="763"/>
      <c r="I22" s="388"/>
      <c r="J22" s="388"/>
      <c r="L22" s="402">
        <f>IF(J22="Swing",D22*'Crew Mix'!$J$3,IF(J22="Graveyard",D22*'Crew Mix'!$K$3,IF(J22="Special",D22*'Crew Mix'!$L$3,0)))</f>
        <v>0</v>
      </c>
      <c r="M22" s="53">
        <f t="shared" si="2"/>
        <v>0</v>
      </c>
      <c r="O22" s="404">
        <f t="shared" si="3"/>
        <v>0</v>
      </c>
    </row>
    <row r="23" spans="1:15" ht="15.5">
      <c r="A23" s="47"/>
      <c r="B23" s="387"/>
      <c r="C23" s="388"/>
      <c r="D23" s="389">
        <f t="shared" si="1"/>
        <v>0</v>
      </c>
      <c r="E23" s="388"/>
      <c r="F23" s="390">
        <f t="shared" si="0"/>
        <v>0</v>
      </c>
      <c r="G23" s="763"/>
      <c r="H23" s="763"/>
      <c r="I23" s="388"/>
      <c r="J23" s="388"/>
      <c r="L23" s="402">
        <f>IF(J23="Swing",D23*'Crew Mix'!$J$3,IF(J23="Graveyard",D23*'Crew Mix'!$K$3,IF(J23="Special",D23*'Crew Mix'!$L$3,0)))</f>
        <v>0</v>
      </c>
      <c r="M23" s="53">
        <f t="shared" si="2"/>
        <v>0</v>
      </c>
      <c r="O23" s="404">
        <f t="shared" si="3"/>
        <v>0</v>
      </c>
    </row>
    <row r="24" spans="1:15" ht="15.5">
      <c r="A24" s="47"/>
      <c r="B24" s="387"/>
      <c r="C24" s="388"/>
      <c r="D24" s="389">
        <f t="shared" si="1"/>
        <v>0</v>
      </c>
      <c r="E24" s="388"/>
      <c r="F24" s="390">
        <f t="shared" si="0"/>
        <v>0</v>
      </c>
      <c r="G24" s="763"/>
      <c r="H24" s="763"/>
      <c r="I24" s="388"/>
      <c r="J24" s="388"/>
      <c r="L24" s="402">
        <f>IF(J24="Swing",D24*'Crew Mix'!$J$3,IF(J24="Graveyard",D24*'Crew Mix'!$K$3,IF(J24="Special",D24*'Crew Mix'!$L$3,0)))</f>
        <v>0</v>
      </c>
      <c r="M24" s="53">
        <f t="shared" si="2"/>
        <v>0</v>
      </c>
      <c r="O24" s="404">
        <f t="shared" si="3"/>
        <v>0</v>
      </c>
    </row>
    <row r="25" spans="1:15" ht="15.5">
      <c r="A25" s="47"/>
      <c r="B25" s="387"/>
      <c r="C25" s="388"/>
      <c r="D25" s="389">
        <f t="shared" si="1"/>
        <v>0</v>
      </c>
      <c r="E25" s="388"/>
      <c r="F25" s="390">
        <f t="shared" si="0"/>
        <v>0</v>
      </c>
      <c r="G25" s="763"/>
      <c r="H25" s="763"/>
      <c r="I25" s="388"/>
      <c r="J25" s="388"/>
      <c r="L25" s="402">
        <f>IF(J25="Swing",D25*'Crew Mix'!$J$3,IF(J25="Graveyard",D25*'Crew Mix'!$K$3,IF(J25="Special",D25*'Crew Mix'!$L$3,0)))</f>
        <v>0</v>
      </c>
      <c r="M25" s="53">
        <f t="shared" si="2"/>
        <v>0</v>
      </c>
      <c r="O25" s="404">
        <f t="shared" si="3"/>
        <v>0</v>
      </c>
    </row>
    <row r="26" spans="1:15" ht="15.5">
      <c r="A26" s="47"/>
      <c r="B26" s="387"/>
      <c r="C26" s="388"/>
      <c r="D26" s="389">
        <f t="shared" si="1"/>
        <v>0</v>
      </c>
      <c r="E26" s="388"/>
      <c r="F26" s="390">
        <f t="shared" si="0"/>
        <v>0</v>
      </c>
      <c r="G26" s="763"/>
      <c r="H26" s="763"/>
      <c r="I26" s="388"/>
      <c r="J26" s="388"/>
      <c r="L26" s="402">
        <f>IF(J26="Swing",D26*'Crew Mix'!$J$3,IF(J26="Graveyard",D26*'Crew Mix'!$K$3,IF(J26="Special",D26*'Crew Mix'!$L$3,0)))</f>
        <v>0</v>
      </c>
      <c r="M26" s="53">
        <f t="shared" si="2"/>
        <v>0</v>
      </c>
      <c r="O26" s="404">
        <f t="shared" si="3"/>
        <v>0</v>
      </c>
    </row>
    <row r="27" spans="1:15" ht="15.5">
      <c r="A27" s="47"/>
      <c r="B27" s="387"/>
      <c r="C27" s="388"/>
      <c r="D27" s="389">
        <f t="shared" si="1"/>
        <v>0</v>
      </c>
      <c r="E27" s="388"/>
      <c r="F27" s="390">
        <f t="shared" si="0"/>
        <v>0</v>
      </c>
      <c r="G27" s="763"/>
      <c r="H27" s="763"/>
      <c r="I27" s="388"/>
      <c r="J27" s="388"/>
      <c r="L27" s="402">
        <f>IF(J27="Swing",D27*'Crew Mix'!$J$3,IF(J27="Graveyard",D27*'Crew Mix'!$K$3,IF(J27="Special",D27*'Crew Mix'!$L$3,0)))</f>
        <v>0</v>
      </c>
      <c r="M27" s="53">
        <f t="shared" si="2"/>
        <v>0</v>
      </c>
      <c r="O27" s="404">
        <f t="shared" si="3"/>
        <v>0</v>
      </c>
    </row>
    <row r="28" spans="1:15" ht="15.5">
      <c r="A28" s="47"/>
      <c r="B28" s="387"/>
      <c r="C28" s="388"/>
      <c r="D28" s="389">
        <f t="shared" si="1"/>
        <v>0</v>
      </c>
      <c r="E28" s="388"/>
      <c r="F28" s="390">
        <f t="shared" si="0"/>
        <v>0</v>
      </c>
      <c r="G28" s="763"/>
      <c r="H28" s="763"/>
      <c r="I28" s="388"/>
      <c r="J28" s="388"/>
      <c r="L28" s="402">
        <f>IF(J28="Swing",D28*'Crew Mix'!$J$3,IF(J28="Graveyard",D28*'Crew Mix'!$K$3,IF(J28="Special",D28*'Crew Mix'!$L$3,0)))</f>
        <v>0</v>
      </c>
      <c r="M28" s="53">
        <f t="shared" si="2"/>
        <v>0</v>
      </c>
      <c r="O28" s="404">
        <f t="shared" si="3"/>
        <v>0</v>
      </c>
    </row>
    <row r="29" spans="1:15" ht="21">
      <c r="A29" s="48"/>
      <c r="B29" s="391"/>
      <c r="C29" s="392"/>
      <c r="D29" s="393">
        <f>SUM(D3:D28)</f>
        <v>0</v>
      </c>
      <c r="E29" s="394"/>
      <c r="F29" s="390">
        <f>SUM(F3:F28)</f>
        <v>0</v>
      </c>
      <c r="H29" s="395" t="s">
        <v>189</v>
      </c>
      <c r="I29" s="396" t="s">
        <v>125</v>
      </c>
    </row>
    <row r="31" spans="1:15" ht="15" thickBot="1"/>
    <row r="32" spans="1:15" ht="54.5" thickBot="1">
      <c r="A32" s="49" t="s">
        <v>1177</v>
      </c>
      <c r="B32" s="49" t="s">
        <v>81</v>
      </c>
      <c r="C32" s="383" t="s">
        <v>88</v>
      </c>
      <c r="D32" s="383" t="s">
        <v>89</v>
      </c>
      <c r="E32" s="383" t="s">
        <v>82</v>
      </c>
      <c r="F32" s="384" t="s">
        <v>83</v>
      </c>
      <c r="G32" s="764" t="s">
        <v>84</v>
      </c>
      <c r="H32" s="765"/>
      <c r="I32" s="385" t="s">
        <v>719</v>
      </c>
      <c r="J32" s="385" t="s">
        <v>1158</v>
      </c>
    </row>
    <row r="33" spans="1:15" ht="15.5">
      <c r="A33" s="46"/>
      <c r="B33" s="386"/>
      <c r="C33" s="386"/>
      <c r="D33" s="386"/>
      <c r="E33" s="386"/>
      <c r="F33" s="386"/>
      <c r="G33" s="766"/>
      <c r="H33" s="767"/>
      <c r="I33" s="386"/>
      <c r="J33" s="386"/>
      <c r="L33" s="53" t="s">
        <v>1181</v>
      </c>
      <c r="M33" s="53" t="s">
        <v>1182</v>
      </c>
      <c r="O33" s="53" t="s">
        <v>1184</v>
      </c>
    </row>
    <row r="34" spans="1:15" ht="15.5">
      <c r="A34" s="47"/>
      <c r="B34" s="387"/>
      <c r="C34" s="388"/>
      <c r="D34" s="389">
        <f t="shared" ref="D34:D59" si="4">IF($I$60="Yes",0,SUM(B34*C34))</f>
        <v>0</v>
      </c>
      <c r="E34" s="388"/>
      <c r="F34" s="390">
        <f t="shared" ref="F34:F59" si="5">IF($I$60="Yes",0,B34*E34)</f>
        <v>0</v>
      </c>
      <c r="G34" s="763"/>
      <c r="H34" s="763"/>
      <c r="I34" s="388"/>
      <c r="J34" s="388"/>
      <c r="L34" s="402">
        <f>IF(J34="Swing",D34*'Crew Mix'!$J$3,IF(J34="Graveyard",D34*'Crew Mix'!$K$3,IF(J34="Special",D34*'Crew Mix'!$L$3,0)))</f>
        <v>0</v>
      </c>
      <c r="M34" s="53">
        <f>IF(L34&gt;0,D34,0)</f>
        <v>0</v>
      </c>
      <c r="O34" s="404">
        <f>ROUND(IF(J34="Swing",C34*$P$2,IF(J34="Graveyard",C34*$Q$2,0)),2)</f>
        <v>0</v>
      </c>
    </row>
    <row r="35" spans="1:15" ht="15.5">
      <c r="A35" s="47"/>
      <c r="B35" s="387"/>
      <c r="C35" s="388"/>
      <c r="D35" s="389">
        <f t="shared" si="4"/>
        <v>0</v>
      </c>
      <c r="E35" s="388"/>
      <c r="F35" s="390">
        <f t="shared" si="5"/>
        <v>0</v>
      </c>
      <c r="G35" s="763"/>
      <c r="H35" s="763"/>
      <c r="I35" s="388"/>
      <c r="J35" s="388"/>
      <c r="L35" s="402">
        <f>IF(J35="Swing",D35*'Crew Mix'!$J$3,IF(J35="Graveyard",D35*'Crew Mix'!$K$3,IF(J35="Special",D35*'Crew Mix'!$L$3,0)))</f>
        <v>0</v>
      </c>
      <c r="M35" s="53">
        <f t="shared" ref="M35:M59" si="6">IF(L35&gt;0,D35,0)</f>
        <v>0</v>
      </c>
      <c r="O35" s="404">
        <f t="shared" ref="O35:O59" si="7">ROUND(IF(J35="Swing",C35*$P$2,IF(J35="Graveyard",C35*$Q$2,0)),2)</f>
        <v>0</v>
      </c>
    </row>
    <row r="36" spans="1:15" ht="15.5">
      <c r="A36" s="47"/>
      <c r="B36" s="387"/>
      <c r="C36" s="388"/>
      <c r="D36" s="389">
        <f t="shared" si="4"/>
        <v>0</v>
      </c>
      <c r="E36" s="388"/>
      <c r="F36" s="390">
        <f t="shared" si="5"/>
        <v>0</v>
      </c>
      <c r="G36" s="763"/>
      <c r="H36" s="763"/>
      <c r="I36" s="388"/>
      <c r="J36" s="388"/>
      <c r="L36" s="402">
        <f>IF(J36="Swing",D36*'Crew Mix'!$J$3,IF(J36="Graveyard",D36*'Crew Mix'!$K$3,IF(J36="Special",D36*'Crew Mix'!$L$3,0)))</f>
        <v>0</v>
      </c>
      <c r="M36" s="53">
        <f t="shared" si="6"/>
        <v>0</v>
      </c>
      <c r="O36" s="404">
        <f t="shared" si="7"/>
        <v>0</v>
      </c>
    </row>
    <row r="37" spans="1:15" ht="15.5">
      <c r="A37" s="47"/>
      <c r="B37" s="387"/>
      <c r="C37" s="388"/>
      <c r="D37" s="389">
        <f t="shared" si="4"/>
        <v>0</v>
      </c>
      <c r="E37" s="388"/>
      <c r="F37" s="390">
        <f t="shared" si="5"/>
        <v>0</v>
      </c>
      <c r="G37" s="763"/>
      <c r="H37" s="763"/>
      <c r="I37" s="388"/>
      <c r="J37" s="388"/>
      <c r="L37" s="402">
        <f>IF(J37="Swing",D37*'Crew Mix'!$J$3,IF(J37="Graveyard",D37*'Crew Mix'!$K$3,IF(J37="Special",D37*'Crew Mix'!$L$3,0)))</f>
        <v>0</v>
      </c>
      <c r="M37" s="53">
        <f t="shared" si="6"/>
        <v>0</v>
      </c>
      <c r="O37" s="404">
        <f t="shared" si="7"/>
        <v>0</v>
      </c>
    </row>
    <row r="38" spans="1:15" ht="15.5">
      <c r="A38" s="47"/>
      <c r="B38" s="387"/>
      <c r="C38" s="388"/>
      <c r="D38" s="389">
        <f t="shared" si="4"/>
        <v>0</v>
      </c>
      <c r="E38" s="388"/>
      <c r="F38" s="390">
        <f t="shared" si="5"/>
        <v>0</v>
      </c>
      <c r="G38" s="763"/>
      <c r="H38" s="763"/>
      <c r="I38" s="388"/>
      <c r="J38" s="388"/>
      <c r="L38" s="402">
        <f>IF(J38="Swing",D38*'Crew Mix'!$J$3,IF(J38="Graveyard",D38*'Crew Mix'!$K$3,IF(J38="Special",D38*'Crew Mix'!$L$3,0)))</f>
        <v>0</v>
      </c>
      <c r="M38" s="53">
        <f t="shared" si="6"/>
        <v>0</v>
      </c>
      <c r="O38" s="404">
        <f t="shared" si="7"/>
        <v>0</v>
      </c>
    </row>
    <row r="39" spans="1:15" ht="15.5">
      <c r="A39" s="47"/>
      <c r="B39" s="387"/>
      <c r="C39" s="388"/>
      <c r="D39" s="389">
        <f t="shared" si="4"/>
        <v>0</v>
      </c>
      <c r="E39" s="388"/>
      <c r="F39" s="390">
        <f t="shared" si="5"/>
        <v>0</v>
      </c>
      <c r="G39" s="763"/>
      <c r="H39" s="763"/>
      <c r="I39" s="388"/>
      <c r="J39" s="388"/>
      <c r="L39" s="402">
        <f>IF(J39="Swing",D39*'Crew Mix'!$J$3,IF(J39="Graveyard",D39*'Crew Mix'!$K$3,IF(J39="Special",D39*'Crew Mix'!$L$3,0)))</f>
        <v>0</v>
      </c>
      <c r="M39" s="53">
        <f t="shared" si="6"/>
        <v>0</v>
      </c>
      <c r="O39" s="404">
        <f t="shared" si="7"/>
        <v>0</v>
      </c>
    </row>
    <row r="40" spans="1:15" ht="15.5">
      <c r="A40" s="47"/>
      <c r="B40" s="387"/>
      <c r="C40" s="388"/>
      <c r="D40" s="389">
        <f t="shared" si="4"/>
        <v>0</v>
      </c>
      <c r="E40" s="388"/>
      <c r="F40" s="390">
        <f t="shared" si="5"/>
        <v>0</v>
      </c>
      <c r="G40" s="763"/>
      <c r="H40" s="763"/>
      <c r="I40" s="388"/>
      <c r="J40" s="388"/>
      <c r="L40" s="402">
        <f>IF(J40="Swing",D40*'Crew Mix'!$J$3,IF(J40="Graveyard",D40*'Crew Mix'!$K$3,IF(J40="Special",D40*'Crew Mix'!$L$3,0)))</f>
        <v>0</v>
      </c>
      <c r="M40" s="53">
        <f t="shared" si="6"/>
        <v>0</v>
      </c>
      <c r="O40" s="404">
        <f t="shared" si="7"/>
        <v>0</v>
      </c>
    </row>
    <row r="41" spans="1:15" ht="15.5">
      <c r="A41" s="47"/>
      <c r="B41" s="387"/>
      <c r="C41" s="388"/>
      <c r="D41" s="389">
        <f t="shared" si="4"/>
        <v>0</v>
      </c>
      <c r="E41" s="388"/>
      <c r="F41" s="390">
        <f t="shared" si="5"/>
        <v>0</v>
      </c>
      <c r="G41" s="763"/>
      <c r="H41" s="763"/>
      <c r="I41" s="388"/>
      <c r="J41" s="388"/>
      <c r="L41" s="402">
        <f>IF(J41="Swing",D41*'Crew Mix'!$J$3,IF(J41="Graveyard",D41*'Crew Mix'!$K$3,IF(J41="Special",D41*'Crew Mix'!$L$3,0)))</f>
        <v>0</v>
      </c>
      <c r="M41" s="53">
        <f t="shared" si="6"/>
        <v>0</v>
      </c>
      <c r="O41" s="404">
        <f t="shared" si="7"/>
        <v>0</v>
      </c>
    </row>
    <row r="42" spans="1:15" ht="15.5">
      <c r="A42" s="47"/>
      <c r="B42" s="387"/>
      <c r="C42" s="388"/>
      <c r="D42" s="389">
        <f t="shared" si="4"/>
        <v>0</v>
      </c>
      <c r="E42" s="388"/>
      <c r="F42" s="390">
        <f t="shared" si="5"/>
        <v>0</v>
      </c>
      <c r="G42" s="763"/>
      <c r="H42" s="763"/>
      <c r="I42" s="388"/>
      <c r="J42" s="388"/>
      <c r="L42" s="402">
        <f>IF(J42="Swing",D42*'Crew Mix'!$J$3,IF(J42="Graveyard",D42*'Crew Mix'!$K$3,IF(J42="Special",D42*'Crew Mix'!$L$3,0)))</f>
        <v>0</v>
      </c>
      <c r="M42" s="53">
        <f t="shared" si="6"/>
        <v>0</v>
      </c>
      <c r="O42" s="404">
        <f t="shared" si="7"/>
        <v>0</v>
      </c>
    </row>
    <row r="43" spans="1:15" ht="15.5">
      <c r="A43" s="47"/>
      <c r="B43" s="387"/>
      <c r="C43" s="388"/>
      <c r="D43" s="389">
        <f t="shared" si="4"/>
        <v>0</v>
      </c>
      <c r="E43" s="388"/>
      <c r="F43" s="390">
        <f t="shared" si="5"/>
        <v>0</v>
      </c>
      <c r="G43" s="763"/>
      <c r="H43" s="763"/>
      <c r="I43" s="388"/>
      <c r="J43" s="388"/>
      <c r="L43" s="402">
        <f>IF(J43="Swing",D43*'Crew Mix'!$J$3,IF(J43="Graveyard",D43*'Crew Mix'!$K$3,IF(J43="Special",D43*'Crew Mix'!$L$3,0)))</f>
        <v>0</v>
      </c>
      <c r="M43" s="53">
        <f t="shared" si="6"/>
        <v>0</v>
      </c>
      <c r="O43" s="404">
        <f t="shared" si="7"/>
        <v>0</v>
      </c>
    </row>
    <row r="44" spans="1:15" ht="15.5">
      <c r="A44" s="47"/>
      <c r="B44" s="387"/>
      <c r="C44" s="388"/>
      <c r="D44" s="389">
        <f t="shared" si="4"/>
        <v>0</v>
      </c>
      <c r="E44" s="388"/>
      <c r="F44" s="390">
        <f t="shared" si="5"/>
        <v>0</v>
      </c>
      <c r="G44" s="763"/>
      <c r="H44" s="763"/>
      <c r="I44" s="388"/>
      <c r="J44" s="388"/>
      <c r="L44" s="402">
        <f>IF(J44="Swing",D44*'Crew Mix'!$J$3,IF(J44="Graveyard",D44*'Crew Mix'!$K$3,IF(J44="Special",D44*'Crew Mix'!$L$3,0)))</f>
        <v>0</v>
      </c>
      <c r="M44" s="53">
        <f t="shared" si="6"/>
        <v>0</v>
      </c>
      <c r="O44" s="404">
        <f t="shared" si="7"/>
        <v>0</v>
      </c>
    </row>
    <row r="45" spans="1:15" ht="15.5">
      <c r="A45" s="47"/>
      <c r="B45" s="387"/>
      <c r="C45" s="388"/>
      <c r="D45" s="389">
        <f t="shared" si="4"/>
        <v>0</v>
      </c>
      <c r="E45" s="388"/>
      <c r="F45" s="390">
        <f t="shared" si="5"/>
        <v>0</v>
      </c>
      <c r="G45" s="763"/>
      <c r="H45" s="763"/>
      <c r="I45" s="388"/>
      <c r="J45" s="388"/>
      <c r="L45" s="402">
        <f>IF(J45="Swing",D45*'Crew Mix'!$J$3,IF(J45="Graveyard",D45*'Crew Mix'!$K$3,IF(J45="Special",D45*'Crew Mix'!$L$3,0)))</f>
        <v>0</v>
      </c>
      <c r="M45" s="53">
        <f t="shared" si="6"/>
        <v>0</v>
      </c>
      <c r="O45" s="404">
        <f t="shared" si="7"/>
        <v>0</v>
      </c>
    </row>
    <row r="46" spans="1:15" ht="15.5">
      <c r="A46" s="47"/>
      <c r="B46" s="387"/>
      <c r="C46" s="388"/>
      <c r="D46" s="389">
        <f t="shared" si="4"/>
        <v>0</v>
      </c>
      <c r="E46" s="388"/>
      <c r="F46" s="390">
        <f t="shared" si="5"/>
        <v>0</v>
      </c>
      <c r="G46" s="763"/>
      <c r="H46" s="763"/>
      <c r="I46" s="388"/>
      <c r="J46" s="388"/>
      <c r="L46" s="402">
        <f>IF(J46="Swing",D46*'Crew Mix'!$J$3,IF(J46="Graveyard",D46*'Crew Mix'!$K$3,IF(J46="Special",D46*'Crew Mix'!$L$3,0)))</f>
        <v>0</v>
      </c>
      <c r="M46" s="53">
        <f t="shared" si="6"/>
        <v>0</v>
      </c>
      <c r="O46" s="404">
        <f t="shared" si="7"/>
        <v>0</v>
      </c>
    </row>
    <row r="47" spans="1:15" ht="15.5">
      <c r="A47" s="47"/>
      <c r="B47" s="387"/>
      <c r="C47" s="388"/>
      <c r="D47" s="389">
        <f t="shared" si="4"/>
        <v>0</v>
      </c>
      <c r="E47" s="388"/>
      <c r="F47" s="390">
        <f t="shared" si="5"/>
        <v>0</v>
      </c>
      <c r="G47" s="763"/>
      <c r="H47" s="763"/>
      <c r="I47" s="388"/>
      <c r="J47" s="388"/>
      <c r="L47" s="402">
        <f>IF(J47="Swing",D47*'Crew Mix'!$J$3,IF(J47="Graveyard",D47*'Crew Mix'!$K$3,IF(J47="Special",D47*'Crew Mix'!$L$3,0)))</f>
        <v>0</v>
      </c>
      <c r="M47" s="53">
        <f t="shared" si="6"/>
        <v>0</v>
      </c>
      <c r="O47" s="404">
        <f t="shared" si="7"/>
        <v>0</v>
      </c>
    </row>
    <row r="48" spans="1:15" ht="15.5">
      <c r="A48" s="47"/>
      <c r="B48" s="387"/>
      <c r="C48" s="388"/>
      <c r="D48" s="389">
        <f t="shared" si="4"/>
        <v>0</v>
      </c>
      <c r="E48" s="388"/>
      <c r="F48" s="390">
        <f t="shared" si="5"/>
        <v>0</v>
      </c>
      <c r="G48" s="763"/>
      <c r="H48" s="763"/>
      <c r="I48" s="388"/>
      <c r="J48" s="388"/>
      <c r="L48" s="402">
        <f>IF(J48="Swing",D48*'Crew Mix'!$J$3,IF(J48="Graveyard",D48*'Crew Mix'!$K$3,IF(J48="Special",D48*'Crew Mix'!$L$3,0)))</f>
        <v>0</v>
      </c>
      <c r="M48" s="53">
        <f t="shared" si="6"/>
        <v>0</v>
      </c>
      <c r="O48" s="404">
        <f t="shared" si="7"/>
        <v>0</v>
      </c>
    </row>
    <row r="49" spans="1:15" ht="15.5">
      <c r="A49" s="47"/>
      <c r="B49" s="387"/>
      <c r="C49" s="388"/>
      <c r="D49" s="389">
        <f t="shared" si="4"/>
        <v>0</v>
      </c>
      <c r="E49" s="388"/>
      <c r="F49" s="390">
        <f t="shared" si="5"/>
        <v>0</v>
      </c>
      <c r="G49" s="763"/>
      <c r="H49" s="763"/>
      <c r="I49" s="388"/>
      <c r="J49" s="388"/>
      <c r="L49" s="402">
        <f>IF(J49="Swing",D49*'Crew Mix'!$J$3,IF(J49="Graveyard",D49*'Crew Mix'!$K$3,IF(J49="Special",D49*'Crew Mix'!$L$3,0)))</f>
        <v>0</v>
      </c>
      <c r="M49" s="53">
        <f t="shared" si="6"/>
        <v>0</v>
      </c>
      <c r="O49" s="404">
        <f t="shared" si="7"/>
        <v>0</v>
      </c>
    </row>
    <row r="50" spans="1:15" ht="15.5">
      <c r="A50" s="47"/>
      <c r="B50" s="387"/>
      <c r="C50" s="388"/>
      <c r="D50" s="389">
        <f t="shared" si="4"/>
        <v>0</v>
      </c>
      <c r="E50" s="388"/>
      <c r="F50" s="390">
        <f t="shared" si="5"/>
        <v>0</v>
      </c>
      <c r="G50" s="763"/>
      <c r="H50" s="763"/>
      <c r="I50" s="388"/>
      <c r="J50" s="388"/>
      <c r="L50" s="402">
        <f>IF(J50="Swing",D50*'Crew Mix'!$J$3,IF(J50="Graveyard",D50*'Crew Mix'!$K$3,IF(J50="Special",D50*'Crew Mix'!$L$3,0)))</f>
        <v>0</v>
      </c>
      <c r="M50" s="53">
        <f t="shared" si="6"/>
        <v>0</v>
      </c>
      <c r="O50" s="404">
        <f t="shared" si="7"/>
        <v>0</v>
      </c>
    </row>
    <row r="51" spans="1:15" ht="15.5">
      <c r="A51" s="47"/>
      <c r="B51" s="387"/>
      <c r="C51" s="388"/>
      <c r="D51" s="389">
        <f t="shared" si="4"/>
        <v>0</v>
      </c>
      <c r="E51" s="388"/>
      <c r="F51" s="390">
        <f t="shared" si="5"/>
        <v>0</v>
      </c>
      <c r="G51" s="763"/>
      <c r="H51" s="763"/>
      <c r="I51" s="388"/>
      <c r="J51" s="388"/>
      <c r="L51" s="402">
        <f>IF(J51="Swing",D51*'Crew Mix'!$J$3,IF(J51="Graveyard",D51*'Crew Mix'!$K$3,IF(J51="Special",D51*'Crew Mix'!$L$3,0)))</f>
        <v>0</v>
      </c>
      <c r="M51" s="53">
        <f t="shared" si="6"/>
        <v>0</v>
      </c>
      <c r="O51" s="404">
        <f t="shared" si="7"/>
        <v>0</v>
      </c>
    </row>
    <row r="52" spans="1:15" ht="15.5">
      <c r="A52" s="47"/>
      <c r="B52" s="387"/>
      <c r="C52" s="388"/>
      <c r="D52" s="389">
        <f t="shared" si="4"/>
        <v>0</v>
      </c>
      <c r="E52" s="388"/>
      <c r="F52" s="390">
        <f t="shared" si="5"/>
        <v>0</v>
      </c>
      <c r="G52" s="763"/>
      <c r="H52" s="763"/>
      <c r="I52" s="388"/>
      <c r="J52" s="388"/>
      <c r="L52" s="402">
        <f>IF(J52="Swing",D52*'Crew Mix'!$J$3,IF(J52="Graveyard",D52*'Crew Mix'!$K$3,IF(J52="Special",D52*'Crew Mix'!$L$3,0)))</f>
        <v>0</v>
      </c>
      <c r="M52" s="53">
        <f t="shared" si="6"/>
        <v>0</v>
      </c>
      <c r="O52" s="404">
        <f t="shared" si="7"/>
        <v>0</v>
      </c>
    </row>
    <row r="53" spans="1:15" ht="15.5">
      <c r="A53" s="47"/>
      <c r="B53" s="387"/>
      <c r="C53" s="388"/>
      <c r="D53" s="389">
        <f t="shared" si="4"/>
        <v>0</v>
      </c>
      <c r="E53" s="388"/>
      <c r="F53" s="390">
        <f t="shared" si="5"/>
        <v>0</v>
      </c>
      <c r="G53" s="763"/>
      <c r="H53" s="763"/>
      <c r="I53" s="388"/>
      <c r="J53" s="388"/>
      <c r="L53" s="402">
        <f>IF(J53="Swing",D53*'Crew Mix'!$J$3,IF(J53="Graveyard",D53*'Crew Mix'!$K$3,IF(J53="Special",D53*'Crew Mix'!$L$3,0)))</f>
        <v>0</v>
      </c>
      <c r="M53" s="53">
        <f t="shared" si="6"/>
        <v>0</v>
      </c>
      <c r="O53" s="404">
        <f t="shared" si="7"/>
        <v>0</v>
      </c>
    </row>
    <row r="54" spans="1:15" ht="15.5">
      <c r="A54" s="47"/>
      <c r="B54" s="387"/>
      <c r="C54" s="388"/>
      <c r="D54" s="389">
        <f t="shared" si="4"/>
        <v>0</v>
      </c>
      <c r="E54" s="388"/>
      <c r="F54" s="390">
        <f t="shared" si="5"/>
        <v>0</v>
      </c>
      <c r="G54" s="763"/>
      <c r="H54" s="763"/>
      <c r="I54" s="388"/>
      <c r="J54" s="388"/>
      <c r="L54" s="402">
        <f>IF(J54="Swing",D54*'Crew Mix'!$J$3,IF(J54="Graveyard",D54*'Crew Mix'!$K$3,IF(J54="Special",D54*'Crew Mix'!$L$3,0)))</f>
        <v>0</v>
      </c>
      <c r="M54" s="53">
        <f t="shared" si="6"/>
        <v>0</v>
      </c>
      <c r="O54" s="404">
        <f t="shared" si="7"/>
        <v>0</v>
      </c>
    </row>
    <row r="55" spans="1:15" ht="15.5">
      <c r="A55" s="47"/>
      <c r="B55" s="387"/>
      <c r="C55" s="388"/>
      <c r="D55" s="389">
        <f t="shared" si="4"/>
        <v>0</v>
      </c>
      <c r="E55" s="388"/>
      <c r="F55" s="390">
        <f t="shared" si="5"/>
        <v>0</v>
      </c>
      <c r="G55" s="763"/>
      <c r="H55" s="763"/>
      <c r="I55" s="388"/>
      <c r="J55" s="388"/>
      <c r="L55" s="402">
        <f>IF(J55="Swing",D55*'Crew Mix'!$J$3,IF(J55="Graveyard",D55*'Crew Mix'!$K$3,IF(J55="Special",D55*'Crew Mix'!$L$3,0)))</f>
        <v>0</v>
      </c>
      <c r="M55" s="53">
        <f t="shared" si="6"/>
        <v>0</v>
      </c>
      <c r="O55" s="404">
        <f t="shared" si="7"/>
        <v>0</v>
      </c>
    </row>
    <row r="56" spans="1:15" ht="15.5">
      <c r="A56" s="47"/>
      <c r="B56" s="387"/>
      <c r="C56" s="388"/>
      <c r="D56" s="389">
        <f t="shared" si="4"/>
        <v>0</v>
      </c>
      <c r="E56" s="388"/>
      <c r="F56" s="390">
        <f t="shared" si="5"/>
        <v>0</v>
      </c>
      <c r="G56" s="763"/>
      <c r="H56" s="763"/>
      <c r="I56" s="388"/>
      <c r="J56" s="388"/>
      <c r="L56" s="402">
        <f>IF(J56="Swing",D56*'Crew Mix'!$J$3,IF(J56="Graveyard",D56*'Crew Mix'!$K$3,IF(J56="Special",D56*'Crew Mix'!$L$3,0)))</f>
        <v>0</v>
      </c>
      <c r="M56" s="53">
        <f t="shared" si="6"/>
        <v>0</v>
      </c>
      <c r="O56" s="404">
        <f t="shared" si="7"/>
        <v>0</v>
      </c>
    </row>
    <row r="57" spans="1:15" ht="15.5">
      <c r="A57" s="47"/>
      <c r="B57" s="387"/>
      <c r="C57" s="388"/>
      <c r="D57" s="389">
        <f t="shared" si="4"/>
        <v>0</v>
      </c>
      <c r="E57" s="388"/>
      <c r="F57" s="390">
        <f t="shared" si="5"/>
        <v>0</v>
      </c>
      <c r="G57" s="763"/>
      <c r="H57" s="763"/>
      <c r="I57" s="388"/>
      <c r="J57" s="388"/>
      <c r="L57" s="402">
        <f>IF(J57="Swing",D57*'Crew Mix'!$J$3,IF(J57="Graveyard",D57*'Crew Mix'!$K$3,IF(J57="Special",D57*'Crew Mix'!$L$3,0)))</f>
        <v>0</v>
      </c>
      <c r="M57" s="53">
        <f t="shared" si="6"/>
        <v>0</v>
      </c>
      <c r="O57" s="404">
        <f t="shared" si="7"/>
        <v>0</v>
      </c>
    </row>
    <row r="58" spans="1:15" ht="15.5">
      <c r="A58" s="47"/>
      <c r="B58" s="387"/>
      <c r="C58" s="388"/>
      <c r="D58" s="389">
        <f t="shared" si="4"/>
        <v>0</v>
      </c>
      <c r="E58" s="388"/>
      <c r="F58" s="390">
        <f t="shared" si="5"/>
        <v>0</v>
      </c>
      <c r="G58" s="763"/>
      <c r="H58" s="763"/>
      <c r="I58" s="388"/>
      <c r="J58" s="388"/>
      <c r="L58" s="402">
        <f>IF(J58="Swing",D58*'Crew Mix'!$J$3,IF(J58="Graveyard",D58*'Crew Mix'!$K$3,IF(J58="Special",D58*'Crew Mix'!$L$3,0)))</f>
        <v>0</v>
      </c>
      <c r="M58" s="53">
        <f t="shared" si="6"/>
        <v>0</v>
      </c>
      <c r="O58" s="404">
        <f t="shared" si="7"/>
        <v>0</v>
      </c>
    </row>
    <row r="59" spans="1:15" ht="15.5">
      <c r="A59" s="47"/>
      <c r="B59" s="387"/>
      <c r="C59" s="388"/>
      <c r="D59" s="389">
        <f t="shared" si="4"/>
        <v>0</v>
      </c>
      <c r="E59" s="388"/>
      <c r="F59" s="390">
        <f t="shared" si="5"/>
        <v>0</v>
      </c>
      <c r="G59" s="763"/>
      <c r="H59" s="763"/>
      <c r="I59" s="388"/>
      <c r="J59" s="388"/>
      <c r="L59" s="402">
        <f>IF(J59="Swing",D59*'Crew Mix'!$J$3,IF(J59="Graveyard",D59*'Crew Mix'!$K$3,IF(J59="Special",D59*'Crew Mix'!$L$3,0)))</f>
        <v>0</v>
      </c>
      <c r="M59" s="53">
        <f t="shared" si="6"/>
        <v>0</v>
      </c>
      <c r="O59" s="404">
        <f t="shared" si="7"/>
        <v>0</v>
      </c>
    </row>
    <row r="60" spans="1:15" ht="21">
      <c r="A60" s="48"/>
      <c r="B60" s="391"/>
      <c r="C60" s="392"/>
      <c r="D60" s="393">
        <f>SUM(D34:D59)</f>
        <v>0</v>
      </c>
      <c r="E60" s="394"/>
      <c r="F60" s="390">
        <f>SUM(F34:F59)</f>
        <v>0</v>
      </c>
      <c r="H60" s="395" t="s">
        <v>189</v>
      </c>
      <c r="I60" s="396" t="s">
        <v>125</v>
      </c>
    </row>
    <row r="62" spans="1:15" ht="15" thickBot="1"/>
    <row r="63" spans="1:15" ht="54.5" thickBot="1">
      <c r="A63" s="49" t="s">
        <v>1177</v>
      </c>
      <c r="B63" s="49" t="s">
        <v>81</v>
      </c>
      <c r="C63" s="383" t="s">
        <v>88</v>
      </c>
      <c r="D63" s="383" t="s">
        <v>89</v>
      </c>
      <c r="E63" s="383" t="s">
        <v>82</v>
      </c>
      <c r="F63" s="384" t="s">
        <v>83</v>
      </c>
      <c r="G63" s="764" t="s">
        <v>84</v>
      </c>
      <c r="H63" s="765"/>
      <c r="I63" s="385" t="s">
        <v>719</v>
      </c>
      <c r="J63" s="385" t="s">
        <v>1158</v>
      </c>
    </row>
    <row r="64" spans="1:15" ht="15.5">
      <c r="A64" s="46"/>
      <c r="B64" s="386"/>
      <c r="C64" s="386"/>
      <c r="D64" s="386"/>
      <c r="E64" s="386"/>
      <c r="F64" s="386"/>
      <c r="G64" s="766"/>
      <c r="H64" s="767"/>
      <c r="I64" s="386"/>
      <c r="J64" s="386"/>
      <c r="L64" s="53" t="s">
        <v>1181</v>
      </c>
      <c r="M64" s="53" t="s">
        <v>1182</v>
      </c>
      <c r="O64" s="53" t="s">
        <v>1184</v>
      </c>
    </row>
    <row r="65" spans="1:15" ht="15.5">
      <c r="A65" s="47"/>
      <c r="B65" s="387"/>
      <c r="C65" s="388"/>
      <c r="D65" s="389">
        <f t="shared" ref="D65:D90" si="8">IF($I$91="Yes",0,SUM(B65*C65))</f>
        <v>0</v>
      </c>
      <c r="E65" s="388"/>
      <c r="F65" s="390">
        <f t="shared" ref="F65:F90" si="9">IF($I$91="Yes",0,B65*E65)</f>
        <v>0</v>
      </c>
      <c r="G65" s="763"/>
      <c r="H65" s="763"/>
      <c r="I65" s="388"/>
      <c r="J65" s="388"/>
      <c r="L65" s="402">
        <f>IF(J65="Swing",D65*'Crew Mix'!$J$3,IF(J65="Graveyard",D65*'Crew Mix'!$K$3,IF(J65="Special",D65*'Crew Mix'!$L$3,0)))</f>
        <v>0</v>
      </c>
      <c r="M65" s="53">
        <f>IF(L65&gt;0,D65,0)</f>
        <v>0</v>
      </c>
      <c r="O65" s="404">
        <f>ROUND(IF(J65="Swing",C65*$P$2,IF(J65="Graveyard",C65*$Q$2,0)),2)</f>
        <v>0</v>
      </c>
    </row>
    <row r="66" spans="1:15" ht="15.5">
      <c r="A66" s="47"/>
      <c r="B66" s="387"/>
      <c r="C66" s="388"/>
      <c r="D66" s="389">
        <f t="shared" si="8"/>
        <v>0</v>
      </c>
      <c r="E66" s="388"/>
      <c r="F66" s="390">
        <f t="shared" si="9"/>
        <v>0</v>
      </c>
      <c r="G66" s="763"/>
      <c r="H66" s="763"/>
      <c r="I66" s="388"/>
      <c r="J66" s="388"/>
      <c r="L66" s="402">
        <f>IF(J66="Swing",D66*'Crew Mix'!$J$3,IF(J66="Graveyard",D66*'Crew Mix'!$K$3,IF(J66="Special",D66*'Crew Mix'!$L$3,0)))</f>
        <v>0</v>
      </c>
      <c r="M66" s="53">
        <f t="shared" ref="M66:M90" si="10">IF(L66&gt;0,D66,0)</f>
        <v>0</v>
      </c>
      <c r="O66" s="404">
        <f t="shared" ref="O66:O90" si="11">ROUND(IF(J66="Swing",C66*$P$2,IF(J66="Graveyard",C66*$Q$2,0)),2)</f>
        <v>0</v>
      </c>
    </row>
    <row r="67" spans="1:15" ht="15.5">
      <c r="A67" s="47"/>
      <c r="B67" s="387"/>
      <c r="C67" s="388"/>
      <c r="D67" s="389">
        <f t="shared" si="8"/>
        <v>0</v>
      </c>
      <c r="E67" s="388"/>
      <c r="F67" s="390">
        <f t="shared" si="9"/>
        <v>0</v>
      </c>
      <c r="G67" s="763"/>
      <c r="H67" s="763"/>
      <c r="I67" s="388"/>
      <c r="J67" s="388"/>
      <c r="L67" s="402">
        <f>IF(J67="Swing",D67*'Crew Mix'!$J$3,IF(J67="Graveyard",D67*'Crew Mix'!$K$3,IF(J67="Special",D67*'Crew Mix'!$L$3,0)))</f>
        <v>0</v>
      </c>
      <c r="M67" s="53">
        <f t="shared" si="10"/>
        <v>0</v>
      </c>
      <c r="O67" s="404">
        <f t="shared" si="11"/>
        <v>0</v>
      </c>
    </row>
    <row r="68" spans="1:15" ht="15.5">
      <c r="A68" s="47"/>
      <c r="B68" s="387"/>
      <c r="C68" s="388"/>
      <c r="D68" s="389">
        <f t="shared" si="8"/>
        <v>0</v>
      </c>
      <c r="E68" s="388"/>
      <c r="F68" s="390">
        <f t="shared" si="9"/>
        <v>0</v>
      </c>
      <c r="G68" s="763"/>
      <c r="H68" s="763"/>
      <c r="I68" s="388"/>
      <c r="J68" s="388"/>
      <c r="L68" s="402">
        <f>IF(J68="Swing",D68*'Crew Mix'!$J$3,IF(J68="Graveyard",D68*'Crew Mix'!$K$3,IF(J68="Special",D68*'Crew Mix'!$L$3,0)))</f>
        <v>0</v>
      </c>
      <c r="M68" s="53">
        <f t="shared" si="10"/>
        <v>0</v>
      </c>
      <c r="O68" s="404">
        <f t="shared" si="11"/>
        <v>0</v>
      </c>
    </row>
    <row r="69" spans="1:15" ht="15.5">
      <c r="A69" s="47"/>
      <c r="B69" s="387"/>
      <c r="C69" s="388"/>
      <c r="D69" s="389">
        <f t="shared" si="8"/>
        <v>0</v>
      </c>
      <c r="E69" s="388"/>
      <c r="F69" s="390">
        <f t="shared" si="9"/>
        <v>0</v>
      </c>
      <c r="G69" s="763"/>
      <c r="H69" s="763"/>
      <c r="I69" s="388"/>
      <c r="J69" s="388"/>
      <c r="L69" s="402">
        <f>IF(J69="Swing",D69*'Crew Mix'!$J$3,IF(J69="Graveyard",D69*'Crew Mix'!$K$3,IF(J69="Special",D69*'Crew Mix'!$L$3,0)))</f>
        <v>0</v>
      </c>
      <c r="M69" s="53">
        <f t="shared" si="10"/>
        <v>0</v>
      </c>
      <c r="O69" s="404">
        <f t="shared" si="11"/>
        <v>0</v>
      </c>
    </row>
    <row r="70" spans="1:15" ht="15.5">
      <c r="A70" s="47"/>
      <c r="B70" s="387"/>
      <c r="C70" s="388"/>
      <c r="D70" s="389">
        <f t="shared" si="8"/>
        <v>0</v>
      </c>
      <c r="E70" s="388"/>
      <c r="F70" s="390">
        <f t="shared" si="9"/>
        <v>0</v>
      </c>
      <c r="G70" s="763"/>
      <c r="H70" s="763"/>
      <c r="I70" s="388"/>
      <c r="J70" s="388"/>
      <c r="L70" s="402">
        <f>IF(J70="Swing",D70*'Crew Mix'!$J$3,IF(J70="Graveyard",D70*'Crew Mix'!$K$3,IF(J70="Special",D70*'Crew Mix'!$L$3,0)))</f>
        <v>0</v>
      </c>
      <c r="M70" s="53">
        <f t="shared" si="10"/>
        <v>0</v>
      </c>
      <c r="O70" s="404">
        <f t="shared" si="11"/>
        <v>0</v>
      </c>
    </row>
    <row r="71" spans="1:15" ht="15.5">
      <c r="A71" s="47"/>
      <c r="B71" s="387"/>
      <c r="C71" s="388"/>
      <c r="D71" s="389">
        <f t="shared" si="8"/>
        <v>0</v>
      </c>
      <c r="E71" s="388"/>
      <c r="F71" s="390">
        <f t="shared" si="9"/>
        <v>0</v>
      </c>
      <c r="G71" s="763"/>
      <c r="H71" s="763"/>
      <c r="I71" s="388"/>
      <c r="J71" s="388"/>
      <c r="L71" s="402">
        <f>IF(J71="Swing",D71*'Crew Mix'!$J$3,IF(J71="Graveyard",D71*'Crew Mix'!$K$3,IF(J71="Special",D71*'Crew Mix'!$L$3,0)))</f>
        <v>0</v>
      </c>
      <c r="M71" s="53">
        <f t="shared" si="10"/>
        <v>0</v>
      </c>
      <c r="O71" s="404">
        <f t="shared" si="11"/>
        <v>0</v>
      </c>
    </row>
    <row r="72" spans="1:15" ht="15.5">
      <c r="A72" s="47"/>
      <c r="B72" s="387"/>
      <c r="C72" s="388"/>
      <c r="D72" s="389">
        <f t="shared" si="8"/>
        <v>0</v>
      </c>
      <c r="E72" s="388"/>
      <c r="F72" s="390">
        <f t="shared" si="9"/>
        <v>0</v>
      </c>
      <c r="G72" s="763"/>
      <c r="H72" s="763"/>
      <c r="I72" s="388"/>
      <c r="J72" s="388"/>
      <c r="L72" s="402">
        <f>IF(J72="Swing",D72*'Crew Mix'!$J$3,IF(J72="Graveyard",D72*'Crew Mix'!$K$3,IF(J72="Special",D72*'Crew Mix'!$L$3,0)))</f>
        <v>0</v>
      </c>
      <c r="M72" s="53">
        <f t="shared" si="10"/>
        <v>0</v>
      </c>
      <c r="O72" s="404">
        <f t="shared" si="11"/>
        <v>0</v>
      </c>
    </row>
    <row r="73" spans="1:15" ht="15.5">
      <c r="A73" s="47"/>
      <c r="B73" s="387"/>
      <c r="C73" s="388"/>
      <c r="D73" s="389">
        <f t="shared" si="8"/>
        <v>0</v>
      </c>
      <c r="E73" s="388"/>
      <c r="F73" s="390">
        <f t="shared" si="9"/>
        <v>0</v>
      </c>
      <c r="G73" s="763"/>
      <c r="H73" s="763"/>
      <c r="I73" s="388"/>
      <c r="J73" s="388"/>
      <c r="L73" s="402">
        <f>IF(J73="Swing",D73*'Crew Mix'!$J$3,IF(J73="Graveyard",D73*'Crew Mix'!$K$3,IF(J73="Special",D73*'Crew Mix'!$L$3,0)))</f>
        <v>0</v>
      </c>
      <c r="M73" s="53">
        <f t="shared" si="10"/>
        <v>0</v>
      </c>
      <c r="O73" s="404">
        <f t="shared" si="11"/>
        <v>0</v>
      </c>
    </row>
    <row r="74" spans="1:15" ht="15.5">
      <c r="A74" s="47"/>
      <c r="B74" s="387"/>
      <c r="C74" s="388"/>
      <c r="D74" s="389">
        <f t="shared" si="8"/>
        <v>0</v>
      </c>
      <c r="E74" s="388"/>
      <c r="F74" s="390">
        <f t="shared" si="9"/>
        <v>0</v>
      </c>
      <c r="G74" s="763"/>
      <c r="H74" s="763"/>
      <c r="I74" s="388"/>
      <c r="J74" s="388"/>
      <c r="L74" s="402">
        <f>IF(J74="Swing",D74*'Crew Mix'!$J$3,IF(J74="Graveyard",D74*'Crew Mix'!$K$3,IF(J74="Special",D74*'Crew Mix'!$L$3,0)))</f>
        <v>0</v>
      </c>
      <c r="M74" s="53">
        <f t="shared" si="10"/>
        <v>0</v>
      </c>
      <c r="O74" s="404">
        <f t="shared" si="11"/>
        <v>0</v>
      </c>
    </row>
    <row r="75" spans="1:15" ht="15.5">
      <c r="A75" s="47"/>
      <c r="B75" s="387"/>
      <c r="C75" s="388"/>
      <c r="D75" s="389">
        <f t="shared" si="8"/>
        <v>0</v>
      </c>
      <c r="E75" s="388"/>
      <c r="F75" s="390">
        <f t="shared" si="9"/>
        <v>0</v>
      </c>
      <c r="G75" s="763"/>
      <c r="H75" s="763"/>
      <c r="I75" s="388"/>
      <c r="J75" s="388"/>
      <c r="L75" s="402">
        <f>IF(J75="Swing",D75*'Crew Mix'!$J$3,IF(J75="Graveyard",D75*'Crew Mix'!$K$3,IF(J75="Special",D75*'Crew Mix'!$L$3,0)))</f>
        <v>0</v>
      </c>
      <c r="M75" s="53">
        <f t="shared" si="10"/>
        <v>0</v>
      </c>
      <c r="O75" s="404">
        <f t="shared" si="11"/>
        <v>0</v>
      </c>
    </row>
    <row r="76" spans="1:15" ht="15.5">
      <c r="A76" s="47"/>
      <c r="B76" s="387"/>
      <c r="C76" s="388"/>
      <c r="D76" s="389">
        <f t="shared" si="8"/>
        <v>0</v>
      </c>
      <c r="E76" s="388"/>
      <c r="F76" s="390">
        <f t="shared" si="9"/>
        <v>0</v>
      </c>
      <c r="G76" s="763"/>
      <c r="H76" s="763"/>
      <c r="I76" s="388"/>
      <c r="J76" s="388"/>
      <c r="L76" s="402">
        <f>IF(J76="Swing",D76*'Crew Mix'!$J$3,IF(J76="Graveyard",D76*'Crew Mix'!$K$3,IF(J76="Special",D76*'Crew Mix'!$L$3,0)))</f>
        <v>0</v>
      </c>
      <c r="M76" s="53">
        <f t="shared" si="10"/>
        <v>0</v>
      </c>
      <c r="O76" s="404">
        <f t="shared" si="11"/>
        <v>0</v>
      </c>
    </row>
    <row r="77" spans="1:15" ht="15.5">
      <c r="A77" s="47"/>
      <c r="B77" s="387"/>
      <c r="C77" s="388"/>
      <c r="D77" s="389">
        <f t="shared" si="8"/>
        <v>0</v>
      </c>
      <c r="E77" s="388"/>
      <c r="F77" s="390">
        <f t="shared" si="9"/>
        <v>0</v>
      </c>
      <c r="G77" s="763"/>
      <c r="H77" s="763"/>
      <c r="I77" s="388"/>
      <c r="J77" s="388"/>
      <c r="L77" s="402">
        <f>IF(J77="Swing",D77*'Crew Mix'!$J$3,IF(J77="Graveyard",D77*'Crew Mix'!$K$3,IF(J77="Special",D77*'Crew Mix'!$L$3,0)))</f>
        <v>0</v>
      </c>
      <c r="M77" s="53">
        <f t="shared" si="10"/>
        <v>0</v>
      </c>
      <c r="O77" s="404">
        <f t="shared" si="11"/>
        <v>0</v>
      </c>
    </row>
    <row r="78" spans="1:15" ht="15.5">
      <c r="A78" s="47"/>
      <c r="B78" s="387"/>
      <c r="C78" s="388"/>
      <c r="D78" s="389">
        <f t="shared" si="8"/>
        <v>0</v>
      </c>
      <c r="E78" s="388"/>
      <c r="F78" s="390">
        <f t="shared" si="9"/>
        <v>0</v>
      </c>
      <c r="G78" s="763"/>
      <c r="H78" s="763"/>
      <c r="I78" s="388"/>
      <c r="J78" s="388"/>
      <c r="L78" s="402">
        <f>IF(J78="Swing",D78*'Crew Mix'!$J$3,IF(J78="Graveyard",D78*'Crew Mix'!$K$3,IF(J78="Special",D78*'Crew Mix'!$L$3,0)))</f>
        <v>0</v>
      </c>
      <c r="M78" s="53">
        <f t="shared" si="10"/>
        <v>0</v>
      </c>
      <c r="O78" s="404">
        <f t="shared" si="11"/>
        <v>0</v>
      </c>
    </row>
    <row r="79" spans="1:15" ht="15.5">
      <c r="A79" s="47"/>
      <c r="B79" s="387"/>
      <c r="C79" s="388"/>
      <c r="D79" s="389">
        <f t="shared" si="8"/>
        <v>0</v>
      </c>
      <c r="E79" s="388"/>
      <c r="F79" s="390">
        <f t="shared" si="9"/>
        <v>0</v>
      </c>
      <c r="G79" s="763"/>
      <c r="H79" s="763"/>
      <c r="I79" s="388"/>
      <c r="J79" s="388"/>
      <c r="L79" s="402">
        <f>IF(J79="Swing",D79*'Crew Mix'!$J$3,IF(J79="Graveyard",D79*'Crew Mix'!$K$3,IF(J79="Special",D79*'Crew Mix'!$L$3,0)))</f>
        <v>0</v>
      </c>
      <c r="M79" s="53">
        <f t="shared" si="10"/>
        <v>0</v>
      </c>
      <c r="O79" s="404">
        <f t="shared" si="11"/>
        <v>0</v>
      </c>
    </row>
    <row r="80" spans="1:15" ht="15.5">
      <c r="A80" s="47"/>
      <c r="B80" s="387"/>
      <c r="C80" s="388"/>
      <c r="D80" s="389">
        <f t="shared" si="8"/>
        <v>0</v>
      </c>
      <c r="E80" s="388"/>
      <c r="F80" s="390">
        <f t="shared" si="9"/>
        <v>0</v>
      </c>
      <c r="G80" s="763"/>
      <c r="H80" s="763"/>
      <c r="I80" s="388"/>
      <c r="J80" s="388"/>
      <c r="L80" s="402">
        <f>IF(J80="Swing",D80*'Crew Mix'!$J$3,IF(J80="Graveyard",D80*'Crew Mix'!$K$3,IF(J80="Special",D80*'Crew Mix'!$L$3,0)))</f>
        <v>0</v>
      </c>
      <c r="M80" s="53">
        <f t="shared" si="10"/>
        <v>0</v>
      </c>
      <c r="O80" s="404">
        <f t="shared" si="11"/>
        <v>0</v>
      </c>
    </row>
    <row r="81" spans="1:15" ht="15.5">
      <c r="A81" s="47"/>
      <c r="B81" s="387"/>
      <c r="C81" s="388"/>
      <c r="D81" s="389">
        <f t="shared" si="8"/>
        <v>0</v>
      </c>
      <c r="E81" s="388"/>
      <c r="F81" s="390">
        <f t="shared" si="9"/>
        <v>0</v>
      </c>
      <c r="G81" s="763"/>
      <c r="H81" s="763"/>
      <c r="I81" s="388"/>
      <c r="J81" s="388"/>
      <c r="L81" s="402">
        <f>IF(J81="Swing",D81*'Crew Mix'!$J$3,IF(J81="Graveyard",D81*'Crew Mix'!$K$3,IF(J81="Special",D81*'Crew Mix'!$L$3,0)))</f>
        <v>0</v>
      </c>
      <c r="M81" s="53">
        <f t="shared" si="10"/>
        <v>0</v>
      </c>
      <c r="O81" s="404">
        <f t="shared" si="11"/>
        <v>0</v>
      </c>
    </row>
    <row r="82" spans="1:15" ht="15.5">
      <c r="A82" s="47"/>
      <c r="B82" s="387"/>
      <c r="C82" s="388"/>
      <c r="D82" s="389">
        <f t="shared" si="8"/>
        <v>0</v>
      </c>
      <c r="E82" s="388"/>
      <c r="F82" s="390">
        <f t="shared" si="9"/>
        <v>0</v>
      </c>
      <c r="G82" s="763"/>
      <c r="H82" s="763"/>
      <c r="I82" s="388"/>
      <c r="J82" s="388"/>
      <c r="L82" s="402">
        <f>IF(J82="Swing",D82*'Crew Mix'!$J$3,IF(J82="Graveyard",D82*'Crew Mix'!$K$3,IF(J82="Special",D82*'Crew Mix'!$L$3,0)))</f>
        <v>0</v>
      </c>
      <c r="M82" s="53">
        <f t="shared" si="10"/>
        <v>0</v>
      </c>
      <c r="O82" s="404">
        <f t="shared" si="11"/>
        <v>0</v>
      </c>
    </row>
    <row r="83" spans="1:15" ht="15.5">
      <c r="A83" s="47"/>
      <c r="B83" s="387"/>
      <c r="C83" s="388"/>
      <c r="D83" s="389">
        <f t="shared" si="8"/>
        <v>0</v>
      </c>
      <c r="E83" s="388"/>
      <c r="F83" s="390">
        <f t="shared" si="9"/>
        <v>0</v>
      </c>
      <c r="G83" s="763"/>
      <c r="H83" s="763"/>
      <c r="I83" s="388"/>
      <c r="J83" s="388"/>
      <c r="L83" s="402">
        <f>IF(J83="Swing",D83*'Crew Mix'!$J$3,IF(J83="Graveyard",D83*'Crew Mix'!$K$3,IF(J83="Special",D83*'Crew Mix'!$L$3,0)))</f>
        <v>0</v>
      </c>
      <c r="M83" s="53">
        <f t="shared" si="10"/>
        <v>0</v>
      </c>
      <c r="O83" s="404">
        <f t="shared" si="11"/>
        <v>0</v>
      </c>
    </row>
    <row r="84" spans="1:15" ht="15.5">
      <c r="A84" s="47"/>
      <c r="B84" s="387"/>
      <c r="C84" s="388"/>
      <c r="D84" s="389">
        <f t="shared" si="8"/>
        <v>0</v>
      </c>
      <c r="E84" s="388"/>
      <c r="F84" s="390">
        <f t="shared" si="9"/>
        <v>0</v>
      </c>
      <c r="G84" s="763"/>
      <c r="H84" s="763"/>
      <c r="I84" s="388"/>
      <c r="J84" s="388"/>
      <c r="L84" s="402">
        <f>IF(J84="Swing",D84*'Crew Mix'!$J$3,IF(J84="Graveyard",D84*'Crew Mix'!$K$3,IF(J84="Special",D84*'Crew Mix'!$L$3,0)))</f>
        <v>0</v>
      </c>
      <c r="M84" s="53">
        <f t="shared" si="10"/>
        <v>0</v>
      </c>
      <c r="O84" s="404">
        <f t="shared" si="11"/>
        <v>0</v>
      </c>
    </row>
    <row r="85" spans="1:15" ht="15.5">
      <c r="A85" s="47"/>
      <c r="B85" s="387"/>
      <c r="C85" s="388"/>
      <c r="D85" s="389">
        <f t="shared" si="8"/>
        <v>0</v>
      </c>
      <c r="E85" s="388"/>
      <c r="F85" s="390">
        <f t="shared" si="9"/>
        <v>0</v>
      </c>
      <c r="G85" s="763"/>
      <c r="H85" s="763"/>
      <c r="I85" s="388"/>
      <c r="J85" s="388"/>
      <c r="L85" s="402">
        <f>IF(J85="Swing",D85*'Crew Mix'!$J$3,IF(J85="Graveyard",D85*'Crew Mix'!$K$3,IF(J85="Special",D85*'Crew Mix'!$L$3,0)))</f>
        <v>0</v>
      </c>
      <c r="M85" s="53">
        <f t="shared" si="10"/>
        <v>0</v>
      </c>
      <c r="O85" s="404">
        <f t="shared" si="11"/>
        <v>0</v>
      </c>
    </row>
    <row r="86" spans="1:15" ht="15.5">
      <c r="A86" s="47"/>
      <c r="B86" s="387"/>
      <c r="C86" s="388"/>
      <c r="D86" s="389">
        <f t="shared" si="8"/>
        <v>0</v>
      </c>
      <c r="E86" s="388"/>
      <c r="F86" s="390">
        <f t="shared" si="9"/>
        <v>0</v>
      </c>
      <c r="G86" s="763"/>
      <c r="H86" s="763"/>
      <c r="I86" s="388"/>
      <c r="J86" s="388"/>
      <c r="L86" s="402">
        <f>IF(J86="Swing",D86*'Crew Mix'!$J$3,IF(J86="Graveyard",D86*'Crew Mix'!$K$3,IF(J86="Special",D86*'Crew Mix'!$L$3,0)))</f>
        <v>0</v>
      </c>
      <c r="M86" s="53">
        <f t="shared" si="10"/>
        <v>0</v>
      </c>
      <c r="O86" s="404">
        <f t="shared" si="11"/>
        <v>0</v>
      </c>
    </row>
    <row r="87" spans="1:15" ht="15.5">
      <c r="A87" s="47"/>
      <c r="B87" s="387"/>
      <c r="C87" s="388"/>
      <c r="D87" s="389">
        <f t="shared" si="8"/>
        <v>0</v>
      </c>
      <c r="E87" s="388"/>
      <c r="F87" s="390">
        <f t="shared" si="9"/>
        <v>0</v>
      </c>
      <c r="G87" s="763"/>
      <c r="H87" s="763"/>
      <c r="I87" s="388"/>
      <c r="J87" s="388"/>
      <c r="L87" s="402">
        <f>IF(J87="Swing",D87*'Crew Mix'!$J$3,IF(J87="Graveyard",D87*'Crew Mix'!$K$3,IF(J87="Special",D87*'Crew Mix'!$L$3,0)))</f>
        <v>0</v>
      </c>
      <c r="M87" s="53">
        <f t="shared" si="10"/>
        <v>0</v>
      </c>
      <c r="O87" s="404">
        <f t="shared" si="11"/>
        <v>0</v>
      </c>
    </row>
    <row r="88" spans="1:15" ht="15.5">
      <c r="A88" s="47"/>
      <c r="B88" s="387"/>
      <c r="C88" s="388"/>
      <c r="D88" s="389">
        <f t="shared" si="8"/>
        <v>0</v>
      </c>
      <c r="E88" s="388"/>
      <c r="F88" s="390">
        <f t="shared" si="9"/>
        <v>0</v>
      </c>
      <c r="G88" s="763"/>
      <c r="H88" s="763"/>
      <c r="I88" s="388"/>
      <c r="J88" s="388"/>
      <c r="L88" s="402">
        <f>IF(J88="Swing",D88*'Crew Mix'!$J$3,IF(J88="Graveyard",D88*'Crew Mix'!$K$3,IF(J88="Special",D88*'Crew Mix'!$L$3,0)))</f>
        <v>0</v>
      </c>
      <c r="M88" s="53">
        <f t="shared" si="10"/>
        <v>0</v>
      </c>
      <c r="O88" s="404">
        <f t="shared" si="11"/>
        <v>0</v>
      </c>
    </row>
    <row r="89" spans="1:15" ht="15.5">
      <c r="A89" s="47"/>
      <c r="B89" s="387"/>
      <c r="C89" s="388"/>
      <c r="D89" s="389">
        <f t="shared" si="8"/>
        <v>0</v>
      </c>
      <c r="E89" s="388"/>
      <c r="F89" s="390">
        <f t="shared" si="9"/>
        <v>0</v>
      </c>
      <c r="G89" s="763"/>
      <c r="H89" s="763"/>
      <c r="I89" s="388"/>
      <c r="J89" s="388"/>
      <c r="L89" s="402">
        <f>IF(J89="Swing",D89*'Crew Mix'!$J$3,IF(J89="Graveyard",D89*'Crew Mix'!$K$3,IF(J89="Special",D89*'Crew Mix'!$L$3,0)))</f>
        <v>0</v>
      </c>
      <c r="M89" s="53">
        <f t="shared" si="10"/>
        <v>0</v>
      </c>
      <c r="O89" s="404">
        <f t="shared" si="11"/>
        <v>0</v>
      </c>
    </row>
    <row r="90" spans="1:15" ht="15.5">
      <c r="A90" s="47"/>
      <c r="B90" s="387"/>
      <c r="C90" s="388"/>
      <c r="D90" s="389">
        <f t="shared" si="8"/>
        <v>0</v>
      </c>
      <c r="E90" s="388"/>
      <c r="F90" s="390">
        <f t="shared" si="9"/>
        <v>0</v>
      </c>
      <c r="G90" s="763"/>
      <c r="H90" s="763"/>
      <c r="I90" s="388"/>
      <c r="J90" s="388"/>
      <c r="L90" s="402">
        <f>IF(J90="Swing",D90*'Crew Mix'!$J$3,IF(J90="Graveyard",D90*'Crew Mix'!$K$3,IF(J90="Special",D90*'Crew Mix'!$L$3,0)))</f>
        <v>0</v>
      </c>
      <c r="M90" s="53">
        <f t="shared" si="10"/>
        <v>0</v>
      </c>
      <c r="O90" s="404">
        <f t="shared" si="11"/>
        <v>0</v>
      </c>
    </row>
    <row r="91" spans="1:15" ht="21">
      <c r="A91" s="48"/>
      <c r="B91" s="391"/>
      <c r="C91" s="392"/>
      <c r="D91" s="393">
        <f>SUM(D65:D90)</f>
        <v>0</v>
      </c>
      <c r="E91" s="394"/>
      <c r="F91" s="390">
        <f>SUM(F65:F90)</f>
        <v>0</v>
      </c>
      <c r="H91" s="395" t="s">
        <v>189</v>
      </c>
      <c r="I91" s="396" t="s">
        <v>125</v>
      </c>
    </row>
    <row r="92" spans="1:15" ht="15" thickBot="1"/>
    <row r="93" spans="1:15" ht="15" thickBot="1">
      <c r="B93" s="397" t="s">
        <v>85</v>
      </c>
      <c r="C93" s="398"/>
      <c r="D93" s="399">
        <f>SUM(D91,D60,D29)</f>
        <v>0</v>
      </c>
      <c r="E93" s="398"/>
      <c r="F93" s="400">
        <f>SUM(F91,F29,F60)</f>
        <v>0</v>
      </c>
      <c r="G93" s="401"/>
    </row>
  </sheetData>
  <sheetProtection algorithmName="SHA-512" hashValue="ixhGl9tQ9UwzYos/8JruZLjtboWjlwRE5EFZbamemcBfiKxhdclPrb3AnI2V9hgB6kzY6nQwNeNrpl1kWtVUCA==" saltValue="fCupLHXH5tXJJCrgJpEDmA==" spinCount="100000" sheet="1" objects="1" scenarios="1" formatCells="0" autoFilter="0"/>
  <mergeCells count="84">
    <mergeCell ref="G12:H12"/>
    <mergeCell ref="G1:H1"/>
    <mergeCell ref="G2:H2"/>
    <mergeCell ref="G3:H3"/>
    <mergeCell ref="G4:H4"/>
    <mergeCell ref="G5:H5"/>
    <mergeCell ref="G6:H6"/>
    <mergeCell ref="G7:H7"/>
    <mergeCell ref="G8:H8"/>
    <mergeCell ref="G9:H9"/>
    <mergeCell ref="G10:H10"/>
    <mergeCell ref="G11:H11"/>
    <mergeCell ref="G24:H24"/>
    <mergeCell ref="G13:H13"/>
    <mergeCell ref="G14:H14"/>
    <mergeCell ref="G15:H15"/>
    <mergeCell ref="G16:H16"/>
    <mergeCell ref="G17:H17"/>
    <mergeCell ref="G18:H18"/>
    <mergeCell ref="G19:H19"/>
    <mergeCell ref="G20:H20"/>
    <mergeCell ref="G21:H21"/>
    <mergeCell ref="G22:H22"/>
    <mergeCell ref="G23:H23"/>
    <mergeCell ref="G39:H39"/>
    <mergeCell ref="G25:H25"/>
    <mergeCell ref="G26:H26"/>
    <mergeCell ref="G27:H27"/>
    <mergeCell ref="G28:H28"/>
    <mergeCell ref="G32:H32"/>
    <mergeCell ref="G33:H33"/>
    <mergeCell ref="G34:H34"/>
    <mergeCell ref="G35:H35"/>
    <mergeCell ref="G36:H36"/>
    <mergeCell ref="G37:H37"/>
    <mergeCell ref="G38:H38"/>
    <mergeCell ref="G51:H51"/>
    <mergeCell ref="G40:H40"/>
    <mergeCell ref="G41:H41"/>
    <mergeCell ref="G42:H42"/>
    <mergeCell ref="G43:H43"/>
    <mergeCell ref="G44:H44"/>
    <mergeCell ref="G45:H45"/>
    <mergeCell ref="G46:H46"/>
    <mergeCell ref="G47:H47"/>
    <mergeCell ref="G48:H48"/>
    <mergeCell ref="G49:H49"/>
    <mergeCell ref="G50:H50"/>
    <mergeCell ref="G66:H66"/>
    <mergeCell ref="G52:H52"/>
    <mergeCell ref="G53:H53"/>
    <mergeCell ref="G54:H54"/>
    <mergeCell ref="G55:H55"/>
    <mergeCell ref="G56:H56"/>
    <mergeCell ref="G57:H57"/>
    <mergeCell ref="G58:H58"/>
    <mergeCell ref="G59:H59"/>
    <mergeCell ref="G63:H63"/>
    <mergeCell ref="G64:H64"/>
    <mergeCell ref="G65:H65"/>
    <mergeCell ref="G78:H78"/>
    <mergeCell ref="G67:H67"/>
    <mergeCell ref="G68:H68"/>
    <mergeCell ref="G69:H69"/>
    <mergeCell ref="G70:H70"/>
    <mergeCell ref="G71:H71"/>
    <mergeCell ref="G72:H72"/>
    <mergeCell ref="G73:H73"/>
    <mergeCell ref="G74:H74"/>
    <mergeCell ref="G75:H75"/>
    <mergeCell ref="G76:H76"/>
    <mergeCell ref="G77:H77"/>
    <mergeCell ref="G90:H90"/>
    <mergeCell ref="G79:H79"/>
    <mergeCell ref="G80:H80"/>
    <mergeCell ref="G81:H81"/>
    <mergeCell ref="G82:H82"/>
    <mergeCell ref="G83:H83"/>
    <mergeCell ref="G84:H84"/>
    <mergeCell ref="G85:H85"/>
    <mergeCell ref="G86:H86"/>
    <mergeCell ref="G87:H87"/>
    <mergeCell ref="G88:H88"/>
    <mergeCell ref="G89:H89"/>
  </mergeCells>
  <conditionalFormatting sqref="A1:I1 B32:I32 B63:H63">
    <cfRule type="expression" dxfId="34" priority="20">
      <formula>$I29="Yes"</formula>
    </cfRule>
  </conditionalFormatting>
  <conditionalFormatting sqref="I63">
    <cfRule type="expression" dxfId="33" priority="19">
      <formula>$I91="Yes"</formula>
    </cfRule>
  </conditionalFormatting>
  <conditionalFormatting sqref="A32">
    <cfRule type="expression" dxfId="32" priority="16">
      <formula>$I60="Yes"</formula>
    </cfRule>
  </conditionalFormatting>
  <conditionalFormatting sqref="A63">
    <cfRule type="expression" dxfId="31" priority="15">
      <formula>$I91="Yes"</formula>
    </cfRule>
  </conditionalFormatting>
  <conditionalFormatting sqref="A34:C59 A65:C90 A3:C28 E3:I28 E34:I59 E65:I90">
    <cfRule type="expression" dxfId="30" priority="40">
      <formula>$I3="DBLT"</formula>
    </cfRule>
    <cfRule type="expression" dxfId="29" priority="41">
      <formula>$I3="OT"</formula>
    </cfRule>
  </conditionalFormatting>
  <conditionalFormatting sqref="J1 J32">
    <cfRule type="expression" dxfId="28" priority="14">
      <formula>$I29="Yes"</formula>
    </cfRule>
  </conditionalFormatting>
  <conditionalFormatting sqref="J3:J28">
    <cfRule type="expression" dxfId="27" priority="12">
      <formula>$I3="DBLT"</formula>
    </cfRule>
    <cfRule type="expression" dxfId="26" priority="13">
      <formula>$I3="OT"</formula>
    </cfRule>
  </conditionalFormatting>
  <conditionalFormatting sqref="J34:J59">
    <cfRule type="expression" dxfId="25" priority="10">
      <formula>$I34="DBLT"</formula>
    </cfRule>
    <cfRule type="expression" dxfId="24" priority="11">
      <formula>$I34="OT"</formula>
    </cfRule>
  </conditionalFormatting>
  <conditionalFormatting sqref="J65:J90">
    <cfRule type="expression" dxfId="23" priority="8">
      <formula>$I65="DBLT"</formula>
    </cfRule>
    <cfRule type="expression" dxfId="22" priority="9">
      <formula>$I65="OT"</formula>
    </cfRule>
  </conditionalFormatting>
  <conditionalFormatting sqref="J63">
    <cfRule type="expression" dxfId="21" priority="7">
      <formula>$I91="Yes"</formula>
    </cfRule>
  </conditionalFormatting>
  <conditionalFormatting sqref="D3:D28">
    <cfRule type="expression" dxfId="20" priority="5">
      <formula>$I3="DBLT"</formula>
    </cfRule>
    <cfRule type="expression" dxfId="19" priority="6">
      <formula>$I3="OT"</formula>
    </cfRule>
  </conditionalFormatting>
  <conditionalFormatting sqref="D34:D59">
    <cfRule type="expression" dxfId="18" priority="3">
      <formula>$I34="DBLT"</formula>
    </cfRule>
    <cfRule type="expression" dxfId="17" priority="4">
      <formula>$I34="OT"</formula>
    </cfRule>
  </conditionalFormatting>
  <conditionalFormatting sqref="D65:D90">
    <cfRule type="expression" dxfId="16" priority="1">
      <formula>$I65="DBLT"</formula>
    </cfRule>
    <cfRule type="expression" dxfId="15" priority="2">
      <formula>$I65="OT"</formula>
    </cfRule>
  </conditionalFormatting>
  <dataValidations count="3">
    <dataValidation type="list" allowBlank="1" showInputMessage="1" showErrorMessage="1" sqref="I3:I28 I34:I59 I65:I90" xr:uid="{91B1A7A7-EDCC-4DDE-BDB8-09B6620D715B}">
      <formula1>"OT,DBLT"</formula1>
    </dataValidation>
    <dataValidation type="list" allowBlank="1" showInputMessage="1" showErrorMessage="1" sqref="I29 I60 I91" xr:uid="{BA923FDE-E5D3-4A7D-98E4-30E27D3C913D}">
      <formula1>"Yes,No"</formula1>
    </dataValidation>
    <dataValidation type="list" allowBlank="1" showInputMessage="1" showErrorMessage="1" sqref="J3:J28 J34:J59 J65:J90" xr:uid="{77A08DC4-5A0E-4B48-90AC-0D2339EFB4E3}">
      <formula1>"Swing, Graveyard, Special"</formula1>
    </dataValidation>
  </dataValidations>
  <printOptions horizontalCentered="1"/>
  <pageMargins left="0.7" right="0.7" top="0.75" bottom="0.75" header="0.3" footer="0.3"/>
  <pageSetup scale="64" fitToHeight="3" orientation="landscape" horizontalDpi="1200" verticalDpi="1200" r:id="rId1"/>
  <headerFooter scaleWithDoc="0">
    <oddHeader>&amp;A</oddHeader>
    <oddFooter>&amp;L&amp;Z&amp;F&amp;RPage &amp;P</oddFooter>
  </headerFooter>
  <rowBreaks count="2" manualBreakCount="2">
    <brk id="31" max="9" man="1"/>
    <brk id="62" max="9"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B72C7-C10A-4249-89EC-0BB7B28A2B4F}">
  <sheetPr codeName="Sheet14"/>
  <dimension ref="A1:Q93"/>
  <sheetViews>
    <sheetView workbookViewId="0">
      <selection activeCell="A2" sqref="A2"/>
    </sheetView>
  </sheetViews>
  <sheetFormatPr defaultColWidth="9.1796875" defaultRowHeight="14.5"/>
  <cols>
    <col min="1" max="1" width="48" style="53" customWidth="1"/>
    <col min="2" max="4" width="10.1796875" style="53" customWidth="1"/>
    <col min="5" max="5" width="15.453125" style="53" customWidth="1"/>
    <col min="6" max="6" width="15.26953125" style="53" customWidth="1"/>
    <col min="7" max="7" width="9.1796875" style="53"/>
    <col min="8" max="8" width="54" style="53" customWidth="1"/>
    <col min="9" max="9" width="12" style="53" customWidth="1"/>
    <col min="10" max="10" width="12.7265625" style="53" customWidth="1"/>
    <col min="11" max="11" width="9.1796875" style="53"/>
    <col min="12" max="13" width="19.453125" style="53" bestFit="1" customWidth="1"/>
    <col min="14" max="15" width="9.1796875" style="53"/>
    <col min="16" max="16" width="10.26953125" style="53" bestFit="1" customWidth="1"/>
    <col min="17" max="16384" width="9.1796875" style="53"/>
  </cols>
  <sheetData>
    <row r="1" spans="1:17" ht="54.5" thickBot="1">
      <c r="A1" s="49" t="s">
        <v>1176</v>
      </c>
      <c r="B1" s="49" t="s">
        <v>81</v>
      </c>
      <c r="C1" s="383" t="s">
        <v>88</v>
      </c>
      <c r="D1" s="383" t="s">
        <v>89</v>
      </c>
      <c r="E1" s="383" t="s">
        <v>82</v>
      </c>
      <c r="F1" s="384" t="s">
        <v>83</v>
      </c>
      <c r="G1" s="764" t="s">
        <v>84</v>
      </c>
      <c r="H1" s="765"/>
      <c r="I1" s="385" t="s">
        <v>719</v>
      </c>
      <c r="J1" s="385" t="s">
        <v>1158</v>
      </c>
      <c r="L1" s="402">
        <f>SUM(L2:L90)</f>
        <v>0</v>
      </c>
      <c r="M1" s="53">
        <f>SUM(M2:M90)</f>
        <v>0</v>
      </c>
      <c r="O1"/>
      <c r="P1" t="s">
        <v>1139</v>
      </c>
      <c r="Q1" s="53" t="s">
        <v>1180</v>
      </c>
    </row>
    <row r="2" spans="1:17" ht="15.5">
      <c r="A2" s="46"/>
      <c r="B2" s="386"/>
      <c r="C2" s="386"/>
      <c r="D2" s="386"/>
      <c r="E2" s="386"/>
      <c r="F2" s="386"/>
      <c r="G2" s="766"/>
      <c r="H2" s="767"/>
      <c r="I2" s="386"/>
      <c r="J2" s="386"/>
      <c r="L2" s="53" t="s">
        <v>1181</v>
      </c>
      <c r="M2" s="53" t="s">
        <v>1182</v>
      </c>
      <c r="O2" s="53" t="s">
        <v>1184</v>
      </c>
      <c r="P2" s="403">
        <v>6.25E-2</v>
      </c>
      <c r="Q2" s="403">
        <v>0.125</v>
      </c>
    </row>
    <row r="3" spans="1:17" ht="15.5">
      <c r="A3" s="47"/>
      <c r="B3" s="387"/>
      <c r="C3" s="388"/>
      <c r="D3" s="389">
        <f>IF($I$29="Yes",0,SUM(B3*C3,O3))</f>
        <v>0</v>
      </c>
      <c r="E3" s="388"/>
      <c r="F3" s="390">
        <f t="shared" ref="F3:F28" si="0">IF($I$29="Yes",0,B3*E3)</f>
        <v>0</v>
      </c>
      <c r="G3" s="763"/>
      <c r="H3" s="763"/>
      <c r="I3" s="388"/>
      <c r="J3" s="388"/>
      <c r="L3" s="402">
        <f>IF(J3="Swing",D3*'Crew Mix'!$J$23,IF(J3="Graveyard",D3*'Crew Mix'!$K$23,IF(J3="Special",D3*'Crew Mix'!$L$23,0)))</f>
        <v>0</v>
      </c>
      <c r="M3" s="53">
        <f>IF(L3&gt;0,D3,0)</f>
        <v>0</v>
      </c>
      <c r="O3" s="404">
        <f>ROUND(IF(J3="Swing",C3*$P$2,IF(J3="Graveyard",C3*$Q$2,0)),2)</f>
        <v>0</v>
      </c>
      <c r="P3" s="403"/>
    </row>
    <row r="4" spans="1:17" ht="15.5">
      <c r="A4" s="47"/>
      <c r="B4" s="387"/>
      <c r="C4" s="388"/>
      <c r="D4" s="389">
        <f t="shared" ref="D4:D28" si="1">IF($I$29="Yes",0,SUM(B4*C4,O4))</f>
        <v>0</v>
      </c>
      <c r="E4" s="388"/>
      <c r="F4" s="390">
        <f t="shared" si="0"/>
        <v>0</v>
      </c>
      <c r="G4" s="763"/>
      <c r="H4" s="763"/>
      <c r="I4" s="388"/>
      <c r="J4" s="388"/>
      <c r="L4" s="402">
        <f>IF(J4="Swing",D4*'Crew Mix'!$J$23,IF(J4="Graveyard",D4*'Crew Mix'!$K$23,IF(J4="Special",D4*'Crew Mix'!$L$23,0)))</f>
        <v>0</v>
      </c>
      <c r="M4" s="53">
        <f t="shared" ref="M4:M28" si="2">IF(L4&gt;0,D4,0)</f>
        <v>0</v>
      </c>
      <c r="O4" s="404">
        <f t="shared" ref="O4:O28" si="3">ROUND(IF(J4="Swing",C4*$P$2,IF(J4="Graveyard",C4*$Q$2,0)),2)</f>
        <v>0</v>
      </c>
    </row>
    <row r="5" spans="1:17" ht="15.5">
      <c r="A5" s="47"/>
      <c r="B5" s="387"/>
      <c r="C5" s="388"/>
      <c r="D5" s="389">
        <f t="shared" si="1"/>
        <v>0</v>
      </c>
      <c r="E5" s="388"/>
      <c r="F5" s="390">
        <f t="shared" si="0"/>
        <v>0</v>
      </c>
      <c r="G5" s="763"/>
      <c r="H5" s="763"/>
      <c r="I5" s="388"/>
      <c r="J5" s="388"/>
      <c r="L5" s="402">
        <f>IF(J5="Swing",D5*'Crew Mix'!$J$23,IF(J5="Graveyard",D5*'Crew Mix'!$K$23,IF(J5="Special",D5*'Crew Mix'!$L$23,0)))</f>
        <v>0</v>
      </c>
      <c r="M5" s="53">
        <f t="shared" si="2"/>
        <v>0</v>
      </c>
      <c r="O5" s="404">
        <f t="shared" si="3"/>
        <v>0</v>
      </c>
    </row>
    <row r="6" spans="1:17" ht="15.5">
      <c r="A6" s="47"/>
      <c r="B6" s="387"/>
      <c r="C6" s="388"/>
      <c r="D6" s="389">
        <f t="shared" si="1"/>
        <v>0</v>
      </c>
      <c r="E6" s="388"/>
      <c r="F6" s="390">
        <f t="shared" si="0"/>
        <v>0</v>
      </c>
      <c r="G6" s="763"/>
      <c r="H6" s="763"/>
      <c r="I6" s="388"/>
      <c r="J6" s="388"/>
      <c r="L6" s="402">
        <f>IF(J6="Swing",D6*'Crew Mix'!$J$23,IF(J6="Graveyard",D6*'Crew Mix'!$K$23,IF(J6="Special",D6*'Crew Mix'!$L$23,0)))</f>
        <v>0</v>
      </c>
      <c r="M6" s="53">
        <f t="shared" si="2"/>
        <v>0</v>
      </c>
      <c r="O6" s="404">
        <f t="shared" si="3"/>
        <v>0</v>
      </c>
    </row>
    <row r="7" spans="1:17" ht="15.5">
      <c r="A7" s="47"/>
      <c r="B7" s="387"/>
      <c r="C7" s="388"/>
      <c r="D7" s="389">
        <f t="shared" si="1"/>
        <v>0</v>
      </c>
      <c r="E7" s="388"/>
      <c r="F7" s="390">
        <f t="shared" si="0"/>
        <v>0</v>
      </c>
      <c r="G7" s="763"/>
      <c r="H7" s="763"/>
      <c r="I7" s="388"/>
      <c r="J7" s="388"/>
      <c r="L7" s="402">
        <f>IF(J7="Swing",D7*'Crew Mix'!$J$23,IF(J7="Graveyard",D7*'Crew Mix'!$K$23,IF(J7="Special",D7*'Crew Mix'!$L$23,0)))</f>
        <v>0</v>
      </c>
      <c r="M7" s="53">
        <f t="shared" si="2"/>
        <v>0</v>
      </c>
      <c r="O7" s="404">
        <f t="shared" si="3"/>
        <v>0</v>
      </c>
    </row>
    <row r="8" spans="1:17" ht="15.5">
      <c r="A8" s="47"/>
      <c r="B8" s="387"/>
      <c r="C8" s="388"/>
      <c r="D8" s="389">
        <f t="shared" si="1"/>
        <v>0</v>
      </c>
      <c r="E8" s="388"/>
      <c r="F8" s="390">
        <f t="shared" si="0"/>
        <v>0</v>
      </c>
      <c r="G8" s="763"/>
      <c r="H8" s="763"/>
      <c r="I8" s="388"/>
      <c r="J8" s="388"/>
      <c r="L8" s="402">
        <f>IF(J8="Swing",D8*'Crew Mix'!$J$23,IF(J8="Graveyard",D8*'Crew Mix'!$K$23,IF(J8="Special",D8*'Crew Mix'!$L$23,0)))</f>
        <v>0</v>
      </c>
      <c r="M8" s="53">
        <f t="shared" si="2"/>
        <v>0</v>
      </c>
      <c r="O8" s="404">
        <f t="shared" si="3"/>
        <v>0</v>
      </c>
    </row>
    <row r="9" spans="1:17" ht="15.5">
      <c r="A9" s="47"/>
      <c r="B9" s="387"/>
      <c r="C9" s="388"/>
      <c r="D9" s="389">
        <f t="shared" si="1"/>
        <v>0</v>
      </c>
      <c r="E9" s="388"/>
      <c r="F9" s="390">
        <f t="shared" si="0"/>
        <v>0</v>
      </c>
      <c r="G9" s="763"/>
      <c r="H9" s="763"/>
      <c r="I9" s="388"/>
      <c r="J9" s="388"/>
      <c r="L9" s="402">
        <f>IF(J9="Swing",D9*'Crew Mix'!$J$23,IF(J9="Graveyard",D9*'Crew Mix'!$K$23,IF(J9="Special",D9*'Crew Mix'!$L$23,0)))</f>
        <v>0</v>
      </c>
      <c r="M9" s="53">
        <f t="shared" si="2"/>
        <v>0</v>
      </c>
      <c r="O9" s="404">
        <f t="shared" si="3"/>
        <v>0</v>
      </c>
    </row>
    <row r="10" spans="1:17" ht="15.5">
      <c r="A10" s="47"/>
      <c r="B10" s="387"/>
      <c r="C10" s="388"/>
      <c r="D10" s="389">
        <f t="shared" si="1"/>
        <v>0</v>
      </c>
      <c r="E10" s="388"/>
      <c r="F10" s="390">
        <f t="shared" si="0"/>
        <v>0</v>
      </c>
      <c r="G10" s="763"/>
      <c r="H10" s="763"/>
      <c r="I10" s="388"/>
      <c r="J10" s="388"/>
      <c r="L10" s="402">
        <f>IF(J10="Swing",D10*'Crew Mix'!$J$23,IF(J10="Graveyard",D10*'Crew Mix'!$K$23,IF(J10="Special",D10*'Crew Mix'!$L$23,0)))</f>
        <v>0</v>
      </c>
      <c r="M10" s="53">
        <f t="shared" si="2"/>
        <v>0</v>
      </c>
      <c r="O10" s="404">
        <f t="shared" si="3"/>
        <v>0</v>
      </c>
    </row>
    <row r="11" spans="1:17" ht="15.5">
      <c r="A11" s="47"/>
      <c r="B11" s="387"/>
      <c r="C11" s="388"/>
      <c r="D11" s="389">
        <f t="shared" si="1"/>
        <v>0</v>
      </c>
      <c r="E11" s="388"/>
      <c r="F11" s="390">
        <f t="shared" si="0"/>
        <v>0</v>
      </c>
      <c r="G11" s="763"/>
      <c r="H11" s="763"/>
      <c r="I11" s="388"/>
      <c r="J11" s="388"/>
      <c r="L11" s="402">
        <f>IF(J11="Swing",D11*'Crew Mix'!$J$23,IF(J11="Graveyard",D11*'Crew Mix'!$K$23,IF(J11="Special",D11*'Crew Mix'!$L$23,0)))</f>
        <v>0</v>
      </c>
      <c r="M11" s="53">
        <f t="shared" si="2"/>
        <v>0</v>
      </c>
      <c r="O11" s="404">
        <f t="shared" si="3"/>
        <v>0</v>
      </c>
    </row>
    <row r="12" spans="1:17" ht="15.5">
      <c r="A12" s="47"/>
      <c r="B12" s="387"/>
      <c r="C12" s="388"/>
      <c r="D12" s="389">
        <f t="shared" si="1"/>
        <v>0</v>
      </c>
      <c r="E12" s="388"/>
      <c r="F12" s="390">
        <f t="shared" si="0"/>
        <v>0</v>
      </c>
      <c r="G12" s="763"/>
      <c r="H12" s="763"/>
      <c r="I12" s="388"/>
      <c r="J12" s="388"/>
      <c r="L12" s="402">
        <f>IF(J12="Swing",D12*'Crew Mix'!$J$23,IF(J12="Graveyard",D12*'Crew Mix'!$K$23,IF(J12="Special",D12*'Crew Mix'!$L$23,0)))</f>
        <v>0</v>
      </c>
      <c r="M12" s="53">
        <f t="shared" si="2"/>
        <v>0</v>
      </c>
      <c r="O12" s="404">
        <f t="shared" si="3"/>
        <v>0</v>
      </c>
    </row>
    <row r="13" spans="1:17" ht="15.5">
      <c r="A13" s="47"/>
      <c r="B13" s="387"/>
      <c r="C13" s="388"/>
      <c r="D13" s="389">
        <f t="shared" si="1"/>
        <v>0</v>
      </c>
      <c r="E13" s="388"/>
      <c r="F13" s="390">
        <f t="shared" si="0"/>
        <v>0</v>
      </c>
      <c r="G13" s="763"/>
      <c r="H13" s="763"/>
      <c r="I13" s="388"/>
      <c r="J13" s="388"/>
      <c r="L13" s="402">
        <f>IF(J13="Swing",D13*'Crew Mix'!$J$23,IF(J13="Graveyard",D13*'Crew Mix'!$K$23,IF(J13="Special",D13*'Crew Mix'!$L$23,0)))</f>
        <v>0</v>
      </c>
      <c r="M13" s="53">
        <f t="shared" si="2"/>
        <v>0</v>
      </c>
      <c r="O13" s="404">
        <f t="shared" si="3"/>
        <v>0</v>
      </c>
    </row>
    <row r="14" spans="1:17" ht="15.5">
      <c r="A14" s="47"/>
      <c r="B14" s="387"/>
      <c r="C14" s="388"/>
      <c r="D14" s="389">
        <f t="shared" si="1"/>
        <v>0</v>
      </c>
      <c r="E14" s="388"/>
      <c r="F14" s="390">
        <f t="shared" si="0"/>
        <v>0</v>
      </c>
      <c r="G14" s="763"/>
      <c r="H14" s="763"/>
      <c r="I14" s="388"/>
      <c r="J14" s="388"/>
      <c r="L14" s="402">
        <f>IF(J14="Swing",D14*'Crew Mix'!$J$23,IF(J14="Graveyard",D14*'Crew Mix'!$K$23,IF(J14="Special",D14*'Crew Mix'!$L$23,0)))</f>
        <v>0</v>
      </c>
      <c r="M14" s="53">
        <f t="shared" si="2"/>
        <v>0</v>
      </c>
      <c r="O14" s="404">
        <f t="shared" si="3"/>
        <v>0</v>
      </c>
    </row>
    <row r="15" spans="1:17" ht="15.5">
      <c r="A15" s="47"/>
      <c r="B15" s="387"/>
      <c r="C15" s="388"/>
      <c r="D15" s="389">
        <f t="shared" si="1"/>
        <v>0</v>
      </c>
      <c r="E15" s="388"/>
      <c r="F15" s="390">
        <f t="shared" si="0"/>
        <v>0</v>
      </c>
      <c r="G15" s="763"/>
      <c r="H15" s="763"/>
      <c r="I15" s="388"/>
      <c r="J15" s="388"/>
      <c r="L15" s="402">
        <f>IF(J15="Swing",D15*'Crew Mix'!$J$23,IF(J15="Graveyard",D15*'Crew Mix'!$K$23,IF(J15="Special",D15*'Crew Mix'!$L$23,0)))</f>
        <v>0</v>
      </c>
      <c r="M15" s="53">
        <f t="shared" si="2"/>
        <v>0</v>
      </c>
      <c r="O15" s="404">
        <f t="shared" si="3"/>
        <v>0</v>
      </c>
    </row>
    <row r="16" spans="1:17" ht="15.5">
      <c r="A16" s="47"/>
      <c r="B16" s="387"/>
      <c r="C16" s="388"/>
      <c r="D16" s="389">
        <f t="shared" si="1"/>
        <v>0</v>
      </c>
      <c r="E16" s="388"/>
      <c r="F16" s="390">
        <f t="shared" si="0"/>
        <v>0</v>
      </c>
      <c r="G16" s="763"/>
      <c r="H16" s="763"/>
      <c r="I16" s="388"/>
      <c r="J16" s="388"/>
      <c r="L16" s="402">
        <f>IF(J16="Swing",D16*'Crew Mix'!$J$23,IF(J16="Graveyard",D16*'Crew Mix'!$K$23,IF(J16="Special",D16*'Crew Mix'!$L$23,0)))</f>
        <v>0</v>
      </c>
      <c r="M16" s="53">
        <f t="shared" si="2"/>
        <v>0</v>
      </c>
      <c r="O16" s="404">
        <f t="shared" si="3"/>
        <v>0</v>
      </c>
    </row>
    <row r="17" spans="1:15" ht="15.5">
      <c r="A17" s="47"/>
      <c r="B17" s="387"/>
      <c r="C17" s="388"/>
      <c r="D17" s="389">
        <f t="shared" si="1"/>
        <v>0</v>
      </c>
      <c r="E17" s="388"/>
      <c r="F17" s="390">
        <f t="shared" si="0"/>
        <v>0</v>
      </c>
      <c r="G17" s="763"/>
      <c r="H17" s="763"/>
      <c r="I17" s="388"/>
      <c r="J17" s="388"/>
      <c r="L17" s="402">
        <f>IF(J17="Swing",D17*'Crew Mix'!$J$23,IF(J17="Graveyard",D17*'Crew Mix'!$K$23,IF(J17="Special",D17*'Crew Mix'!$L$23,0)))</f>
        <v>0</v>
      </c>
      <c r="M17" s="53">
        <f t="shared" si="2"/>
        <v>0</v>
      </c>
      <c r="O17" s="404">
        <f t="shared" si="3"/>
        <v>0</v>
      </c>
    </row>
    <row r="18" spans="1:15" ht="15.5">
      <c r="A18" s="47"/>
      <c r="B18" s="387"/>
      <c r="C18" s="388"/>
      <c r="D18" s="389">
        <f t="shared" si="1"/>
        <v>0</v>
      </c>
      <c r="E18" s="388"/>
      <c r="F18" s="390">
        <f t="shared" si="0"/>
        <v>0</v>
      </c>
      <c r="G18" s="763"/>
      <c r="H18" s="763"/>
      <c r="I18" s="388"/>
      <c r="J18" s="388"/>
      <c r="L18" s="402">
        <f>IF(J18="Swing",D18*'Crew Mix'!$J$23,IF(J18="Graveyard",D18*'Crew Mix'!$K$23,IF(J18="Special",D18*'Crew Mix'!$L$23,0)))</f>
        <v>0</v>
      </c>
      <c r="M18" s="53">
        <f t="shared" si="2"/>
        <v>0</v>
      </c>
      <c r="O18" s="404">
        <f t="shared" si="3"/>
        <v>0</v>
      </c>
    </row>
    <row r="19" spans="1:15" ht="15.5">
      <c r="A19" s="47"/>
      <c r="B19" s="387"/>
      <c r="C19" s="388"/>
      <c r="D19" s="389">
        <f t="shared" si="1"/>
        <v>0</v>
      </c>
      <c r="E19" s="388"/>
      <c r="F19" s="390">
        <f t="shared" si="0"/>
        <v>0</v>
      </c>
      <c r="G19" s="763"/>
      <c r="H19" s="763"/>
      <c r="I19" s="388"/>
      <c r="J19" s="388"/>
      <c r="L19" s="402">
        <f>IF(J19="Swing",D19*'Crew Mix'!$J$23,IF(J19="Graveyard",D19*'Crew Mix'!$K$23,IF(J19="Special",D19*'Crew Mix'!$L$23,0)))</f>
        <v>0</v>
      </c>
      <c r="M19" s="53">
        <f t="shared" si="2"/>
        <v>0</v>
      </c>
      <c r="O19" s="404">
        <f t="shared" si="3"/>
        <v>0</v>
      </c>
    </row>
    <row r="20" spans="1:15" ht="15.5">
      <c r="A20" s="47"/>
      <c r="B20" s="387"/>
      <c r="C20" s="388"/>
      <c r="D20" s="389">
        <f t="shared" si="1"/>
        <v>0</v>
      </c>
      <c r="E20" s="388"/>
      <c r="F20" s="390">
        <f t="shared" si="0"/>
        <v>0</v>
      </c>
      <c r="G20" s="763"/>
      <c r="H20" s="763"/>
      <c r="I20" s="388"/>
      <c r="J20" s="388"/>
      <c r="L20" s="402">
        <f>IF(J20="Swing",D20*'Crew Mix'!$J$23,IF(J20="Graveyard",D20*'Crew Mix'!$K$23,IF(J20="Special",D20*'Crew Mix'!$L$23,0)))</f>
        <v>0</v>
      </c>
      <c r="M20" s="53">
        <f t="shared" si="2"/>
        <v>0</v>
      </c>
      <c r="O20" s="404">
        <f t="shared" si="3"/>
        <v>0</v>
      </c>
    </row>
    <row r="21" spans="1:15" ht="15.5">
      <c r="A21" s="47"/>
      <c r="B21" s="387"/>
      <c r="C21" s="388"/>
      <c r="D21" s="389">
        <f t="shared" si="1"/>
        <v>0</v>
      </c>
      <c r="E21" s="388"/>
      <c r="F21" s="390">
        <f t="shared" si="0"/>
        <v>0</v>
      </c>
      <c r="G21" s="763"/>
      <c r="H21" s="763"/>
      <c r="I21" s="388"/>
      <c r="J21" s="388"/>
      <c r="L21" s="402">
        <f>IF(J21="Swing",D21*'Crew Mix'!$J$23,IF(J21="Graveyard",D21*'Crew Mix'!$K$23,IF(J21="Special",D21*'Crew Mix'!$L$23,0)))</f>
        <v>0</v>
      </c>
      <c r="M21" s="53">
        <f t="shared" si="2"/>
        <v>0</v>
      </c>
      <c r="O21" s="404">
        <f t="shared" si="3"/>
        <v>0</v>
      </c>
    </row>
    <row r="22" spans="1:15" ht="15.5">
      <c r="A22" s="47"/>
      <c r="B22" s="387"/>
      <c r="C22" s="388"/>
      <c r="D22" s="389">
        <f t="shared" si="1"/>
        <v>0</v>
      </c>
      <c r="E22" s="388"/>
      <c r="F22" s="390">
        <f t="shared" si="0"/>
        <v>0</v>
      </c>
      <c r="G22" s="763"/>
      <c r="H22" s="763"/>
      <c r="I22" s="388"/>
      <c r="J22" s="388"/>
      <c r="L22" s="402">
        <f>IF(J22="Swing",D22*'Crew Mix'!$J$23,IF(J22="Graveyard",D22*'Crew Mix'!$K$23,IF(J22="Special",D22*'Crew Mix'!$L$23,0)))</f>
        <v>0</v>
      </c>
      <c r="M22" s="53">
        <f t="shared" si="2"/>
        <v>0</v>
      </c>
      <c r="O22" s="404">
        <f t="shared" si="3"/>
        <v>0</v>
      </c>
    </row>
    <row r="23" spans="1:15" ht="15.5">
      <c r="A23" s="47"/>
      <c r="B23" s="387"/>
      <c r="C23" s="388"/>
      <c r="D23" s="389">
        <f t="shared" si="1"/>
        <v>0</v>
      </c>
      <c r="E23" s="388"/>
      <c r="F23" s="390">
        <f t="shared" si="0"/>
        <v>0</v>
      </c>
      <c r="G23" s="763"/>
      <c r="H23" s="763"/>
      <c r="I23" s="388"/>
      <c r="J23" s="388"/>
      <c r="L23" s="402">
        <f>IF(J23="Swing",D23*'Crew Mix'!$J$23,IF(J23="Graveyard",D23*'Crew Mix'!$K$23,IF(J23="Special",D23*'Crew Mix'!$L$23,0)))</f>
        <v>0</v>
      </c>
      <c r="M23" s="53">
        <f t="shared" si="2"/>
        <v>0</v>
      </c>
      <c r="O23" s="404">
        <f t="shared" si="3"/>
        <v>0</v>
      </c>
    </row>
    <row r="24" spans="1:15" ht="15.5">
      <c r="A24" s="47"/>
      <c r="B24" s="387"/>
      <c r="C24" s="388"/>
      <c r="D24" s="389">
        <f t="shared" si="1"/>
        <v>0</v>
      </c>
      <c r="E24" s="388"/>
      <c r="F24" s="390">
        <f t="shared" si="0"/>
        <v>0</v>
      </c>
      <c r="G24" s="763"/>
      <c r="H24" s="763"/>
      <c r="I24" s="388"/>
      <c r="J24" s="388"/>
      <c r="L24" s="402">
        <f>IF(J24="Swing",D24*'Crew Mix'!$J$23,IF(J24="Graveyard",D24*'Crew Mix'!$K$23,IF(J24="Special",D24*'Crew Mix'!$L$23,0)))</f>
        <v>0</v>
      </c>
      <c r="M24" s="53">
        <f t="shared" si="2"/>
        <v>0</v>
      </c>
      <c r="O24" s="404">
        <f t="shared" si="3"/>
        <v>0</v>
      </c>
    </row>
    <row r="25" spans="1:15" ht="15.5">
      <c r="A25" s="47"/>
      <c r="B25" s="387"/>
      <c r="C25" s="388"/>
      <c r="D25" s="389">
        <f t="shared" si="1"/>
        <v>0</v>
      </c>
      <c r="E25" s="388"/>
      <c r="F25" s="390">
        <f t="shared" si="0"/>
        <v>0</v>
      </c>
      <c r="G25" s="763"/>
      <c r="H25" s="763"/>
      <c r="I25" s="388"/>
      <c r="J25" s="388"/>
      <c r="L25" s="402">
        <f>IF(J25="Swing",D25*'Crew Mix'!$J$23,IF(J25="Graveyard",D25*'Crew Mix'!$K$23,IF(J25="Special",D25*'Crew Mix'!$L$23,0)))</f>
        <v>0</v>
      </c>
      <c r="M25" s="53">
        <f t="shared" si="2"/>
        <v>0</v>
      </c>
      <c r="O25" s="404">
        <f t="shared" si="3"/>
        <v>0</v>
      </c>
    </row>
    <row r="26" spans="1:15" ht="15.5">
      <c r="A26" s="47"/>
      <c r="B26" s="387"/>
      <c r="C26" s="388"/>
      <c r="D26" s="389">
        <f t="shared" si="1"/>
        <v>0</v>
      </c>
      <c r="E26" s="388"/>
      <c r="F26" s="390">
        <f t="shared" si="0"/>
        <v>0</v>
      </c>
      <c r="G26" s="763"/>
      <c r="H26" s="763"/>
      <c r="I26" s="388"/>
      <c r="J26" s="388"/>
      <c r="L26" s="402">
        <f>IF(J26="Swing",D26*'Crew Mix'!$J$23,IF(J26="Graveyard",D26*'Crew Mix'!$K$23,IF(J26="Special",D26*'Crew Mix'!$L$23,0)))</f>
        <v>0</v>
      </c>
      <c r="M26" s="53">
        <f t="shared" si="2"/>
        <v>0</v>
      </c>
      <c r="O26" s="404">
        <f t="shared" si="3"/>
        <v>0</v>
      </c>
    </row>
    <row r="27" spans="1:15" ht="15.5">
      <c r="A27" s="47"/>
      <c r="B27" s="387"/>
      <c r="C27" s="388"/>
      <c r="D27" s="389">
        <f t="shared" si="1"/>
        <v>0</v>
      </c>
      <c r="E27" s="388"/>
      <c r="F27" s="390">
        <f t="shared" si="0"/>
        <v>0</v>
      </c>
      <c r="G27" s="763"/>
      <c r="H27" s="763"/>
      <c r="I27" s="388"/>
      <c r="J27" s="388"/>
      <c r="L27" s="402">
        <f>IF(J27="Swing",D27*'Crew Mix'!$J$23,IF(J27="Graveyard",D27*'Crew Mix'!$K$23,IF(J27="Special",D27*'Crew Mix'!$L$23,0)))</f>
        <v>0</v>
      </c>
      <c r="M27" s="53">
        <f t="shared" si="2"/>
        <v>0</v>
      </c>
      <c r="O27" s="404">
        <f t="shared" si="3"/>
        <v>0</v>
      </c>
    </row>
    <row r="28" spans="1:15" ht="15.5">
      <c r="A28" s="47"/>
      <c r="B28" s="387"/>
      <c r="C28" s="388"/>
      <c r="D28" s="389">
        <f t="shared" si="1"/>
        <v>0</v>
      </c>
      <c r="E28" s="388"/>
      <c r="F28" s="390">
        <f t="shared" si="0"/>
        <v>0</v>
      </c>
      <c r="G28" s="763"/>
      <c r="H28" s="763"/>
      <c r="I28" s="388"/>
      <c r="J28" s="388"/>
      <c r="L28" s="402">
        <f>IF(J28="Swing",D28*'Crew Mix'!$J$23,IF(J28="Graveyard",D28*'Crew Mix'!$K$23,IF(J28="Special",D28*'Crew Mix'!$L$23,0)))</f>
        <v>0</v>
      </c>
      <c r="M28" s="53">
        <f t="shared" si="2"/>
        <v>0</v>
      </c>
      <c r="O28" s="404">
        <f t="shared" si="3"/>
        <v>0</v>
      </c>
    </row>
    <row r="29" spans="1:15" ht="21">
      <c r="A29" s="48"/>
      <c r="B29" s="391"/>
      <c r="C29" s="392"/>
      <c r="D29" s="393">
        <f>SUM(D3:D28)</f>
        <v>0</v>
      </c>
      <c r="E29" s="394"/>
      <c r="F29" s="390">
        <f>SUM(F3:F28)</f>
        <v>0</v>
      </c>
      <c r="H29" s="395" t="s">
        <v>189</v>
      </c>
      <c r="I29" s="396" t="s">
        <v>125</v>
      </c>
    </row>
    <row r="31" spans="1:15" ht="15" thickBot="1"/>
    <row r="32" spans="1:15" ht="54.5" thickBot="1">
      <c r="A32" s="49" t="s">
        <v>1176</v>
      </c>
      <c r="B32" s="49" t="s">
        <v>81</v>
      </c>
      <c r="C32" s="383" t="s">
        <v>88</v>
      </c>
      <c r="D32" s="383" t="s">
        <v>89</v>
      </c>
      <c r="E32" s="383" t="s">
        <v>82</v>
      </c>
      <c r="F32" s="384" t="s">
        <v>83</v>
      </c>
      <c r="G32" s="768" t="s">
        <v>84</v>
      </c>
      <c r="H32" s="769"/>
      <c r="I32" s="385" t="s">
        <v>719</v>
      </c>
      <c r="J32" s="385" t="s">
        <v>1158</v>
      </c>
    </row>
    <row r="33" spans="1:15" ht="15.5">
      <c r="A33" s="46"/>
      <c r="B33" s="386"/>
      <c r="C33" s="386"/>
      <c r="D33" s="386"/>
      <c r="E33" s="386"/>
      <c r="F33" s="386"/>
      <c r="G33" s="766"/>
      <c r="H33" s="767"/>
      <c r="I33" s="386"/>
      <c r="J33" s="386"/>
      <c r="L33" s="53" t="s">
        <v>1181</v>
      </c>
      <c r="M33" s="53" t="s">
        <v>1182</v>
      </c>
      <c r="O33" s="53" t="s">
        <v>1184</v>
      </c>
    </row>
    <row r="34" spans="1:15" ht="15.5">
      <c r="A34" s="47"/>
      <c r="B34" s="387"/>
      <c r="C34" s="388"/>
      <c r="D34" s="389">
        <f t="shared" ref="D34:D59" si="4">IF($I$60="Yes",0,SUM(B34*C34))</f>
        <v>0</v>
      </c>
      <c r="E34" s="388"/>
      <c r="F34" s="390">
        <f t="shared" ref="F34:F59" si="5">IF($I$60="Yes",0,B34*E34)</f>
        <v>0</v>
      </c>
      <c r="G34" s="763"/>
      <c r="H34" s="763"/>
      <c r="I34" s="388"/>
      <c r="J34" s="388"/>
      <c r="L34" s="402">
        <f>IF(J34="Swing",D34*'Crew Mix'!$J$23,IF(J34="Graveyard",D34*'Crew Mix'!$K$23,IF(J34="Special",D34*'Crew Mix'!$L$23,0)))</f>
        <v>0</v>
      </c>
      <c r="M34" s="53">
        <f>IF(L34&gt;0,D34,0)</f>
        <v>0</v>
      </c>
      <c r="O34" s="404">
        <f>ROUND(IF(J34="Swing",C34*$P$2,IF(J34="Graveyard",C34*$Q$2,0)),2)</f>
        <v>0</v>
      </c>
    </row>
    <row r="35" spans="1:15" ht="15.5">
      <c r="A35" s="47"/>
      <c r="B35" s="387"/>
      <c r="C35" s="388"/>
      <c r="D35" s="389">
        <f t="shared" si="4"/>
        <v>0</v>
      </c>
      <c r="E35" s="388"/>
      <c r="F35" s="390">
        <f t="shared" si="5"/>
        <v>0</v>
      </c>
      <c r="G35" s="763"/>
      <c r="H35" s="763"/>
      <c r="I35" s="388"/>
      <c r="J35" s="388"/>
      <c r="L35" s="402">
        <f>IF(J35="Swing",D35*'Crew Mix'!$J$23,IF(J35="Graveyard",D35*'Crew Mix'!$K$23,IF(J35="Special",D35*'Crew Mix'!$L$23,0)))</f>
        <v>0</v>
      </c>
      <c r="M35" s="53">
        <f t="shared" ref="M35:M59" si="6">IF(L35&gt;0,D35,0)</f>
        <v>0</v>
      </c>
      <c r="O35" s="404">
        <f t="shared" ref="O35:O59" si="7">ROUND(IF(J35="Swing",C35*$P$2,IF(J35="Graveyard",C35*$Q$2,0)),2)</f>
        <v>0</v>
      </c>
    </row>
    <row r="36" spans="1:15" ht="15.5">
      <c r="A36" s="47"/>
      <c r="B36" s="387"/>
      <c r="C36" s="388"/>
      <c r="D36" s="389">
        <f t="shared" si="4"/>
        <v>0</v>
      </c>
      <c r="E36" s="388"/>
      <c r="F36" s="390">
        <f t="shared" si="5"/>
        <v>0</v>
      </c>
      <c r="G36" s="763"/>
      <c r="H36" s="763"/>
      <c r="I36" s="388"/>
      <c r="J36" s="388"/>
      <c r="L36" s="402">
        <f>IF(J36="Swing",D36*'Crew Mix'!$J$23,IF(J36="Graveyard",D36*'Crew Mix'!$K$23,IF(J36="Special",D36*'Crew Mix'!$L$23,0)))</f>
        <v>0</v>
      </c>
      <c r="M36" s="53">
        <f t="shared" si="6"/>
        <v>0</v>
      </c>
      <c r="O36" s="404">
        <f t="shared" si="7"/>
        <v>0</v>
      </c>
    </row>
    <row r="37" spans="1:15" ht="15.5">
      <c r="A37" s="47"/>
      <c r="B37" s="387"/>
      <c r="C37" s="388"/>
      <c r="D37" s="389">
        <f t="shared" si="4"/>
        <v>0</v>
      </c>
      <c r="E37" s="388"/>
      <c r="F37" s="390">
        <f t="shared" si="5"/>
        <v>0</v>
      </c>
      <c r="G37" s="763"/>
      <c r="H37" s="763"/>
      <c r="I37" s="388"/>
      <c r="J37" s="388"/>
      <c r="L37" s="402">
        <f>IF(J37="Swing",D37*'Crew Mix'!$J$23,IF(J37="Graveyard",D37*'Crew Mix'!$K$23,IF(J37="Special",D37*'Crew Mix'!$L$23,0)))</f>
        <v>0</v>
      </c>
      <c r="M37" s="53">
        <f t="shared" si="6"/>
        <v>0</v>
      </c>
      <c r="O37" s="404">
        <f t="shared" si="7"/>
        <v>0</v>
      </c>
    </row>
    <row r="38" spans="1:15" ht="15.5">
      <c r="A38" s="47"/>
      <c r="B38" s="387"/>
      <c r="C38" s="388"/>
      <c r="D38" s="389">
        <f t="shared" si="4"/>
        <v>0</v>
      </c>
      <c r="E38" s="388"/>
      <c r="F38" s="390">
        <f t="shared" si="5"/>
        <v>0</v>
      </c>
      <c r="G38" s="763"/>
      <c r="H38" s="763"/>
      <c r="I38" s="388"/>
      <c r="J38" s="388"/>
      <c r="L38" s="402">
        <f>IF(J38="Swing",D38*'Crew Mix'!$J$23,IF(J38="Graveyard",D38*'Crew Mix'!$K$23,IF(J38="Special",D38*'Crew Mix'!$L$23,0)))</f>
        <v>0</v>
      </c>
      <c r="M38" s="53">
        <f t="shared" si="6"/>
        <v>0</v>
      </c>
      <c r="O38" s="404">
        <f t="shared" si="7"/>
        <v>0</v>
      </c>
    </row>
    <row r="39" spans="1:15" ht="15.5">
      <c r="A39" s="47"/>
      <c r="B39" s="387"/>
      <c r="C39" s="388"/>
      <c r="D39" s="389">
        <f t="shared" si="4"/>
        <v>0</v>
      </c>
      <c r="E39" s="388"/>
      <c r="F39" s="390">
        <f t="shared" si="5"/>
        <v>0</v>
      </c>
      <c r="G39" s="763"/>
      <c r="H39" s="763"/>
      <c r="I39" s="388"/>
      <c r="J39" s="388"/>
      <c r="L39" s="402">
        <f>IF(J39="Swing",D39*'Crew Mix'!$J$23,IF(J39="Graveyard",D39*'Crew Mix'!$K$23,IF(J39="Special",D39*'Crew Mix'!$L$23,0)))</f>
        <v>0</v>
      </c>
      <c r="M39" s="53">
        <f t="shared" si="6"/>
        <v>0</v>
      </c>
      <c r="O39" s="404">
        <f t="shared" si="7"/>
        <v>0</v>
      </c>
    </row>
    <row r="40" spans="1:15" ht="15.5">
      <c r="A40" s="47"/>
      <c r="B40" s="387"/>
      <c r="C40" s="388"/>
      <c r="D40" s="389">
        <f t="shared" si="4"/>
        <v>0</v>
      </c>
      <c r="E40" s="388"/>
      <c r="F40" s="390">
        <f t="shared" si="5"/>
        <v>0</v>
      </c>
      <c r="G40" s="763"/>
      <c r="H40" s="763"/>
      <c r="I40" s="388"/>
      <c r="J40" s="388"/>
      <c r="L40" s="402">
        <f>IF(J40="Swing",D40*'Crew Mix'!$J$23,IF(J40="Graveyard",D40*'Crew Mix'!$K$23,IF(J40="Special",D40*'Crew Mix'!$L$23,0)))</f>
        <v>0</v>
      </c>
      <c r="M40" s="53">
        <f t="shared" si="6"/>
        <v>0</v>
      </c>
      <c r="O40" s="404">
        <f t="shared" si="7"/>
        <v>0</v>
      </c>
    </row>
    <row r="41" spans="1:15" ht="15.5">
      <c r="A41" s="47"/>
      <c r="B41" s="387"/>
      <c r="C41" s="388"/>
      <c r="D41" s="389">
        <f t="shared" si="4"/>
        <v>0</v>
      </c>
      <c r="E41" s="388"/>
      <c r="F41" s="390">
        <f t="shared" si="5"/>
        <v>0</v>
      </c>
      <c r="G41" s="763"/>
      <c r="H41" s="763"/>
      <c r="I41" s="388"/>
      <c r="J41" s="388"/>
      <c r="L41" s="402">
        <f>IF(J41="Swing",D41*'Crew Mix'!$J$23,IF(J41="Graveyard",D41*'Crew Mix'!$K$23,IF(J41="Special",D41*'Crew Mix'!$L$23,0)))</f>
        <v>0</v>
      </c>
      <c r="M41" s="53">
        <f t="shared" si="6"/>
        <v>0</v>
      </c>
      <c r="O41" s="404">
        <f t="shared" si="7"/>
        <v>0</v>
      </c>
    </row>
    <row r="42" spans="1:15" ht="15.5">
      <c r="A42" s="47"/>
      <c r="B42" s="387"/>
      <c r="C42" s="388"/>
      <c r="D42" s="389">
        <f t="shared" si="4"/>
        <v>0</v>
      </c>
      <c r="E42" s="388"/>
      <c r="F42" s="390">
        <f t="shared" si="5"/>
        <v>0</v>
      </c>
      <c r="G42" s="763"/>
      <c r="H42" s="763"/>
      <c r="I42" s="388"/>
      <c r="J42" s="388"/>
      <c r="L42" s="402">
        <f>IF(J42="Swing",D42*'Crew Mix'!$J$23,IF(J42="Graveyard",D42*'Crew Mix'!$K$23,IF(J42="Special",D42*'Crew Mix'!$L$23,0)))</f>
        <v>0</v>
      </c>
      <c r="M42" s="53">
        <f t="shared" si="6"/>
        <v>0</v>
      </c>
      <c r="O42" s="404">
        <f t="shared" si="7"/>
        <v>0</v>
      </c>
    </row>
    <row r="43" spans="1:15" ht="15.5">
      <c r="A43" s="47"/>
      <c r="B43" s="387"/>
      <c r="C43" s="388"/>
      <c r="D43" s="389">
        <f t="shared" si="4"/>
        <v>0</v>
      </c>
      <c r="E43" s="388"/>
      <c r="F43" s="390">
        <f t="shared" si="5"/>
        <v>0</v>
      </c>
      <c r="G43" s="763"/>
      <c r="H43" s="763"/>
      <c r="I43" s="388"/>
      <c r="J43" s="388"/>
      <c r="L43" s="402">
        <f>IF(J43="Swing",D43*'Crew Mix'!$J$23,IF(J43="Graveyard",D43*'Crew Mix'!$K$23,IF(J43="Special",D43*'Crew Mix'!$L$23,0)))</f>
        <v>0</v>
      </c>
      <c r="M43" s="53">
        <f t="shared" si="6"/>
        <v>0</v>
      </c>
      <c r="O43" s="404">
        <f t="shared" si="7"/>
        <v>0</v>
      </c>
    </row>
    <row r="44" spans="1:15" ht="15.5">
      <c r="A44" s="47"/>
      <c r="B44" s="387"/>
      <c r="C44" s="388"/>
      <c r="D44" s="389">
        <f t="shared" si="4"/>
        <v>0</v>
      </c>
      <c r="E44" s="388"/>
      <c r="F44" s="390">
        <f t="shared" si="5"/>
        <v>0</v>
      </c>
      <c r="G44" s="763"/>
      <c r="H44" s="763"/>
      <c r="I44" s="388"/>
      <c r="J44" s="388"/>
      <c r="L44" s="402">
        <f>IF(J44="Swing",D44*'Crew Mix'!$J$23,IF(J44="Graveyard",D44*'Crew Mix'!$K$23,IF(J44="Special",D44*'Crew Mix'!$L$23,0)))</f>
        <v>0</v>
      </c>
      <c r="M44" s="53">
        <f t="shared" si="6"/>
        <v>0</v>
      </c>
      <c r="O44" s="404">
        <f t="shared" si="7"/>
        <v>0</v>
      </c>
    </row>
    <row r="45" spans="1:15" ht="15.5">
      <c r="A45" s="47"/>
      <c r="B45" s="387"/>
      <c r="C45" s="388"/>
      <c r="D45" s="389">
        <f t="shared" si="4"/>
        <v>0</v>
      </c>
      <c r="E45" s="388"/>
      <c r="F45" s="390">
        <f t="shared" si="5"/>
        <v>0</v>
      </c>
      <c r="G45" s="763"/>
      <c r="H45" s="763"/>
      <c r="I45" s="388"/>
      <c r="J45" s="388"/>
      <c r="L45" s="402">
        <f>IF(J45="Swing",D45*'Crew Mix'!$J$23,IF(J45="Graveyard",D45*'Crew Mix'!$K$23,IF(J45="Special",D45*'Crew Mix'!$L$23,0)))</f>
        <v>0</v>
      </c>
      <c r="M45" s="53">
        <f t="shared" si="6"/>
        <v>0</v>
      </c>
      <c r="O45" s="404">
        <f t="shared" si="7"/>
        <v>0</v>
      </c>
    </row>
    <row r="46" spans="1:15" ht="15.5">
      <c r="A46" s="47"/>
      <c r="B46" s="387"/>
      <c r="C46" s="388"/>
      <c r="D46" s="389">
        <f t="shared" si="4"/>
        <v>0</v>
      </c>
      <c r="E46" s="388"/>
      <c r="F46" s="390">
        <f t="shared" si="5"/>
        <v>0</v>
      </c>
      <c r="G46" s="763"/>
      <c r="H46" s="763"/>
      <c r="I46" s="388"/>
      <c r="J46" s="388"/>
      <c r="L46" s="402">
        <f>IF(J46="Swing",D46*'Crew Mix'!$J$23,IF(J46="Graveyard",D46*'Crew Mix'!$K$23,IF(J46="Special",D46*'Crew Mix'!$L$23,0)))</f>
        <v>0</v>
      </c>
      <c r="M46" s="53">
        <f t="shared" si="6"/>
        <v>0</v>
      </c>
      <c r="O46" s="404">
        <f t="shared" si="7"/>
        <v>0</v>
      </c>
    </row>
    <row r="47" spans="1:15" ht="15.5">
      <c r="A47" s="47"/>
      <c r="B47" s="387"/>
      <c r="C47" s="388"/>
      <c r="D47" s="389">
        <f t="shared" si="4"/>
        <v>0</v>
      </c>
      <c r="E47" s="388"/>
      <c r="F47" s="390">
        <f t="shared" si="5"/>
        <v>0</v>
      </c>
      <c r="G47" s="763"/>
      <c r="H47" s="763"/>
      <c r="I47" s="388"/>
      <c r="J47" s="388"/>
      <c r="L47" s="402">
        <f>IF(J47="Swing",D47*'Crew Mix'!$J$23,IF(J47="Graveyard",D47*'Crew Mix'!$K$23,IF(J47="Special",D47*'Crew Mix'!$L$23,0)))</f>
        <v>0</v>
      </c>
      <c r="M47" s="53">
        <f t="shared" si="6"/>
        <v>0</v>
      </c>
      <c r="O47" s="404">
        <f t="shared" si="7"/>
        <v>0</v>
      </c>
    </row>
    <row r="48" spans="1:15" ht="15.5">
      <c r="A48" s="47"/>
      <c r="B48" s="387"/>
      <c r="C48" s="388"/>
      <c r="D48" s="389">
        <f t="shared" si="4"/>
        <v>0</v>
      </c>
      <c r="E48" s="388"/>
      <c r="F48" s="390">
        <f t="shared" si="5"/>
        <v>0</v>
      </c>
      <c r="G48" s="763"/>
      <c r="H48" s="763"/>
      <c r="I48" s="388"/>
      <c r="J48" s="388"/>
      <c r="L48" s="402">
        <f>IF(J48="Swing",D48*'Crew Mix'!$J$23,IF(J48="Graveyard",D48*'Crew Mix'!$K$23,IF(J48="Special",D48*'Crew Mix'!$L$23,0)))</f>
        <v>0</v>
      </c>
      <c r="M48" s="53">
        <f t="shared" si="6"/>
        <v>0</v>
      </c>
      <c r="O48" s="404">
        <f t="shared" si="7"/>
        <v>0</v>
      </c>
    </row>
    <row r="49" spans="1:15" ht="15.5">
      <c r="A49" s="47"/>
      <c r="B49" s="387"/>
      <c r="C49" s="388"/>
      <c r="D49" s="389">
        <f t="shared" si="4"/>
        <v>0</v>
      </c>
      <c r="E49" s="388"/>
      <c r="F49" s="390">
        <f t="shared" si="5"/>
        <v>0</v>
      </c>
      <c r="G49" s="763"/>
      <c r="H49" s="763"/>
      <c r="I49" s="388"/>
      <c r="J49" s="388"/>
      <c r="L49" s="402">
        <f>IF(J49="Swing",D49*'Crew Mix'!$J$23,IF(J49="Graveyard",D49*'Crew Mix'!$K$23,IF(J49="Special",D49*'Crew Mix'!$L$23,0)))</f>
        <v>0</v>
      </c>
      <c r="M49" s="53">
        <f t="shared" si="6"/>
        <v>0</v>
      </c>
      <c r="O49" s="404">
        <f t="shared" si="7"/>
        <v>0</v>
      </c>
    </row>
    <row r="50" spans="1:15" ht="15.5">
      <c r="A50" s="47"/>
      <c r="B50" s="387"/>
      <c r="C50" s="388"/>
      <c r="D50" s="389">
        <f t="shared" si="4"/>
        <v>0</v>
      </c>
      <c r="E50" s="388"/>
      <c r="F50" s="390">
        <f t="shared" si="5"/>
        <v>0</v>
      </c>
      <c r="G50" s="763"/>
      <c r="H50" s="763"/>
      <c r="I50" s="388"/>
      <c r="J50" s="388"/>
      <c r="L50" s="402">
        <f>IF(J50="Swing",D50*'Crew Mix'!$J$23,IF(J50="Graveyard",D50*'Crew Mix'!$K$23,IF(J50="Special",D50*'Crew Mix'!$L$23,0)))</f>
        <v>0</v>
      </c>
      <c r="M50" s="53">
        <f t="shared" si="6"/>
        <v>0</v>
      </c>
      <c r="O50" s="404">
        <f t="shared" si="7"/>
        <v>0</v>
      </c>
    </row>
    <row r="51" spans="1:15" ht="15.5">
      <c r="A51" s="47"/>
      <c r="B51" s="387"/>
      <c r="C51" s="388"/>
      <c r="D51" s="389">
        <f t="shared" si="4"/>
        <v>0</v>
      </c>
      <c r="E51" s="388"/>
      <c r="F51" s="390">
        <f t="shared" si="5"/>
        <v>0</v>
      </c>
      <c r="G51" s="763"/>
      <c r="H51" s="763"/>
      <c r="I51" s="388"/>
      <c r="J51" s="388"/>
      <c r="L51" s="402">
        <f>IF(J51="Swing",D51*'Crew Mix'!$J$23,IF(J51="Graveyard",D51*'Crew Mix'!$K$23,IF(J51="Special",D51*'Crew Mix'!$L$23,0)))</f>
        <v>0</v>
      </c>
      <c r="M51" s="53">
        <f t="shared" si="6"/>
        <v>0</v>
      </c>
      <c r="O51" s="404">
        <f t="shared" si="7"/>
        <v>0</v>
      </c>
    </row>
    <row r="52" spans="1:15" ht="15.5">
      <c r="A52" s="47"/>
      <c r="B52" s="387"/>
      <c r="C52" s="388"/>
      <c r="D52" s="389">
        <f t="shared" si="4"/>
        <v>0</v>
      </c>
      <c r="E52" s="388"/>
      <c r="F52" s="390">
        <f t="shared" si="5"/>
        <v>0</v>
      </c>
      <c r="G52" s="763"/>
      <c r="H52" s="763"/>
      <c r="I52" s="388"/>
      <c r="J52" s="388"/>
      <c r="L52" s="402">
        <f>IF(J52="Swing",D52*'Crew Mix'!$J$23,IF(J52="Graveyard",D52*'Crew Mix'!$K$23,IF(J52="Special",D52*'Crew Mix'!$L$23,0)))</f>
        <v>0</v>
      </c>
      <c r="M52" s="53">
        <f t="shared" si="6"/>
        <v>0</v>
      </c>
      <c r="O52" s="404">
        <f t="shared" si="7"/>
        <v>0</v>
      </c>
    </row>
    <row r="53" spans="1:15" ht="15.5">
      <c r="A53" s="47"/>
      <c r="B53" s="387"/>
      <c r="C53" s="388"/>
      <c r="D53" s="389">
        <f t="shared" si="4"/>
        <v>0</v>
      </c>
      <c r="E53" s="388"/>
      <c r="F53" s="390">
        <f t="shared" si="5"/>
        <v>0</v>
      </c>
      <c r="G53" s="763"/>
      <c r="H53" s="763"/>
      <c r="I53" s="388"/>
      <c r="J53" s="388"/>
      <c r="L53" s="402">
        <f>IF(J53="Swing",D53*'Crew Mix'!$J$23,IF(J53="Graveyard",D53*'Crew Mix'!$K$23,IF(J53="Special",D53*'Crew Mix'!$L$23,0)))</f>
        <v>0</v>
      </c>
      <c r="M53" s="53">
        <f t="shared" si="6"/>
        <v>0</v>
      </c>
      <c r="O53" s="404">
        <f t="shared" si="7"/>
        <v>0</v>
      </c>
    </row>
    <row r="54" spans="1:15" ht="15.5">
      <c r="A54" s="47"/>
      <c r="B54" s="387"/>
      <c r="C54" s="388"/>
      <c r="D54" s="389">
        <f t="shared" si="4"/>
        <v>0</v>
      </c>
      <c r="E54" s="388"/>
      <c r="F54" s="390">
        <f t="shared" si="5"/>
        <v>0</v>
      </c>
      <c r="G54" s="763"/>
      <c r="H54" s="763"/>
      <c r="I54" s="388"/>
      <c r="J54" s="388"/>
      <c r="L54" s="402">
        <f>IF(J54="Swing",D54*'Crew Mix'!$J$23,IF(J54="Graveyard",D54*'Crew Mix'!$K$23,IF(J54="Special",D54*'Crew Mix'!$L$23,0)))</f>
        <v>0</v>
      </c>
      <c r="M54" s="53">
        <f t="shared" si="6"/>
        <v>0</v>
      </c>
      <c r="O54" s="404">
        <f t="shared" si="7"/>
        <v>0</v>
      </c>
    </row>
    <row r="55" spans="1:15" ht="15.5">
      <c r="A55" s="47"/>
      <c r="B55" s="387"/>
      <c r="C55" s="388"/>
      <c r="D55" s="389">
        <f t="shared" si="4"/>
        <v>0</v>
      </c>
      <c r="E55" s="388"/>
      <c r="F55" s="390">
        <f t="shared" si="5"/>
        <v>0</v>
      </c>
      <c r="G55" s="763"/>
      <c r="H55" s="763"/>
      <c r="I55" s="388"/>
      <c r="J55" s="388"/>
      <c r="L55" s="402">
        <f>IF(J55="Swing",D55*'Crew Mix'!$J$23,IF(J55="Graveyard",D55*'Crew Mix'!$K$23,IF(J55="Special",D55*'Crew Mix'!$L$23,0)))</f>
        <v>0</v>
      </c>
      <c r="M55" s="53">
        <f t="shared" si="6"/>
        <v>0</v>
      </c>
      <c r="O55" s="404">
        <f t="shared" si="7"/>
        <v>0</v>
      </c>
    </row>
    <row r="56" spans="1:15" ht="15.5">
      <c r="A56" s="47"/>
      <c r="B56" s="387"/>
      <c r="C56" s="388"/>
      <c r="D56" s="389">
        <f t="shared" si="4"/>
        <v>0</v>
      </c>
      <c r="E56" s="388"/>
      <c r="F56" s="390">
        <f t="shared" si="5"/>
        <v>0</v>
      </c>
      <c r="G56" s="763"/>
      <c r="H56" s="763"/>
      <c r="I56" s="388"/>
      <c r="J56" s="388"/>
      <c r="L56" s="402">
        <f>IF(J56="Swing",D56*'Crew Mix'!$J$23,IF(J56="Graveyard",D56*'Crew Mix'!$K$23,IF(J56="Special",D56*'Crew Mix'!$L$23,0)))</f>
        <v>0</v>
      </c>
      <c r="M56" s="53">
        <f t="shared" si="6"/>
        <v>0</v>
      </c>
      <c r="O56" s="404">
        <f t="shared" si="7"/>
        <v>0</v>
      </c>
    </row>
    <row r="57" spans="1:15" ht="15.5">
      <c r="A57" s="47"/>
      <c r="B57" s="387"/>
      <c r="C57" s="388"/>
      <c r="D57" s="389">
        <f t="shared" si="4"/>
        <v>0</v>
      </c>
      <c r="E57" s="388"/>
      <c r="F57" s="390">
        <f t="shared" si="5"/>
        <v>0</v>
      </c>
      <c r="G57" s="763"/>
      <c r="H57" s="763"/>
      <c r="I57" s="388"/>
      <c r="J57" s="388"/>
      <c r="L57" s="402">
        <f>IF(J57="Swing",D57*'Crew Mix'!$J$23,IF(J57="Graveyard",D57*'Crew Mix'!$K$23,IF(J57="Special",D57*'Crew Mix'!$L$23,0)))</f>
        <v>0</v>
      </c>
      <c r="M57" s="53">
        <f t="shared" si="6"/>
        <v>0</v>
      </c>
      <c r="O57" s="404">
        <f t="shared" si="7"/>
        <v>0</v>
      </c>
    </row>
    <row r="58" spans="1:15" ht="15.5">
      <c r="A58" s="47"/>
      <c r="B58" s="387"/>
      <c r="C58" s="388"/>
      <c r="D58" s="389">
        <f t="shared" si="4"/>
        <v>0</v>
      </c>
      <c r="E58" s="388"/>
      <c r="F58" s="390">
        <f t="shared" si="5"/>
        <v>0</v>
      </c>
      <c r="G58" s="763"/>
      <c r="H58" s="763"/>
      <c r="I58" s="388"/>
      <c r="J58" s="388"/>
      <c r="L58" s="402">
        <f>IF(J58="Swing",D58*'Crew Mix'!$J$23,IF(J58="Graveyard",D58*'Crew Mix'!$K$23,IF(J58="Special",D58*'Crew Mix'!$L$23,0)))</f>
        <v>0</v>
      </c>
      <c r="M58" s="53">
        <f t="shared" si="6"/>
        <v>0</v>
      </c>
      <c r="O58" s="404">
        <f t="shared" si="7"/>
        <v>0</v>
      </c>
    </row>
    <row r="59" spans="1:15" ht="15.5">
      <c r="A59" s="47"/>
      <c r="B59" s="387"/>
      <c r="C59" s="388"/>
      <c r="D59" s="389">
        <f t="shared" si="4"/>
        <v>0</v>
      </c>
      <c r="E59" s="388"/>
      <c r="F59" s="390">
        <f t="shared" si="5"/>
        <v>0</v>
      </c>
      <c r="G59" s="763"/>
      <c r="H59" s="763"/>
      <c r="I59" s="388"/>
      <c r="J59" s="388"/>
      <c r="L59" s="402">
        <f>IF(J59="Swing",D59*'Crew Mix'!$J$23,IF(J59="Graveyard",D59*'Crew Mix'!$K$23,IF(J59="Special",D59*'Crew Mix'!$L$23,0)))</f>
        <v>0</v>
      </c>
      <c r="M59" s="53">
        <f t="shared" si="6"/>
        <v>0</v>
      </c>
      <c r="O59" s="404">
        <f t="shared" si="7"/>
        <v>0</v>
      </c>
    </row>
    <row r="60" spans="1:15" ht="21">
      <c r="A60" s="48"/>
      <c r="B60" s="391"/>
      <c r="C60" s="392"/>
      <c r="D60" s="393">
        <f>SUM(D34:D59)</f>
        <v>0</v>
      </c>
      <c r="E60" s="394"/>
      <c r="F60" s="390">
        <f>SUM(F34:F59)</f>
        <v>0</v>
      </c>
      <c r="H60" s="395" t="s">
        <v>189</v>
      </c>
      <c r="I60" s="396" t="s">
        <v>125</v>
      </c>
    </row>
    <row r="62" spans="1:15" ht="15" thickBot="1"/>
    <row r="63" spans="1:15" ht="54.5" thickBot="1">
      <c r="A63" s="49" t="s">
        <v>1176</v>
      </c>
      <c r="B63" s="49" t="s">
        <v>81</v>
      </c>
      <c r="C63" s="383" t="s">
        <v>88</v>
      </c>
      <c r="D63" s="383" t="s">
        <v>89</v>
      </c>
      <c r="E63" s="383" t="s">
        <v>82</v>
      </c>
      <c r="F63" s="384" t="s">
        <v>83</v>
      </c>
      <c r="G63" s="768" t="s">
        <v>84</v>
      </c>
      <c r="H63" s="769"/>
      <c r="I63" s="385" t="s">
        <v>719</v>
      </c>
      <c r="J63" s="385" t="s">
        <v>1158</v>
      </c>
    </row>
    <row r="64" spans="1:15" ht="15.5">
      <c r="A64" s="46"/>
      <c r="B64" s="386"/>
      <c r="C64" s="386"/>
      <c r="D64" s="386"/>
      <c r="E64" s="386"/>
      <c r="F64" s="386"/>
      <c r="G64" s="766"/>
      <c r="H64" s="767"/>
      <c r="I64" s="386"/>
      <c r="J64" s="386"/>
      <c r="L64" s="53" t="s">
        <v>1181</v>
      </c>
      <c r="M64" s="53" t="s">
        <v>1182</v>
      </c>
      <c r="O64" s="53" t="s">
        <v>1184</v>
      </c>
    </row>
    <row r="65" spans="1:15" ht="15.5">
      <c r="A65" s="47"/>
      <c r="B65" s="387"/>
      <c r="C65" s="388"/>
      <c r="D65" s="389">
        <f t="shared" ref="D65:D90" si="8">IF($I$91="Yes",0,SUM(B65*C65))</f>
        <v>0</v>
      </c>
      <c r="E65" s="388"/>
      <c r="F65" s="390">
        <f t="shared" ref="F65:F90" si="9">IF($I$91="Yes",0,B65*E65)</f>
        <v>0</v>
      </c>
      <c r="G65" s="763"/>
      <c r="H65" s="763"/>
      <c r="I65" s="388"/>
      <c r="J65" s="388"/>
      <c r="L65" s="402">
        <f>IF(J65="Swing",D65*'Crew Mix'!$J$23,IF(J65="Graveyard",D65*'Crew Mix'!$K$23,IF(J65="Special",D65*'Crew Mix'!$L$23,0)))</f>
        <v>0</v>
      </c>
      <c r="M65" s="53">
        <f>IF(L65&gt;0,D65,0)</f>
        <v>0</v>
      </c>
      <c r="O65" s="404">
        <f>ROUND(IF(J65="Swing",C65*$P$2,IF(J65="Graveyard",C65*$Q$2,0)),2)</f>
        <v>0</v>
      </c>
    </row>
    <row r="66" spans="1:15" ht="15.5">
      <c r="A66" s="47"/>
      <c r="B66" s="387"/>
      <c r="C66" s="388"/>
      <c r="D66" s="389">
        <f t="shared" si="8"/>
        <v>0</v>
      </c>
      <c r="E66" s="388"/>
      <c r="F66" s="390">
        <f t="shared" si="9"/>
        <v>0</v>
      </c>
      <c r="G66" s="763"/>
      <c r="H66" s="763"/>
      <c r="I66" s="388"/>
      <c r="J66" s="388"/>
      <c r="L66" s="402">
        <f>IF(J66="Swing",D66*'Crew Mix'!$J$23,IF(J66="Graveyard",D66*'Crew Mix'!$K$23,IF(J66="Special",D66*'Crew Mix'!$L$23,0)))</f>
        <v>0</v>
      </c>
      <c r="M66" s="53">
        <f t="shared" ref="M66:M90" si="10">IF(L66&gt;0,D66,0)</f>
        <v>0</v>
      </c>
      <c r="O66" s="404">
        <f t="shared" ref="O66:O90" si="11">ROUND(IF(J66="Swing",C66*$P$2,IF(J66="Graveyard",C66*$Q$2,0)),2)</f>
        <v>0</v>
      </c>
    </row>
    <row r="67" spans="1:15" ht="15.5">
      <c r="A67" s="47"/>
      <c r="B67" s="387"/>
      <c r="C67" s="388"/>
      <c r="D67" s="389">
        <f t="shared" si="8"/>
        <v>0</v>
      </c>
      <c r="E67" s="388"/>
      <c r="F67" s="390">
        <f t="shared" si="9"/>
        <v>0</v>
      </c>
      <c r="G67" s="763"/>
      <c r="H67" s="763"/>
      <c r="I67" s="388"/>
      <c r="J67" s="388"/>
      <c r="L67" s="402">
        <f>IF(J67="Swing",D67*'Crew Mix'!$J$23,IF(J67="Graveyard",D67*'Crew Mix'!$K$23,IF(J67="Special",D67*'Crew Mix'!$L$23,0)))</f>
        <v>0</v>
      </c>
      <c r="M67" s="53">
        <f t="shared" si="10"/>
        <v>0</v>
      </c>
      <c r="O67" s="404">
        <f t="shared" si="11"/>
        <v>0</v>
      </c>
    </row>
    <row r="68" spans="1:15" ht="15.5">
      <c r="A68" s="47"/>
      <c r="B68" s="387"/>
      <c r="C68" s="388"/>
      <c r="D68" s="389">
        <f t="shared" si="8"/>
        <v>0</v>
      </c>
      <c r="E68" s="388"/>
      <c r="F68" s="390">
        <f t="shared" si="9"/>
        <v>0</v>
      </c>
      <c r="G68" s="763"/>
      <c r="H68" s="763"/>
      <c r="I68" s="388"/>
      <c r="J68" s="388"/>
      <c r="L68" s="402">
        <f>IF(J68="Swing",D68*'Crew Mix'!$J$23,IF(J68="Graveyard",D68*'Crew Mix'!$K$23,IF(J68="Special",D68*'Crew Mix'!$L$23,0)))</f>
        <v>0</v>
      </c>
      <c r="M68" s="53">
        <f t="shared" si="10"/>
        <v>0</v>
      </c>
      <c r="O68" s="404">
        <f t="shared" si="11"/>
        <v>0</v>
      </c>
    </row>
    <row r="69" spans="1:15" ht="15.5">
      <c r="A69" s="47"/>
      <c r="B69" s="387"/>
      <c r="C69" s="388"/>
      <c r="D69" s="389">
        <f t="shared" si="8"/>
        <v>0</v>
      </c>
      <c r="E69" s="388"/>
      <c r="F69" s="390">
        <f t="shared" si="9"/>
        <v>0</v>
      </c>
      <c r="G69" s="763"/>
      <c r="H69" s="763"/>
      <c r="I69" s="388"/>
      <c r="J69" s="388"/>
      <c r="L69" s="402">
        <f>IF(J69="Swing",D69*'Crew Mix'!$J$23,IF(J69="Graveyard",D69*'Crew Mix'!$K$23,IF(J69="Special",D69*'Crew Mix'!$L$23,0)))</f>
        <v>0</v>
      </c>
      <c r="M69" s="53">
        <f t="shared" si="10"/>
        <v>0</v>
      </c>
      <c r="O69" s="404">
        <f t="shared" si="11"/>
        <v>0</v>
      </c>
    </row>
    <row r="70" spans="1:15" ht="15.5">
      <c r="A70" s="47"/>
      <c r="B70" s="387"/>
      <c r="C70" s="388"/>
      <c r="D70" s="389">
        <f t="shared" si="8"/>
        <v>0</v>
      </c>
      <c r="E70" s="388"/>
      <c r="F70" s="390">
        <f t="shared" si="9"/>
        <v>0</v>
      </c>
      <c r="G70" s="763"/>
      <c r="H70" s="763"/>
      <c r="I70" s="388"/>
      <c r="J70" s="388"/>
      <c r="L70" s="402">
        <f>IF(J70="Swing",D70*'Crew Mix'!$J$23,IF(J70="Graveyard",D70*'Crew Mix'!$K$23,IF(J70="Special",D70*'Crew Mix'!$L$23,0)))</f>
        <v>0</v>
      </c>
      <c r="M70" s="53">
        <f t="shared" si="10"/>
        <v>0</v>
      </c>
      <c r="O70" s="404">
        <f t="shared" si="11"/>
        <v>0</v>
      </c>
    </row>
    <row r="71" spans="1:15" ht="15.5">
      <c r="A71" s="47"/>
      <c r="B71" s="387"/>
      <c r="C71" s="388"/>
      <c r="D71" s="389">
        <f t="shared" si="8"/>
        <v>0</v>
      </c>
      <c r="E71" s="388"/>
      <c r="F71" s="390">
        <f t="shared" si="9"/>
        <v>0</v>
      </c>
      <c r="G71" s="763"/>
      <c r="H71" s="763"/>
      <c r="I71" s="388"/>
      <c r="J71" s="388"/>
      <c r="L71" s="402">
        <f>IF(J71="Swing",D71*'Crew Mix'!$J$23,IF(J71="Graveyard",D71*'Crew Mix'!$K$23,IF(J71="Special",D71*'Crew Mix'!$L$23,0)))</f>
        <v>0</v>
      </c>
      <c r="M71" s="53">
        <f t="shared" si="10"/>
        <v>0</v>
      </c>
      <c r="O71" s="404">
        <f t="shared" si="11"/>
        <v>0</v>
      </c>
    </row>
    <row r="72" spans="1:15" ht="15.5">
      <c r="A72" s="47"/>
      <c r="B72" s="387"/>
      <c r="C72" s="388"/>
      <c r="D72" s="389">
        <f t="shared" si="8"/>
        <v>0</v>
      </c>
      <c r="E72" s="388"/>
      <c r="F72" s="390">
        <f t="shared" si="9"/>
        <v>0</v>
      </c>
      <c r="G72" s="763"/>
      <c r="H72" s="763"/>
      <c r="I72" s="388"/>
      <c r="J72" s="388"/>
      <c r="L72" s="402">
        <f>IF(J72="Swing",D72*'Crew Mix'!$J$23,IF(J72="Graveyard",D72*'Crew Mix'!$K$23,IF(J72="Special",D72*'Crew Mix'!$L$23,0)))</f>
        <v>0</v>
      </c>
      <c r="M72" s="53">
        <f t="shared" si="10"/>
        <v>0</v>
      </c>
      <c r="O72" s="404">
        <f t="shared" si="11"/>
        <v>0</v>
      </c>
    </row>
    <row r="73" spans="1:15" ht="15.5">
      <c r="A73" s="47"/>
      <c r="B73" s="387"/>
      <c r="C73" s="388"/>
      <c r="D73" s="389">
        <f t="shared" si="8"/>
        <v>0</v>
      </c>
      <c r="E73" s="388"/>
      <c r="F73" s="390">
        <f t="shared" si="9"/>
        <v>0</v>
      </c>
      <c r="G73" s="763"/>
      <c r="H73" s="763"/>
      <c r="I73" s="388"/>
      <c r="J73" s="388"/>
      <c r="L73" s="402">
        <f>IF(J73="Swing",D73*'Crew Mix'!$J$23,IF(J73="Graveyard",D73*'Crew Mix'!$K$23,IF(J73="Special",D73*'Crew Mix'!$L$23,0)))</f>
        <v>0</v>
      </c>
      <c r="M73" s="53">
        <f t="shared" si="10"/>
        <v>0</v>
      </c>
      <c r="O73" s="404">
        <f t="shared" si="11"/>
        <v>0</v>
      </c>
    </row>
    <row r="74" spans="1:15" ht="15.5">
      <c r="A74" s="47"/>
      <c r="B74" s="387"/>
      <c r="C74" s="388"/>
      <c r="D74" s="389">
        <f t="shared" si="8"/>
        <v>0</v>
      </c>
      <c r="E74" s="388"/>
      <c r="F74" s="390">
        <f t="shared" si="9"/>
        <v>0</v>
      </c>
      <c r="G74" s="763"/>
      <c r="H74" s="763"/>
      <c r="I74" s="388"/>
      <c r="J74" s="388"/>
      <c r="L74" s="402">
        <f>IF(J74="Swing",D74*'Crew Mix'!$J$23,IF(J74="Graveyard",D74*'Crew Mix'!$K$23,IF(J74="Special",D74*'Crew Mix'!$L$23,0)))</f>
        <v>0</v>
      </c>
      <c r="M74" s="53">
        <f t="shared" si="10"/>
        <v>0</v>
      </c>
      <c r="O74" s="404">
        <f t="shared" si="11"/>
        <v>0</v>
      </c>
    </row>
    <row r="75" spans="1:15" ht="15.5">
      <c r="A75" s="47"/>
      <c r="B75" s="387"/>
      <c r="C75" s="388"/>
      <c r="D75" s="389">
        <f t="shared" si="8"/>
        <v>0</v>
      </c>
      <c r="E75" s="388"/>
      <c r="F75" s="390">
        <f t="shared" si="9"/>
        <v>0</v>
      </c>
      <c r="G75" s="763"/>
      <c r="H75" s="763"/>
      <c r="I75" s="388"/>
      <c r="J75" s="388"/>
      <c r="L75" s="402">
        <f>IF(J75="Swing",D75*'Crew Mix'!$J$23,IF(J75="Graveyard",D75*'Crew Mix'!$K$23,IF(J75="Special",D75*'Crew Mix'!$L$23,0)))</f>
        <v>0</v>
      </c>
      <c r="M75" s="53">
        <f t="shared" si="10"/>
        <v>0</v>
      </c>
      <c r="O75" s="404">
        <f t="shared" si="11"/>
        <v>0</v>
      </c>
    </row>
    <row r="76" spans="1:15" ht="15.5">
      <c r="A76" s="47"/>
      <c r="B76" s="387"/>
      <c r="C76" s="388"/>
      <c r="D76" s="389">
        <f t="shared" si="8"/>
        <v>0</v>
      </c>
      <c r="E76" s="388"/>
      <c r="F76" s="390">
        <f t="shared" si="9"/>
        <v>0</v>
      </c>
      <c r="G76" s="763"/>
      <c r="H76" s="763"/>
      <c r="I76" s="388"/>
      <c r="J76" s="388"/>
      <c r="L76" s="402">
        <f>IF(J76="Swing",D76*'Crew Mix'!$J$23,IF(J76="Graveyard",D76*'Crew Mix'!$K$23,IF(J76="Special",D76*'Crew Mix'!$L$23,0)))</f>
        <v>0</v>
      </c>
      <c r="M76" s="53">
        <f t="shared" si="10"/>
        <v>0</v>
      </c>
      <c r="O76" s="404">
        <f t="shared" si="11"/>
        <v>0</v>
      </c>
    </row>
    <row r="77" spans="1:15" ht="15.5">
      <c r="A77" s="47"/>
      <c r="B77" s="387"/>
      <c r="C77" s="388"/>
      <c r="D77" s="389">
        <f t="shared" si="8"/>
        <v>0</v>
      </c>
      <c r="E77" s="388"/>
      <c r="F77" s="390">
        <f t="shared" si="9"/>
        <v>0</v>
      </c>
      <c r="G77" s="763"/>
      <c r="H77" s="763"/>
      <c r="I77" s="388"/>
      <c r="J77" s="388"/>
      <c r="L77" s="402">
        <f>IF(J77="Swing",D77*'Crew Mix'!$J$23,IF(J77="Graveyard",D77*'Crew Mix'!$K$23,IF(J77="Special",D77*'Crew Mix'!$L$23,0)))</f>
        <v>0</v>
      </c>
      <c r="M77" s="53">
        <f t="shared" si="10"/>
        <v>0</v>
      </c>
      <c r="O77" s="404">
        <f t="shared" si="11"/>
        <v>0</v>
      </c>
    </row>
    <row r="78" spans="1:15" ht="15.5">
      <c r="A78" s="47"/>
      <c r="B78" s="387"/>
      <c r="C78" s="388"/>
      <c r="D78" s="389">
        <f t="shared" si="8"/>
        <v>0</v>
      </c>
      <c r="E78" s="388"/>
      <c r="F78" s="390">
        <f t="shared" si="9"/>
        <v>0</v>
      </c>
      <c r="G78" s="763"/>
      <c r="H78" s="763"/>
      <c r="I78" s="388"/>
      <c r="J78" s="388"/>
      <c r="L78" s="402">
        <f>IF(J78="Swing",D78*'Crew Mix'!$J$23,IF(J78="Graveyard",D78*'Crew Mix'!$K$23,IF(J78="Special",D78*'Crew Mix'!$L$23,0)))</f>
        <v>0</v>
      </c>
      <c r="M78" s="53">
        <f t="shared" si="10"/>
        <v>0</v>
      </c>
      <c r="O78" s="404">
        <f t="shared" si="11"/>
        <v>0</v>
      </c>
    </row>
    <row r="79" spans="1:15" ht="15.5">
      <c r="A79" s="47"/>
      <c r="B79" s="387"/>
      <c r="C79" s="388"/>
      <c r="D79" s="389">
        <f t="shared" si="8"/>
        <v>0</v>
      </c>
      <c r="E79" s="388"/>
      <c r="F79" s="390">
        <f t="shared" si="9"/>
        <v>0</v>
      </c>
      <c r="G79" s="763"/>
      <c r="H79" s="763"/>
      <c r="I79" s="388"/>
      <c r="J79" s="388"/>
      <c r="L79" s="402">
        <f>IF(J79="Swing",D79*'Crew Mix'!$J$23,IF(J79="Graveyard",D79*'Crew Mix'!$K$23,IF(J79="Special",D79*'Crew Mix'!$L$23,0)))</f>
        <v>0</v>
      </c>
      <c r="M79" s="53">
        <f t="shared" si="10"/>
        <v>0</v>
      </c>
      <c r="O79" s="404">
        <f t="shared" si="11"/>
        <v>0</v>
      </c>
    </row>
    <row r="80" spans="1:15" ht="15.5">
      <c r="A80" s="47"/>
      <c r="B80" s="387"/>
      <c r="C80" s="388"/>
      <c r="D80" s="389">
        <f t="shared" si="8"/>
        <v>0</v>
      </c>
      <c r="E80" s="388"/>
      <c r="F80" s="390">
        <f t="shared" si="9"/>
        <v>0</v>
      </c>
      <c r="G80" s="763"/>
      <c r="H80" s="763"/>
      <c r="I80" s="388"/>
      <c r="J80" s="388"/>
      <c r="L80" s="402">
        <f>IF(J80="Swing",D80*'Crew Mix'!$J$23,IF(J80="Graveyard",D80*'Crew Mix'!$K$23,IF(J80="Special",D80*'Crew Mix'!$L$23,0)))</f>
        <v>0</v>
      </c>
      <c r="M80" s="53">
        <f t="shared" si="10"/>
        <v>0</v>
      </c>
      <c r="O80" s="404">
        <f t="shared" si="11"/>
        <v>0</v>
      </c>
    </row>
    <row r="81" spans="1:15" ht="15.5">
      <c r="A81" s="47"/>
      <c r="B81" s="387"/>
      <c r="C81" s="388"/>
      <c r="D81" s="389">
        <f t="shared" si="8"/>
        <v>0</v>
      </c>
      <c r="E81" s="388"/>
      <c r="F81" s="390">
        <f t="shared" si="9"/>
        <v>0</v>
      </c>
      <c r="G81" s="763"/>
      <c r="H81" s="763"/>
      <c r="I81" s="388"/>
      <c r="J81" s="388"/>
      <c r="L81" s="402">
        <f>IF(J81="Swing",D81*'Crew Mix'!$J$23,IF(J81="Graveyard",D81*'Crew Mix'!$K$23,IF(J81="Special",D81*'Crew Mix'!$L$23,0)))</f>
        <v>0</v>
      </c>
      <c r="M81" s="53">
        <f t="shared" si="10"/>
        <v>0</v>
      </c>
      <c r="O81" s="404">
        <f t="shared" si="11"/>
        <v>0</v>
      </c>
    </row>
    <row r="82" spans="1:15" ht="15.5">
      <c r="A82" s="47"/>
      <c r="B82" s="387"/>
      <c r="C82" s="388"/>
      <c r="D82" s="389">
        <f t="shared" si="8"/>
        <v>0</v>
      </c>
      <c r="E82" s="388"/>
      <c r="F82" s="390">
        <f t="shared" si="9"/>
        <v>0</v>
      </c>
      <c r="G82" s="763"/>
      <c r="H82" s="763"/>
      <c r="I82" s="388"/>
      <c r="J82" s="388"/>
      <c r="L82" s="402">
        <f>IF(J82="Swing",D82*'Crew Mix'!$J$23,IF(J82="Graveyard",D82*'Crew Mix'!$K$23,IF(J82="Special",D82*'Crew Mix'!$L$23,0)))</f>
        <v>0</v>
      </c>
      <c r="M82" s="53">
        <f t="shared" si="10"/>
        <v>0</v>
      </c>
      <c r="O82" s="404">
        <f t="shared" si="11"/>
        <v>0</v>
      </c>
    </row>
    <row r="83" spans="1:15" ht="15.5">
      <c r="A83" s="47"/>
      <c r="B83" s="387"/>
      <c r="C83" s="388"/>
      <c r="D83" s="389">
        <f t="shared" si="8"/>
        <v>0</v>
      </c>
      <c r="E83" s="388"/>
      <c r="F83" s="390">
        <f t="shared" si="9"/>
        <v>0</v>
      </c>
      <c r="G83" s="763"/>
      <c r="H83" s="763"/>
      <c r="I83" s="388"/>
      <c r="J83" s="388"/>
      <c r="L83" s="402">
        <f>IF(J83="Swing",D83*'Crew Mix'!$J$23,IF(J83="Graveyard",D83*'Crew Mix'!$K$23,IF(J83="Special",D83*'Crew Mix'!$L$23,0)))</f>
        <v>0</v>
      </c>
      <c r="M83" s="53">
        <f t="shared" si="10"/>
        <v>0</v>
      </c>
      <c r="O83" s="404">
        <f t="shared" si="11"/>
        <v>0</v>
      </c>
    </row>
    <row r="84" spans="1:15" ht="15.5">
      <c r="A84" s="47"/>
      <c r="B84" s="387"/>
      <c r="C84" s="388"/>
      <c r="D84" s="389">
        <f t="shared" si="8"/>
        <v>0</v>
      </c>
      <c r="E84" s="388"/>
      <c r="F84" s="390">
        <f t="shared" si="9"/>
        <v>0</v>
      </c>
      <c r="G84" s="763"/>
      <c r="H84" s="763"/>
      <c r="I84" s="388"/>
      <c r="J84" s="388"/>
      <c r="L84" s="402">
        <f>IF(J84="Swing",D84*'Crew Mix'!$J$23,IF(J84="Graveyard",D84*'Crew Mix'!$K$23,IF(J84="Special",D84*'Crew Mix'!$L$23,0)))</f>
        <v>0</v>
      </c>
      <c r="M84" s="53">
        <f t="shared" si="10"/>
        <v>0</v>
      </c>
      <c r="O84" s="404">
        <f t="shared" si="11"/>
        <v>0</v>
      </c>
    </row>
    <row r="85" spans="1:15" ht="15.5">
      <c r="A85" s="47"/>
      <c r="B85" s="387"/>
      <c r="C85" s="388"/>
      <c r="D85" s="389">
        <f t="shared" si="8"/>
        <v>0</v>
      </c>
      <c r="E85" s="388"/>
      <c r="F85" s="390">
        <f t="shared" si="9"/>
        <v>0</v>
      </c>
      <c r="G85" s="763"/>
      <c r="H85" s="763"/>
      <c r="I85" s="388"/>
      <c r="J85" s="388"/>
      <c r="L85" s="402">
        <f>IF(J85="Swing",D85*'Crew Mix'!$J$23,IF(J85="Graveyard",D85*'Crew Mix'!$K$23,IF(J85="Special",D85*'Crew Mix'!$L$23,0)))</f>
        <v>0</v>
      </c>
      <c r="M85" s="53">
        <f t="shared" si="10"/>
        <v>0</v>
      </c>
      <c r="O85" s="404">
        <f t="shared" si="11"/>
        <v>0</v>
      </c>
    </row>
    <row r="86" spans="1:15" ht="15.5">
      <c r="A86" s="47"/>
      <c r="B86" s="387"/>
      <c r="C86" s="388"/>
      <c r="D86" s="389">
        <f t="shared" si="8"/>
        <v>0</v>
      </c>
      <c r="E86" s="388"/>
      <c r="F86" s="390">
        <f t="shared" si="9"/>
        <v>0</v>
      </c>
      <c r="G86" s="763"/>
      <c r="H86" s="763"/>
      <c r="I86" s="388"/>
      <c r="J86" s="388"/>
      <c r="L86" s="402">
        <f>IF(J86="Swing",D86*'Crew Mix'!$J$23,IF(J86="Graveyard",D86*'Crew Mix'!$K$23,IF(J86="Special",D86*'Crew Mix'!$L$23,0)))</f>
        <v>0</v>
      </c>
      <c r="M86" s="53">
        <f t="shared" si="10"/>
        <v>0</v>
      </c>
      <c r="O86" s="404">
        <f t="shared" si="11"/>
        <v>0</v>
      </c>
    </row>
    <row r="87" spans="1:15" ht="15.5">
      <c r="A87" s="47"/>
      <c r="B87" s="387"/>
      <c r="C87" s="388"/>
      <c r="D87" s="389">
        <f t="shared" si="8"/>
        <v>0</v>
      </c>
      <c r="E87" s="388"/>
      <c r="F87" s="390">
        <f t="shared" si="9"/>
        <v>0</v>
      </c>
      <c r="G87" s="763"/>
      <c r="H87" s="763"/>
      <c r="I87" s="388"/>
      <c r="J87" s="388"/>
      <c r="L87" s="402">
        <f>IF(J87="Swing",D87*'Crew Mix'!$J$23,IF(J87="Graveyard",D87*'Crew Mix'!$K$23,IF(J87="Special",D87*'Crew Mix'!$L$23,0)))</f>
        <v>0</v>
      </c>
      <c r="M87" s="53">
        <f t="shared" si="10"/>
        <v>0</v>
      </c>
      <c r="O87" s="404">
        <f t="shared" si="11"/>
        <v>0</v>
      </c>
    </row>
    <row r="88" spans="1:15" ht="15.5">
      <c r="A88" s="47"/>
      <c r="B88" s="387"/>
      <c r="C88" s="388"/>
      <c r="D88" s="389">
        <f t="shared" si="8"/>
        <v>0</v>
      </c>
      <c r="E88" s="388"/>
      <c r="F88" s="390">
        <f t="shared" si="9"/>
        <v>0</v>
      </c>
      <c r="G88" s="763"/>
      <c r="H88" s="763"/>
      <c r="I88" s="388"/>
      <c r="J88" s="388"/>
      <c r="L88" s="402">
        <f>IF(J88="Swing",D88*'Crew Mix'!$J$23,IF(J88="Graveyard",D88*'Crew Mix'!$K$23,IF(J88="Special",D88*'Crew Mix'!$L$23,0)))</f>
        <v>0</v>
      </c>
      <c r="M88" s="53">
        <f t="shared" si="10"/>
        <v>0</v>
      </c>
      <c r="O88" s="404">
        <f t="shared" si="11"/>
        <v>0</v>
      </c>
    </row>
    <row r="89" spans="1:15" ht="15.5">
      <c r="A89" s="47"/>
      <c r="B89" s="387"/>
      <c r="C89" s="388"/>
      <c r="D89" s="389">
        <f t="shared" si="8"/>
        <v>0</v>
      </c>
      <c r="E89" s="388"/>
      <c r="F89" s="390">
        <f t="shared" si="9"/>
        <v>0</v>
      </c>
      <c r="G89" s="763"/>
      <c r="H89" s="763"/>
      <c r="I89" s="388"/>
      <c r="J89" s="388"/>
      <c r="L89" s="402">
        <f>IF(J89="Swing",D89*'Crew Mix'!$J$23,IF(J89="Graveyard",D89*'Crew Mix'!$K$23,IF(J89="Special",D89*'Crew Mix'!$L$23,0)))</f>
        <v>0</v>
      </c>
      <c r="M89" s="53">
        <f t="shared" si="10"/>
        <v>0</v>
      </c>
      <c r="O89" s="404">
        <f t="shared" si="11"/>
        <v>0</v>
      </c>
    </row>
    <row r="90" spans="1:15" ht="15.5">
      <c r="A90" s="47"/>
      <c r="B90" s="387"/>
      <c r="C90" s="388"/>
      <c r="D90" s="389">
        <f t="shared" si="8"/>
        <v>0</v>
      </c>
      <c r="E90" s="388"/>
      <c r="F90" s="390">
        <f t="shared" si="9"/>
        <v>0</v>
      </c>
      <c r="G90" s="763"/>
      <c r="H90" s="763"/>
      <c r="I90" s="388"/>
      <c r="J90" s="388"/>
      <c r="L90" s="402">
        <f>IF(J90="Swing",D90*'Crew Mix'!$J$23,IF(J90="Graveyard",D90*'Crew Mix'!$K$23,IF(J90="Special",D90*'Crew Mix'!$L$23,0)))</f>
        <v>0</v>
      </c>
      <c r="M90" s="53">
        <f t="shared" si="10"/>
        <v>0</v>
      </c>
      <c r="O90" s="404">
        <f t="shared" si="11"/>
        <v>0</v>
      </c>
    </row>
    <row r="91" spans="1:15" ht="21">
      <c r="A91" s="48"/>
      <c r="B91" s="391"/>
      <c r="C91" s="392"/>
      <c r="D91" s="393">
        <f>SUM(D65:D90)</f>
        <v>0</v>
      </c>
      <c r="E91" s="394"/>
      <c r="F91" s="390">
        <f>SUM(F65:F90)</f>
        <v>0</v>
      </c>
      <c r="H91" s="395" t="s">
        <v>189</v>
      </c>
      <c r="I91" s="396" t="s">
        <v>125</v>
      </c>
    </row>
    <row r="92" spans="1:15" ht="15" thickBot="1"/>
    <row r="93" spans="1:15" ht="15" thickBot="1">
      <c r="B93" s="397" t="s">
        <v>85</v>
      </c>
      <c r="C93" s="398"/>
      <c r="D93" s="399">
        <f>SUM(D91,D60,D29)</f>
        <v>0</v>
      </c>
      <c r="E93" s="398"/>
      <c r="F93" s="400">
        <f>SUM(F91,F29,F60)</f>
        <v>0</v>
      </c>
      <c r="G93" s="401"/>
    </row>
  </sheetData>
  <sheetProtection algorithmName="SHA-512" hashValue="pXPJ5kAWtXlsrWFMXjIsB8G8tcJKQQ/prx/5ysWMcy32NuUmpYPHAf+3fyQx3pNTwqQeOILkmmCogbTusdVhOQ==" saltValue="sOSepfCwwPWZ2Uqf5+z0mw==" spinCount="100000" sheet="1" objects="1" scenarios="1" formatCells="0" autoFilter="0"/>
  <mergeCells count="84">
    <mergeCell ref="G90:H90"/>
    <mergeCell ref="G79:H79"/>
    <mergeCell ref="G80:H80"/>
    <mergeCell ref="G81:H81"/>
    <mergeCell ref="G82:H82"/>
    <mergeCell ref="G83:H83"/>
    <mergeCell ref="G84:H84"/>
    <mergeCell ref="G85:H85"/>
    <mergeCell ref="G86:H86"/>
    <mergeCell ref="G87:H87"/>
    <mergeCell ref="G88:H88"/>
    <mergeCell ref="G89:H89"/>
    <mergeCell ref="G78:H78"/>
    <mergeCell ref="G67:H67"/>
    <mergeCell ref="G68:H68"/>
    <mergeCell ref="G69:H69"/>
    <mergeCell ref="G70:H70"/>
    <mergeCell ref="G71:H71"/>
    <mergeCell ref="G72:H72"/>
    <mergeCell ref="G73:H73"/>
    <mergeCell ref="G74:H74"/>
    <mergeCell ref="G75:H75"/>
    <mergeCell ref="G76:H76"/>
    <mergeCell ref="G77:H77"/>
    <mergeCell ref="G66:H66"/>
    <mergeCell ref="G52:H52"/>
    <mergeCell ref="G53:H53"/>
    <mergeCell ref="G54:H54"/>
    <mergeCell ref="G55:H55"/>
    <mergeCell ref="G56:H56"/>
    <mergeCell ref="G57:H57"/>
    <mergeCell ref="G58:H58"/>
    <mergeCell ref="G59:H59"/>
    <mergeCell ref="G63:H63"/>
    <mergeCell ref="G64:H64"/>
    <mergeCell ref="G65:H65"/>
    <mergeCell ref="G51:H51"/>
    <mergeCell ref="G40:H40"/>
    <mergeCell ref="G41:H41"/>
    <mergeCell ref="G42:H42"/>
    <mergeCell ref="G43:H43"/>
    <mergeCell ref="G44:H44"/>
    <mergeCell ref="G45:H45"/>
    <mergeCell ref="G46:H46"/>
    <mergeCell ref="G47:H47"/>
    <mergeCell ref="G48:H48"/>
    <mergeCell ref="G49:H49"/>
    <mergeCell ref="G50:H50"/>
    <mergeCell ref="G39:H39"/>
    <mergeCell ref="G25:H25"/>
    <mergeCell ref="G26:H26"/>
    <mergeCell ref="G27:H27"/>
    <mergeCell ref="G28:H28"/>
    <mergeCell ref="G32:H32"/>
    <mergeCell ref="G33:H33"/>
    <mergeCell ref="G34:H34"/>
    <mergeCell ref="G35:H35"/>
    <mergeCell ref="G36:H36"/>
    <mergeCell ref="G37:H37"/>
    <mergeCell ref="G38:H38"/>
    <mergeCell ref="G24:H24"/>
    <mergeCell ref="G13:H13"/>
    <mergeCell ref="G14:H14"/>
    <mergeCell ref="G15:H15"/>
    <mergeCell ref="G16:H16"/>
    <mergeCell ref="G17:H17"/>
    <mergeCell ref="G18:H18"/>
    <mergeCell ref="G19:H19"/>
    <mergeCell ref="G20:H20"/>
    <mergeCell ref="G21:H21"/>
    <mergeCell ref="G22:H22"/>
    <mergeCell ref="G23:H23"/>
    <mergeCell ref="G12:H12"/>
    <mergeCell ref="G1:H1"/>
    <mergeCell ref="G2:H2"/>
    <mergeCell ref="G3:H3"/>
    <mergeCell ref="G4:H4"/>
    <mergeCell ref="G5:H5"/>
    <mergeCell ref="G6:H6"/>
    <mergeCell ref="G7:H7"/>
    <mergeCell ref="G8:H8"/>
    <mergeCell ref="G9:H9"/>
    <mergeCell ref="G10:H10"/>
    <mergeCell ref="G11:H11"/>
  </mergeCells>
  <conditionalFormatting sqref="A1:J1 B63:H63 B32:J32">
    <cfRule type="expression" dxfId="14" priority="13">
      <formula>$I29="Yes"</formula>
    </cfRule>
  </conditionalFormatting>
  <conditionalFormatting sqref="I63">
    <cfRule type="expression" dxfId="13" priority="12">
      <formula>$I91="Yes"</formula>
    </cfRule>
  </conditionalFormatting>
  <conditionalFormatting sqref="A32">
    <cfRule type="expression" dxfId="12" priority="9">
      <formula>$I60="Yes"</formula>
    </cfRule>
  </conditionalFormatting>
  <conditionalFormatting sqref="A63">
    <cfRule type="expression" dxfId="11" priority="8">
      <formula>$I91="Yes"</formula>
    </cfRule>
  </conditionalFormatting>
  <conditionalFormatting sqref="A34:I59 A65:I90 A3:I28">
    <cfRule type="expression" dxfId="10" priority="41">
      <formula>$I3="DBLT"</formula>
    </cfRule>
    <cfRule type="expression" dxfId="9" priority="42">
      <formula>$I3="OT"</formula>
    </cfRule>
  </conditionalFormatting>
  <conditionalFormatting sqref="J3:J28">
    <cfRule type="expression" dxfId="8" priority="6">
      <formula>$I3="DBLT"</formula>
    </cfRule>
    <cfRule type="expression" dxfId="7" priority="7">
      <formula>$I3="OT"</formula>
    </cfRule>
  </conditionalFormatting>
  <conditionalFormatting sqref="J34:J59">
    <cfRule type="expression" dxfId="6" priority="4">
      <formula>$I34="DBLT"</formula>
    </cfRule>
    <cfRule type="expression" dxfId="5" priority="5">
      <formula>$I34="OT"</formula>
    </cfRule>
  </conditionalFormatting>
  <conditionalFormatting sqref="J65:J90">
    <cfRule type="expression" dxfId="4" priority="2">
      <formula>$I65="DBLT"</formula>
    </cfRule>
    <cfRule type="expression" dxfId="3" priority="3">
      <formula>$I65="OT"</formula>
    </cfRule>
  </conditionalFormatting>
  <conditionalFormatting sqref="J63">
    <cfRule type="expression" dxfId="2" priority="1">
      <formula>$I91="Yes"</formula>
    </cfRule>
  </conditionalFormatting>
  <dataValidations count="3">
    <dataValidation type="list" allowBlank="1" showInputMessage="1" showErrorMessage="1" sqref="I29 I60 I91" xr:uid="{21954582-917C-4ACD-B5AB-449334D81359}">
      <formula1>"Yes,No"</formula1>
    </dataValidation>
    <dataValidation type="list" allowBlank="1" showInputMessage="1" showErrorMessage="1" sqref="I3:I28 I34:I59 I65:I90" xr:uid="{47701FC3-7D20-474F-AEFB-FAD03966D15C}">
      <formula1>"OT,DBLT"</formula1>
    </dataValidation>
    <dataValidation type="list" allowBlank="1" showInputMessage="1" showErrorMessage="1" sqref="J3:J28 J34:J59 J65:J90" xr:uid="{D4A892CD-0D69-4591-B2FF-5130464AE419}">
      <formula1>"Swing, Graveyard, Special"</formula1>
    </dataValidation>
  </dataValidations>
  <printOptions horizontalCentered="1"/>
  <pageMargins left="0.7" right="0.7" top="0.75" bottom="0.75" header="0.3" footer="0.3"/>
  <pageSetup scale="64" fitToHeight="3" orientation="landscape" horizontalDpi="1200" verticalDpi="1200" r:id="rId1"/>
  <headerFooter scaleWithDoc="0">
    <oddHeader>&amp;A</oddHeader>
    <oddFooter>&amp;L&amp;Z&amp;F&amp;RPage &amp;P</oddFooter>
  </headerFooter>
  <rowBreaks count="2" manualBreakCount="2">
    <brk id="31" max="9" man="1"/>
    <brk id="62" max="9"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S93"/>
  <sheetViews>
    <sheetView workbookViewId="0">
      <selection activeCell="B12" sqref="B12"/>
    </sheetView>
  </sheetViews>
  <sheetFormatPr defaultColWidth="9.1796875" defaultRowHeight="14.5"/>
  <cols>
    <col min="1" max="1" width="48" customWidth="1"/>
    <col min="2" max="6" width="10.1796875" customWidth="1"/>
    <col min="7" max="7" width="15.453125" customWidth="1"/>
    <col min="8" max="8" width="15.26953125" customWidth="1"/>
    <col min="10" max="10" width="54" customWidth="1"/>
    <col min="11" max="11" width="12.453125" customWidth="1"/>
    <col min="12" max="12" width="12.7265625" style="53" customWidth="1"/>
    <col min="13" max="13" width="9.1796875" style="53"/>
    <col min="14" max="15" width="11" style="53" customWidth="1"/>
    <col min="16" max="17" width="9.1796875" style="53"/>
  </cols>
  <sheetData>
    <row r="1" spans="1:19" ht="54.5" thickBot="1">
      <c r="A1" s="405" t="s">
        <v>1134</v>
      </c>
      <c r="B1" s="405" t="s">
        <v>81</v>
      </c>
      <c r="C1" s="50" t="s">
        <v>88</v>
      </c>
      <c r="D1" s="50" t="s">
        <v>89</v>
      </c>
      <c r="E1" s="51" t="s">
        <v>90</v>
      </c>
      <c r="F1" s="51" t="s">
        <v>91</v>
      </c>
      <c r="G1" s="50" t="s">
        <v>82</v>
      </c>
      <c r="H1" s="52" t="s">
        <v>83</v>
      </c>
      <c r="I1" s="553" t="s">
        <v>84</v>
      </c>
      <c r="J1" s="554"/>
      <c r="K1" s="51" t="s">
        <v>719</v>
      </c>
      <c r="L1" s="385" t="s">
        <v>1158</v>
      </c>
      <c r="N1" s="402">
        <f>SUM(N2:N90)</f>
        <v>0</v>
      </c>
      <c r="O1" s="53">
        <f>SUM(O2:O90)</f>
        <v>0</v>
      </c>
      <c r="P1" s="402">
        <f>SUM(P2:P90)</f>
        <v>0</v>
      </c>
      <c r="Q1" s="53">
        <f>SUM(Q2:Q90)</f>
        <v>0</v>
      </c>
    </row>
    <row r="2" spans="1:19" ht="15.5">
      <c r="A2" s="406"/>
      <c r="B2" s="407"/>
      <c r="C2" s="407"/>
      <c r="D2" s="407"/>
      <c r="E2" s="407"/>
      <c r="F2" s="407"/>
      <c r="G2" s="407"/>
      <c r="H2" s="407"/>
      <c r="I2" s="555"/>
      <c r="J2" s="556"/>
      <c r="K2" s="407"/>
      <c r="L2" s="386"/>
      <c r="N2" s="53" t="s">
        <v>1203</v>
      </c>
      <c r="O2" s="53" t="s">
        <v>1204</v>
      </c>
      <c r="P2" s="53" t="s">
        <v>1205</v>
      </c>
      <c r="Q2" s="53" t="s">
        <v>1206</v>
      </c>
      <c r="R2" s="53"/>
      <c r="S2" s="53"/>
    </row>
    <row r="3" spans="1:19" ht="15.5">
      <c r="A3" s="408"/>
      <c r="B3" s="409"/>
      <c r="C3" s="410"/>
      <c r="D3" s="411">
        <f>IF($K$29="Yes",0,SUM(B3*C3))</f>
        <v>0</v>
      </c>
      <c r="E3" s="410"/>
      <c r="F3" s="411">
        <f>IF($K$29="Yes",0,SUM(B3*E3))</f>
        <v>0</v>
      </c>
      <c r="G3" s="410"/>
      <c r="H3" s="412">
        <f>IF($K$29="Yes",0,B3*G3)</f>
        <v>0</v>
      </c>
      <c r="I3" s="552"/>
      <c r="J3" s="552"/>
      <c r="K3" s="410"/>
      <c r="L3" s="388"/>
      <c r="N3" s="402">
        <f>IF(L3="Swing",F3*'Crew Mix'!$J$43,IF(L3="Graveyard",F3*'Crew Mix'!$K$43,IF(L3="Special",F3*'Crew Mix'!$L$43,0)))</f>
        <v>0</v>
      </c>
      <c r="O3" s="53">
        <f>IF(N3&gt;0,F3,0)</f>
        <v>0</v>
      </c>
      <c r="P3" s="402">
        <f>IF(L3="Swing",D3*'Crew Mix'!$J$43,IF(L3="Graveyard",D3*'Crew Mix'!$K$43,IF(L3="Special",D3*'Crew Mix'!$L$43,0)))</f>
        <v>0</v>
      </c>
      <c r="Q3" s="53">
        <f>IF(P3&gt;0,D3,0)</f>
        <v>0</v>
      </c>
    </row>
    <row r="4" spans="1:19" ht="15.5">
      <c r="A4" s="408"/>
      <c r="B4" s="409"/>
      <c r="C4" s="410"/>
      <c r="D4" s="411">
        <f t="shared" ref="D4:D28" si="0">IF($K$29="Yes",0,SUM(B4*C4))</f>
        <v>0</v>
      </c>
      <c r="E4" s="410"/>
      <c r="F4" s="411">
        <f t="shared" ref="F4:F28" si="1">IF($K$29="Yes",0,SUM(B4*E4))</f>
        <v>0</v>
      </c>
      <c r="G4" s="410"/>
      <c r="H4" s="412">
        <f t="shared" ref="H4:H28" si="2">IF($K$29="Yes",0,B4*G4)</f>
        <v>0</v>
      </c>
      <c r="I4" s="552"/>
      <c r="J4" s="552"/>
      <c r="K4" s="410"/>
      <c r="L4" s="388"/>
      <c r="N4" s="402">
        <f>IF(L4="Swing",F4*'Crew Mix'!$J$43,IF(L4="Graveyard",F4*'Crew Mix'!$K$43,IF(L4="Special",F4*'Crew Mix'!$L$43,0)))</f>
        <v>0</v>
      </c>
      <c r="O4" s="53">
        <f t="shared" ref="O4:O28" si="3">IF(N4&gt;0,F4,0)</f>
        <v>0</v>
      </c>
      <c r="P4" s="402">
        <f>IF(L4="Swing",D4*'Crew Mix'!$J$43,IF(L4="Graveyard",D4*'Crew Mix'!$K$43,IF(L4="Special",D4*'Crew Mix'!$L$43,0)))</f>
        <v>0</v>
      </c>
      <c r="Q4" s="53">
        <f t="shared" ref="Q4:Q28" si="4">IF(P4&gt;0,D4,0)</f>
        <v>0</v>
      </c>
    </row>
    <row r="5" spans="1:19" ht="15.5">
      <c r="A5" s="408"/>
      <c r="B5" s="409"/>
      <c r="C5" s="410"/>
      <c r="D5" s="411">
        <f t="shared" si="0"/>
        <v>0</v>
      </c>
      <c r="E5" s="410"/>
      <c r="F5" s="411">
        <f t="shared" si="1"/>
        <v>0</v>
      </c>
      <c r="G5" s="410"/>
      <c r="H5" s="412">
        <f t="shared" si="2"/>
        <v>0</v>
      </c>
      <c r="I5" s="552"/>
      <c r="J5" s="552"/>
      <c r="K5" s="410"/>
      <c r="L5" s="388"/>
      <c r="N5" s="402">
        <f>IF(L5="Swing",F5*'Crew Mix'!$J$43,IF(L5="Graveyard",F5*'Crew Mix'!$K$43,IF(L5="Special",F5*'Crew Mix'!$L$43,0)))</f>
        <v>0</v>
      </c>
      <c r="O5" s="53">
        <f t="shared" si="3"/>
        <v>0</v>
      </c>
      <c r="P5" s="402">
        <f>IF(L5="Swing",D5*'Crew Mix'!$J$43,IF(L5="Graveyard",D5*'Crew Mix'!$K$43,IF(L5="Special",D5*'Crew Mix'!$L$43,0)))</f>
        <v>0</v>
      </c>
      <c r="Q5" s="53">
        <f t="shared" si="4"/>
        <v>0</v>
      </c>
    </row>
    <row r="6" spans="1:19" ht="15.5">
      <c r="A6" s="408"/>
      <c r="B6" s="409"/>
      <c r="C6" s="410"/>
      <c r="D6" s="411">
        <f t="shared" si="0"/>
        <v>0</v>
      </c>
      <c r="E6" s="410"/>
      <c r="F6" s="411">
        <f t="shared" si="1"/>
        <v>0</v>
      </c>
      <c r="G6" s="410"/>
      <c r="H6" s="412">
        <f t="shared" si="2"/>
        <v>0</v>
      </c>
      <c r="I6" s="552"/>
      <c r="J6" s="552"/>
      <c r="K6" s="410"/>
      <c r="L6" s="388"/>
      <c r="N6" s="402">
        <f>IF(L6="Swing",F6*'Crew Mix'!$J$43,IF(L6="Graveyard",F6*'Crew Mix'!$K$43,IF(L6="Special",F6*'Crew Mix'!$L$43,0)))</f>
        <v>0</v>
      </c>
      <c r="O6" s="53">
        <f t="shared" si="3"/>
        <v>0</v>
      </c>
      <c r="P6" s="402">
        <f>IF(L6="Swing",D6*'Crew Mix'!$J$43,IF(L6="Graveyard",D6*'Crew Mix'!$K$43,IF(L6="Special",D6*'Crew Mix'!$L$43,0)))</f>
        <v>0</v>
      </c>
      <c r="Q6" s="53">
        <f t="shared" si="4"/>
        <v>0</v>
      </c>
    </row>
    <row r="7" spans="1:19" ht="15.5">
      <c r="A7" s="408"/>
      <c r="B7" s="409"/>
      <c r="C7" s="410"/>
      <c r="D7" s="411">
        <f t="shared" si="0"/>
        <v>0</v>
      </c>
      <c r="E7" s="410"/>
      <c r="F7" s="411">
        <f t="shared" si="1"/>
        <v>0</v>
      </c>
      <c r="G7" s="410"/>
      <c r="H7" s="412">
        <f t="shared" si="2"/>
        <v>0</v>
      </c>
      <c r="I7" s="552"/>
      <c r="J7" s="552"/>
      <c r="K7" s="410"/>
      <c r="L7" s="388"/>
      <c r="N7" s="402">
        <f>IF(L7="Swing",F7*'Crew Mix'!$J$43,IF(L7="Graveyard",F7*'Crew Mix'!$K$43,IF(L7="Special",F7*'Crew Mix'!$L$43,0)))</f>
        <v>0</v>
      </c>
      <c r="O7" s="53">
        <f t="shared" si="3"/>
        <v>0</v>
      </c>
      <c r="P7" s="402">
        <f>IF(L7="Swing",D7*'Crew Mix'!$J$43,IF(L7="Graveyard",D7*'Crew Mix'!$K$43,IF(L7="Special",D7*'Crew Mix'!$L$43,0)))</f>
        <v>0</v>
      </c>
      <c r="Q7" s="53">
        <f t="shared" si="4"/>
        <v>0</v>
      </c>
    </row>
    <row r="8" spans="1:19" ht="15.5">
      <c r="A8" s="408"/>
      <c r="B8" s="409"/>
      <c r="C8" s="410"/>
      <c r="D8" s="411">
        <f t="shared" si="0"/>
        <v>0</v>
      </c>
      <c r="E8" s="410"/>
      <c r="F8" s="411">
        <f t="shared" si="1"/>
        <v>0</v>
      </c>
      <c r="G8" s="410"/>
      <c r="H8" s="412">
        <f t="shared" si="2"/>
        <v>0</v>
      </c>
      <c r="I8" s="552"/>
      <c r="J8" s="552"/>
      <c r="K8" s="410"/>
      <c r="L8" s="388"/>
      <c r="N8" s="402">
        <f>IF(L8="Swing",F8*'Crew Mix'!$J$43,IF(L8="Graveyard",F8*'Crew Mix'!$K$43,IF(L8="Special",F8*'Crew Mix'!$L$43,0)))</f>
        <v>0</v>
      </c>
      <c r="O8" s="53">
        <f t="shared" si="3"/>
        <v>0</v>
      </c>
      <c r="P8" s="402">
        <f>IF(L8="Swing",D8*'Crew Mix'!$J$43,IF(L8="Graveyard",D8*'Crew Mix'!$K$43,IF(L8="Special",D8*'Crew Mix'!$L$43,0)))</f>
        <v>0</v>
      </c>
      <c r="Q8" s="53">
        <f t="shared" si="4"/>
        <v>0</v>
      </c>
    </row>
    <row r="9" spans="1:19" ht="15.5">
      <c r="A9" s="408"/>
      <c r="B9" s="409"/>
      <c r="C9" s="410"/>
      <c r="D9" s="411">
        <f t="shared" si="0"/>
        <v>0</v>
      </c>
      <c r="E9" s="410"/>
      <c r="F9" s="411">
        <f t="shared" si="1"/>
        <v>0</v>
      </c>
      <c r="G9" s="410"/>
      <c r="H9" s="412">
        <f t="shared" si="2"/>
        <v>0</v>
      </c>
      <c r="I9" s="552"/>
      <c r="J9" s="552"/>
      <c r="K9" s="410"/>
      <c r="L9" s="388"/>
      <c r="N9" s="402">
        <f>IF(L9="Swing",F9*'Crew Mix'!$J$43,IF(L9="Graveyard",F9*'Crew Mix'!$K$43,IF(L9="Special",F9*'Crew Mix'!$L$43,0)))</f>
        <v>0</v>
      </c>
      <c r="O9" s="53">
        <f t="shared" si="3"/>
        <v>0</v>
      </c>
      <c r="P9" s="402">
        <f>IF(L9="Swing",D9*'Crew Mix'!$J$43,IF(L9="Graveyard",D9*'Crew Mix'!$K$43,IF(L9="Special",D9*'Crew Mix'!$L$43,0)))</f>
        <v>0</v>
      </c>
      <c r="Q9" s="53">
        <f t="shared" si="4"/>
        <v>0</v>
      </c>
    </row>
    <row r="10" spans="1:19" ht="15.5">
      <c r="A10" s="408"/>
      <c r="B10" s="409"/>
      <c r="C10" s="410"/>
      <c r="D10" s="411">
        <f t="shared" si="0"/>
        <v>0</v>
      </c>
      <c r="E10" s="410"/>
      <c r="F10" s="411">
        <f t="shared" si="1"/>
        <v>0</v>
      </c>
      <c r="G10" s="410"/>
      <c r="H10" s="412">
        <f t="shared" si="2"/>
        <v>0</v>
      </c>
      <c r="I10" s="552"/>
      <c r="J10" s="552"/>
      <c r="K10" s="410"/>
      <c r="L10" s="388"/>
      <c r="N10" s="402">
        <f>IF(L10="Swing",F10*'Crew Mix'!$J$43,IF(L10="Graveyard",F10*'Crew Mix'!$K$43,IF(L10="Special",F10*'Crew Mix'!$L$43,0)))</f>
        <v>0</v>
      </c>
      <c r="O10" s="53">
        <f t="shared" si="3"/>
        <v>0</v>
      </c>
      <c r="P10" s="402">
        <f>IF(L10="Swing",D10*'Crew Mix'!$J$43,IF(L10="Graveyard",D10*'Crew Mix'!$K$43,IF(L10="Special",D10*'Crew Mix'!$L$43,0)))</f>
        <v>0</v>
      </c>
      <c r="Q10" s="53">
        <f t="shared" si="4"/>
        <v>0</v>
      </c>
    </row>
    <row r="11" spans="1:19" ht="15.5">
      <c r="A11" s="408"/>
      <c r="B11" s="409"/>
      <c r="C11" s="410"/>
      <c r="D11" s="411">
        <f t="shared" si="0"/>
        <v>0</v>
      </c>
      <c r="E11" s="410"/>
      <c r="F11" s="411">
        <f t="shared" si="1"/>
        <v>0</v>
      </c>
      <c r="G11" s="410"/>
      <c r="H11" s="412">
        <f t="shared" si="2"/>
        <v>0</v>
      </c>
      <c r="I11" s="552"/>
      <c r="J11" s="552"/>
      <c r="K11" s="410"/>
      <c r="L11" s="388"/>
      <c r="N11" s="402">
        <f>IF(L11="Swing",F11*'Crew Mix'!$J$43,IF(L11="Graveyard",F11*'Crew Mix'!$K$43,IF(L11="Special",F11*'Crew Mix'!$L$43,0)))</f>
        <v>0</v>
      </c>
      <c r="O11" s="53">
        <f t="shared" si="3"/>
        <v>0</v>
      </c>
      <c r="P11" s="402">
        <f>IF(L11="Swing",D11*'Crew Mix'!$J$43,IF(L11="Graveyard",D11*'Crew Mix'!$K$43,IF(L11="Special",D11*'Crew Mix'!$L$43,0)))</f>
        <v>0</v>
      </c>
      <c r="Q11" s="53">
        <f t="shared" si="4"/>
        <v>0</v>
      </c>
    </row>
    <row r="12" spans="1:19" ht="15.5">
      <c r="A12" s="408"/>
      <c r="B12" s="409"/>
      <c r="C12" s="410"/>
      <c r="D12" s="411">
        <f t="shared" si="0"/>
        <v>0</v>
      </c>
      <c r="E12" s="410"/>
      <c r="F12" s="411">
        <f t="shared" si="1"/>
        <v>0</v>
      </c>
      <c r="G12" s="410"/>
      <c r="H12" s="412">
        <f t="shared" si="2"/>
        <v>0</v>
      </c>
      <c r="I12" s="552"/>
      <c r="J12" s="552"/>
      <c r="K12" s="410"/>
      <c r="L12" s="388"/>
      <c r="N12" s="402">
        <f>IF(L12="Swing",F12*'Crew Mix'!$J$43,IF(L12="Graveyard",F12*'Crew Mix'!$K$43,IF(L12="Special",F12*'Crew Mix'!$L$43,0)))</f>
        <v>0</v>
      </c>
      <c r="O12" s="53">
        <f t="shared" si="3"/>
        <v>0</v>
      </c>
      <c r="P12" s="402">
        <f>IF(L12="Swing",D12*'Crew Mix'!$J$43,IF(L12="Graveyard",D12*'Crew Mix'!$K$43,IF(L12="Special",D12*'Crew Mix'!$L$43,0)))</f>
        <v>0</v>
      </c>
      <c r="Q12" s="53">
        <f t="shared" si="4"/>
        <v>0</v>
      </c>
    </row>
    <row r="13" spans="1:19" ht="15.5">
      <c r="A13" s="408"/>
      <c r="B13" s="409"/>
      <c r="C13" s="410"/>
      <c r="D13" s="411">
        <f t="shared" si="0"/>
        <v>0</v>
      </c>
      <c r="E13" s="410"/>
      <c r="F13" s="411">
        <f t="shared" si="1"/>
        <v>0</v>
      </c>
      <c r="G13" s="410"/>
      <c r="H13" s="412">
        <f t="shared" si="2"/>
        <v>0</v>
      </c>
      <c r="I13" s="552"/>
      <c r="J13" s="552"/>
      <c r="K13" s="410"/>
      <c r="L13" s="388"/>
      <c r="N13" s="402">
        <f>IF(L13="Swing",F13*'Crew Mix'!$J$43,IF(L13="Graveyard",F13*'Crew Mix'!$K$43,IF(L13="Special",F13*'Crew Mix'!$L$43,0)))</f>
        <v>0</v>
      </c>
      <c r="O13" s="53">
        <f t="shared" si="3"/>
        <v>0</v>
      </c>
      <c r="P13" s="402">
        <f>IF(L13="Swing",D13*'Crew Mix'!$J$43,IF(L13="Graveyard",D13*'Crew Mix'!$K$43,IF(L13="Special",D13*'Crew Mix'!$L$43,0)))</f>
        <v>0</v>
      </c>
      <c r="Q13" s="53">
        <f t="shared" si="4"/>
        <v>0</v>
      </c>
    </row>
    <row r="14" spans="1:19" ht="15.5">
      <c r="A14" s="408"/>
      <c r="B14" s="409"/>
      <c r="C14" s="410"/>
      <c r="D14" s="411">
        <f t="shared" si="0"/>
        <v>0</v>
      </c>
      <c r="E14" s="410"/>
      <c r="F14" s="411">
        <f t="shared" si="1"/>
        <v>0</v>
      </c>
      <c r="G14" s="410"/>
      <c r="H14" s="412">
        <f t="shared" si="2"/>
        <v>0</v>
      </c>
      <c r="I14" s="552"/>
      <c r="J14" s="552"/>
      <c r="K14" s="410"/>
      <c r="L14" s="388"/>
      <c r="N14" s="402">
        <f>IF(L14="Swing",F14*'Crew Mix'!$J$43,IF(L14="Graveyard",F14*'Crew Mix'!$K$43,IF(L14="Special",F14*'Crew Mix'!$L$43,0)))</f>
        <v>0</v>
      </c>
      <c r="O14" s="53">
        <f t="shared" si="3"/>
        <v>0</v>
      </c>
      <c r="P14" s="402">
        <f>IF(L14="Swing",D14*'Crew Mix'!$J$43,IF(L14="Graveyard",D14*'Crew Mix'!$K$43,IF(L14="Special",D14*'Crew Mix'!$L$43,0)))</f>
        <v>0</v>
      </c>
      <c r="Q14" s="53">
        <f t="shared" si="4"/>
        <v>0</v>
      </c>
    </row>
    <row r="15" spans="1:19" ht="15.5">
      <c r="A15" s="408"/>
      <c r="B15" s="409"/>
      <c r="C15" s="410"/>
      <c r="D15" s="411">
        <f t="shared" si="0"/>
        <v>0</v>
      </c>
      <c r="E15" s="410"/>
      <c r="F15" s="411">
        <f t="shared" si="1"/>
        <v>0</v>
      </c>
      <c r="G15" s="410"/>
      <c r="H15" s="412">
        <f t="shared" si="2"/>
        <v>0</v>
      </c>
      <c r="I15" s="552"/>
      <c r="J15" s="552"/>
      <c r="K15" s="410"/>
      <c r="L15" s="388"/>
      <c r="N15" s="402">
        <f>IF(L15="Swing",F15*'Crew Mix'!$J$43,IF(L15="Graveyard",F15*'Crew Mix'!$K$43,IF(L15="Special",F15*'Crew Mix'!$L$43,0)))</f>
        <v>0</v>
      </c>
      <c r="O15" s="53">
        <f t="shared" si="3"/>
        <v>0</v>
      </c>
      <c r="P15" s="402">
        <f>IF(L15="Swing",D15*'Crew Mix'!$J$43,IF(L15="Graveyard",D15*'Crew Mix'!$K$43,IF(L15="Special",D15*'Crew Mix'!$L$43,0)))</f>
        <v>0</v>
      </c>
      <c r="Q15" s="53">
        <f t="shared" si="4"/>
        <v>0</v>
      </c>
    </row>
    <row r="16" spans="1:19" ht="15.5">
      <c r="A16" s="408"/>
      <c r="B16" s="409"/>
      <c r="C16" s="410"/>
      <c r="D16" s="411">
        <f t="shared" si="0"/>
        <v>0</v>
      </c>
      <c r="E16" s="410"/>
      <c r="F16" s="411">
        <f t="shared" si="1"/>
        <v>0</v>
      </c>
      <c r="G16" s="410"/>
      <c r="H16" s="412">
        <f t="shared" si="2"/>
        <v>0</v>
      </c>
      <c r="I16" s="552"/>
      <c r="J16" s="552"/>
      <c r="K16" s="410"/>
      <c r="L16" s="388"/>
      <c r="N16" s="402">
        <f>IF(L16="Swing",F16*'Crew Mix'!$J$43,IF(L16="Graveyard",F16*'Crew Mix'!$K$43,IF(L16="Special",F16*'Crew Mix'!$L$43,0)))</f>
        <v>0</v>
      </c>
      <c r="O16" s="53">
        <f t="shared" si="3"/>
        <v>0</v>
      </c>
      <c r="P16" s="402">
        <f>IF(L16="Swing",D16*'Crew Mix'!$J$43,IF(L16="Graveyard",D16*'Crew Mix'!$K$43,IF(L16="Special",D16*'Crew Mix'!$L$43,0)))</f>
        <v>0</v>
      </c>
      <c r="Q16" s="53">
        <f t="shared" si="4"/>
        <v>0</v>
      </c>
    </row>
    <row r="17" spans="1:17" ht="15.5">
      <c r="A17" s="408"/>
      <c r="B17" s="409"/>
      <c r="C17" s="410"/>
      <c r="D17" s="411">
        <f t="shared" si="0"/>
        <v>0</v>
      </c>
      <c r="E17" s="410"/>
      <c r="F17" s="411">
        <f t="shared" si="1"/>
        <v>0</v>
      </c>
      <c r="G17" s="410"/>
      <c r="H17" s="412">
        <f t="shared" si="2"/>
        <v>0</v>
      </c>
      <c r="I17" s="552"/>
      <c r="J17" s="552"/>
      <c r="K17" s="410"/>
      <c r="L17" s="388"/>
      <c r="N17" s="402">
        <f>IF(L17="Swing",F17*'Crew Mix'!$J$43,IF(L17="Graveyard",F17*'Crew Mix'!$K$43,IF(L17="Special",F17*'Crew Mix'!$L$43,0)))</f>
        <v>0</v>
      </c>
      <c r="O17" s="53">
        <f t="shared" si="3"/>
        <v>0</v>
      </c>
      <c r="P17" s="402">
        <f>IF(L17="Swing",D17*'Crew Mix'!$J$43,IF(L17="Graveyard",D17*'Crew Mix'!$K$43,IF(L17="Special",D17*'Crew Mix'!$L$43,0)))</f>
        <v>0</v>
      </c>
      <c r="Q17" s="53">
        <f t="shared" si="4"/>
        <v>0</v>
      </c>
    </row>
    <row r="18" spans="1:17" ht="15.5">
      <c r="A18" s="408"/>
      <c r="B18" s="409"/>
      <c r="C18" s="410"/>
      <c r="D18" s="411">
        <f t="shared" si="0"/>
        <v>0</v>
      </c>
      <c r="E18" s="410"/>
      <c r="F18" s="411">
        <f t="shared" si="1"/>
        <v>0</v>
      </c>
      <c r="G18" s="410"/>
      <c r="H18" s="412">
        <f t="shared" si="2"/>
        <v>0</v>
      </c>
      <c r="I18" s="552"/>
      <c r="J18" s="552"/>
      <c r="K18" s="410"/>
      <c r="L18" s="388"/>
      <c r="N18" s="402">
        <f>IF(L18="Swing",F18*'Crew Mix'!$J$43,IF(L18="Graveyard",F18*'Crew Mix'!$K$43,IF(L18="Special",F18*'Crew Mix'!$L$43,0)))</f>
        <v>0</v>
      </c>
      <c r="O18" s="53">
        <f t="shared" si="3"/>
        <v>0</v>
      </c>
      <c r="P18" s="402">
        <f>IF(L18="Swing",D18*'Crew Mix'!$J$43,IF(L18="Graveyard",D18*'Crew Mix'!$K$43,IF(L18="Special",D18*'Crew Mix'!$L$43,0)))</f>
        <v>0</v>
      </c>
      <c r="Q18" s="53">
        <f t="shared" si="4"/>
        <v>0</v>
      </c>
    </row>
    <row r="19" spans="1:17" ht="15.5">
      <c r="A19" s="408"/>
      <c r="B19" s="409"/>
      <c r="C19" s="410"/>
      <c r="D19" s="411">
        <f t="shared" si="0"/>
        <v>0</v>
      </c>
      <c r="E19" s="410"/>
      <c r="F19" s="411">
        <f t="shared" si="1"/>
        <v>0</v>
      </c>
      <c r="G19" s="410"/>
      <c r="H19" s="412">
        <f t="shared" si="2"/>
        <v>0</v>
      </c>
      <c r="I19" s="552"/>
      <c r="J19" s="552"/>
      <c r="K19" s="410"/>
      <c r="L19" s="388"/>
      <c r="N19" s="402">
        <f>IF(L19="Swing",F19*'Crew Mix'!$J$43,IF(L19="Graveyard",F19*'Crew Mix'!$K$43,IF(L19="Special",F19*'Crew Mix'!$L$43,0)))</f>
        <v>0</v>
      </c>
      <c r="O19" s="53">
        <f t="shared" si="3"/>
        <v>0</v>
      </c>
      <c r="P19" s="402">
        <f>IF(L19="Swing",D19*'Crew Mix'!$J$43,IF(L19="Graveyard",D19*'Crew Mix'!$K$43,IF(L19="Special",D19*'Crew Mix'!$L$43,0)))</f>
        <v>0</v>
      </c>
      <c r="Q19" s="53">
        <f t="shared" si="4"/>
        <v>0</v>
      </c>
    </row>
    <row r="20" spans="1:17" ht="15.5">
      <c r="A20" s="408"/>
      <c r="B20" s="409"/>
      <c r="C20" s="410"/>
      <c r="D20" s="411">
        <f t="shared" si="0"/>
        <v>0</v>
      </c>
      <c r="E20" s="410"/>
      <c r="F20" s="411">
        <f t="shared" si="1"/>
        <v>0</v>
      </c>
      <c r="G20" s="410"/>
      <c r="H20" s="412">
        <f t="shared" si="2"/>
        <v>0</v>
      </c>
      <c r="I20" s="552"/>
      <c r="J20" s="552"/>
      <c r="K20" s="410"/>
      <c r="L20" s="388"/>
      <c r="N20" s="402">
        <f>IF(L20="Swing",F20*'Crew Mix'!$J$43,IF(L20="Graveyard",F20*'Crew Mix'!$K$43,IF(L20="Special",F20*'Crew Mix'!$L$43,0)))</f>
        <v>0</v>
      </c>
      <c r="O20" s="53">
        <f t="shared" si="3"/>
        <v>0</v>
      </c>
      <c r="P20" s="402">
        <f>IF(L20="Swing",D20*'Crew Mix'!$J$43,IF(L20="Graveyard",D20*'Crew Mix'!$K$43,IF(L20="Special",D20*'Crew Mix'!$L$43,0)))</f>
        <v>0</v>
      </c>
      <c r="Q20" s="53">
        <f t="shared" si="4"/>
        <v>0</v>
      </c>
    </row>
    <row r="21" spans="1:17" ht="15.5">
      <c r="A21" s="408"/>
      <c r="B21" s="409"/>
      <c r="C21" s="410"/>
      <c r="D21" s="411">
        <f t="shared" si="0"/>
        <v>0</v>
      </c>
      <c r="E21" s="410"/>
      <c r="F21" s="411">
        <f t="shared" si="1"/>
        <v>0</v>
      </c>
      <c r="G21" s="410"/>
      <c r="H21" s="412">
        <f t="shared" si="2"/>
        <v>0</v>
      </c>
      <c r="I21" s="552"/>
      <c r="J21" s="552"/>
      <c r="K21" s="410"/>
      <c r="L21" s="388"/>
      <c r="N21" s="402">
        <f>IF(L21="Swing",F21*'Crew Mix'!$J$43,IF(L21="Graveyard",F21*'Crew Mix'!$K$43,IF(L21="Special",F21*'Crew Mix'!$L$43,0)))</f>
        <v>0</v>
      </c>
      <c r="O21" s="53">
        <f t="shared" si="3"/>
        <v>0</v>
      </c>
      <c r="P21" s="402">
        <f>IF(L21="Swing",D21*'Crew Mix'!$J$43,IF(L21="Graveyard",D21*'Crew Mix'!$K$43,IF(L21="Special",D21*'Crew Mix'!$L$43,0)))</f>
        <v>0</v>
      </c>
      <c r="Q21" s="53">
        <f t="shared" si="4"/>
        <v>0</v>
      </c>
    </row>
    <row r="22" spans="1:17" ht="15.5">
      <c r="A22" s="408"/>
      <c r="B22" s="409"/>
      <c r="C22" s="410"/>
      <c r="D22" s="411">
        <f t="shared" si="0"/>
        <v>0</v>
      </c>
      <c r="E22" s="410"/>
      <c r="F22" s="411">
        <f t="shared" si="1"/>
        <v>0</v>
      </c>
      <c r="G22" s="410"/>
      <c r="H22" s="412">
        <f t="shared" si="2"/>
        <v>0</v>
      </c>
      <c r="I22" s="552"/>
      <c r="J22" s="552"/>
      <c r="K22" s="410"/>
      <c r="L22" s="388"/>
      <c r="N22" s="402">
        <f>IF(L22="Swing",F22*'Crew Mix'!$J$43,IF(L22="Graveyard",F22*'Crew Mix'!$K$43,IF(L22="Special",F22*'Crew Mix'!$L$43,0)))</f>
        <v>0</v>
      </c>
      <c r="O22" s="53">
        <f t="shared" si="3"/>
        <v>0</v>
      </c>
      <c r="P22" s="402">
        <f>IF(L22="Swing",D22*'Crew Mix'!$J$43,IF(L22="Graveyard",D22*'Crew Mix'!$K$43,IF(L22="Special",D22*'Crew Mix'!$L$43,0)))</f>
        <v>0</v>
      </c>
      <c r="Q22" s="53">
        <f t="shared" si="4"/>
        <v>0</v>
      </c>
    </row>
    <row r="23" spans="1:17" ht="15.5">
      <c r="A23" s="408"/>
      <c r="B23" s="409"/>
      <c r="C23" s="410"/>
      <c r="D23" s="411">
        <f t="shared" si="0"/>
        <v>0</v>
      </c>
      <c r="E23" s="410"/>
      <c r="F23" s="411">
        <f t="shared" si="1"/>
        <v>0</v>
      </c>
      <c r="G23" s="410"/>
      <c r="H23" s="412">
        <f t="shared" si="2"/>
        <v>0</v>
      </c>
      <c r="I23" s="552"/>
      <c r="J23" s="552"/>
      <c r="K23" s="410"/>
      <c r="L23" s="388"/>
      <c r="N23" s="402">
        <f>IF(L23="Swing",F23*'Crew Mix'!$J$43,IF(L23="Graveyard",F23*'Crew Mix'!$K$43,IF(L23="Special",F23*'Crew Mix'!$L$43,0)))</f>
        <v>0</v>
      </c>
      <c r="O23" s="53">
        <f t="shared" si="3"/>
        <v>0</v>
      </c>
      <c r="P23" s="402">
        <f>IF(L23="Swing",D23*'Crew Mix'!$J$43,IF(L23="Graveyard",D23*'Crew Mix'!$K$43,IF(L23="Special",D23*'Crew Mix'!$L$43,0)))</f>
        <v>0</v>
      </c>
      <c r="Q23" s="53">
        <f t="shared" si="4"/>
        <v>0</v>
      </c>
    </row>
    <row r="24" spans="1:17" ht="15.5">
      <c r="A24" s="408"/>
      <c r="B24" s="409"/>
      <c r="C24" s="410"/>
      <c r="D24" s="411">
        <f t="shared" si="0"/>
        <v>0</v>
      </c>
      <c r="E24" s="410"/>
      <c r="F24" s="411">
        <f t="shared" si="1"/>
        <v>0</v>
      </c>
      <c r="G24" s="410"/>
      <c r="H24" s="412">
        <f t="shared" si="2"/>
        <v>0</v>
      </c>
      <c r="I24" s="552"/>
      <c r="J24" s="552"/>
      <c r="K24" s="410"/>
      <c r="L24" s="388"/>
      <c r="N24" s="402">
        <f>IF(L24="Swing",F24*'Crew Mix'!$J$43,IF(L24="Graveyard",F24*'Crew Mix'!$K$43,IF(L24="Special",F24*'Crew Mix'!$L$43,0)))</f>
        <v>0</v>
      </c>
      <c r="O24" s="53">
        <f t="shared" si="3"/>
        <v>0</v>
      </c>
      <c r="P24" s="402">
        <f>IF(L24="Swing",D24*'Crew Mix'!$J$43,IF(L24="Graveyard",D24*'Crew Mix'!$K$43,IF(L24="Special",D24*'Crew Mix'!$L$43,0)))</f>
        <v>0</v>
      </c>
      <c r="Q24" s="53">
        <f t="shared" si="4"/>
        <v>0</v>
      </c>
    </row>
    <row r="25" spans="1:17" ht="15.5">
      <c r="A25" s="408"/>
      <c r="B25" s="409"/>
      <c r="C25" s="410"/>
      <c r="D25" s="411">
        <f t="shared" si="0"/>
        <v>0</v>
      </c>
      <c r="E25" s="410"/>
      <c r="F25" s="411">
        <f t="shared" si="1"/>
        <v>0</v>
      </c>
      <c r="G25" s="410"/>
      <c r="H25" s="412">
        <f t="shared" si="2"/>
        <v>0</v>
      </c>
      <c r="I25" s="552"/>
      <c r="J25" s="552"/>
      <c r="K25" s="410"/>
      <c r="L25" s="388"/>
      <c r="N25" s="402">
        <f>IF(L25="Swing",F25*'Crew Mix'!$J$43,IF(L25="Graveyard",F25*'Crew Mix'!$K$43,IF(L25="Special",F25*'Crew Mix'!$L$43,0)))</f>
        <v>0</v>
      </c>
      <c r="O25" s="53">
        <f t="shared" si="3"/>
        <v>0</v>
      </c>
      <c r="P25" s="402">
        <f>IF(L25="Swing",D25*'Crew Mix'!$J$43,IF(L25="Graveyard",D25*'Crew Mix'!$K$43,IF(L25="Special",D25*'Crew Mix'!$L$43,0)))</f>
        <v>0</v>
      </c>
      <c r="Q25" s="53">
        <f t="shared" si="4"/>
        <v>0</v>
      </c>
    </row>
    <row r="26" spans="1:17" ht="15.5">
      <c r="A26" s="408"/>
      <c r="B26" s="409"/>
      <c r="C26" s="410"/>
      <c r="D26" s="411">
        <f t="shared" si="0"/>
        <v>0</v>
      </c>
      <c r="E26" s="410"/>
      <c r="F26" s="411">
        <f t="shared" si="1"/>
        <v>0</v>
      </c>
      <c r="G26" s="410"/>
      <c r="H26" s="412">
        <f t="shared" si="2"/>
        <v>0</v>
      </c>
      <c r="I26" s="552"/>
      <c r="J26" s="552"/>
      <c r="K26" s="410"/>
      <c r="L26" s="388"/>
      <c r="N26" s="402">
        <f>IF(L26="Swing",F26*'Crew Mix'!$J$43,IF(L26="Graveyard",F26*'Crew Mix'!$K$43,IF(L26="Special",F26*'Crew Mix'!$L$43,0)))</f>
        <v>0</v>
      </c>
      <c r="O26" s="53">
        <f t="shared" si="3"/>
        <v>0</v>
      </c>
      <c r="P26" s="402">
        <f>IF(L26="Swing",D26*'Crew Mix'!$J$43,IF(L26="Graveyard",D26*'Crew Mix'!$K$43,IF(L26="Special",D26*'Crew Mix'!$L$43,0)))</f>
        <v>0</v>
      </c>
      <c r="Q26" s="53">
        <f t="shared" si="4"/>
        <v>0</v>
      </c>
    </row>
    <row r="27" spans="1:17" ht="15.5">
      <c r="A27" s="408"/>
      <c r="B27" s="409"/>
      <c r="C27" s="410"/>
      <c r="D27" s="411">
        <f t="shared" si="0"/>
        <v>0</v>
      </c>
      <c r="E27" s="410"/>
      <c r="F27" s="411">
        <f t="shared" si="1"/>
        <v>0</v>
      </c>
      <c r="G27" s="410"/>
      <c r="H27" s="412">
        <f t="shared" si="2"/>
        <v>0</v>
      </c>
      <c r="I27" s="552"/>
      <c r="J27" s="552"/>
      <c r="K27" s="410"/>
      <c r="L27" s="388"/>
      <c r="N27" s="402">
        <f>IF(L27="Swing",F27*'Crew Mix'!$J$43,IF(L27="Graveyard",F27*'Crew Mix'!$K$43,IF(L27="Special",F27*'Crew Mix'!$L$43,0)))</f>
        <v>0</v>
      </c>
      <c r="O27" s="53">
        <f t="shared" si="3"/>
        <v>0</v>
      </c>
      <c r="P27" s="402">
        <f>IF(L27="Swing",D27*'Crew Mix'!$J$43,IF(L27="Graveyard",D27*'Crew Mix'!$K$43,IF(L27="Special",D27*'Crew Mix'!$L$43,0)))</f>
        <v>0</v>
      </c>
      <c r="Q27" s="53">
        <f t="shared" si="4"/>
        <v>0</v>
      </c>
    </row>
    <row r="28" spans="1:17" ht="15.5">
      <c r="A28" s="408"/>
      <c r="B28" s="409"/>
      <c r="C28" s="410"/>
      <c r="D28" s="411">
        <f t="shared" si="0"/>
        <v>0</v>
      </c>
      <c r="E28" s="410"/>
      <c r="F28" s="411">
        <f t="shared" si="1"/>
        <v>0</v>
      </c>
      <c r="G28" s="410"/>
      <c r="H28" s="412">
        <f t="shared" si="2"/>
        <v>0</v>
      </c>
      <c r="I28" s="552"/>
      <c r="J28" s="552"/>
      <c r="K28" s="410"/>
      <c r="L28" s="388"/>
      <c r="N28" s="402">
        <f>IF(L28="Swing",F28*'Crew Mix'!$J$43,IF(L28="Graveyard",F28*'Crew Mix'!$K$43,IF(L28="Special",F28*'Crew Mix'!$L$43,0)))</f>
        <v>0</v>
      </c>
      <c r="O28" s="53">
        <f t="shared" si="3"/>
        <v>0</v>
      </c>
      <c r="P28" s="402">
        <f>IF(L28="Swing",D28*'Crew Mix'!$J$43,IF(L28="Graveyard",D28*'Crew Mix'!$K$43,IF(L28="Special",D28*'Crew Mix'!$L$43,0)))</f>
        <v>0</v>
      </c>
      <c r="Q28" s="53">
        <f t="shared" si="4"/>
        <v>0</v>
      </c>
    </row>
    <row r="29" spans="1:17" ht="21">
      <c r="A29" s="413"/>
      <c r="B29" s="414"/>
      <c r="C29" s="415"/>
      <c r="D29" s="416">
        <f>SUM(D3:D28)</f>
        <v>0</v>
      </c>
      <c r="E29" s="415"/>
      <c r="F29" s="416">
        <f>SUM(F3:F28)</f>
        <v>0</v>
      </c>
      <c r="G29" s="417"/>
      <c r="H29" s="412">
        <f>SUM(H3:H28)</f>
        <v>0</v>
      </c>
      <c r="J29" s="418" t="s">
        <v>189</v>
      </c>
      <c r="K29" s="419" t="s">
        <v>125</v>
      </c>
    </row>
    <row r="31" spans="1:17" ht="15" thickBot="1"/>
    <row r="32" spans="1:17" ht="54.5" thickBot="1">
      <c r="A32" s="405" t="s">
        <v>1134</v>
      </c>
      <c r="B32" s="405" t="s">
        <v>81</v>
      </c>
      <c r="C32" s="50" t="s">
        <v>88</v>
      </c>
      <c r="D32" s="50" t="s">
        <v>89</v>
      </c>
      <c r="E32" s="51" t="s">
        <v>90</v>
      </c>
      <c r="F32" s="51" t="s">
        <v>91</v>
      </c>
      <c r="G32" s="50" t="s">
        <v>82</v>
      </c>
      <c r="H32" s="52" t="s">
        <v>83</v>
      </c>
      <c r="I32" s="553" t="s">
        <v>84</v>
      </c>
      <c r="J32" s="554"/>
      <c r="K32" s="51" t="s">
        <v>719</v>
      </c>
      <c r="L32" s="385" t="s">
        <v>1158</v>
      </c>
    </row>
    <row r="33" spans="1:17" ht="15.5">
      <c r="A33" s="406"/>
      <c r="B33" s="407"/>
      <c r="C33" s="407"/>
      <c r="D33" s="407"/>
      <c r="E33" s="407"/>
      <c r="F33" s="407"/>
      <c r="G33" s="407"/>
      <c r="H33" s="407"/>
      <c r="I33" s="555"/>
      <c r="J33" s="556"/>
      <c r="K33" s="407"/>
      <c r="L33" s="386"/>
      <c r="N33" s="53" t="s">
        <v>1203</v>
      </c>
      <c r="O33" s="53" t="s">
        <v>1204</v>
      </c>
      <c r="P33" s="53" t="s">
        <v>1205</v>
      </c>
      <c r="Q33" s="53" t="s">
        <v>1206</v>
      </c>
    </row>
    <row r="34" spans="1:17" ht="15.5">
      <c r="A34" s="408"/>
      <c r="B34" s="409"/>
      <c r="C34" s="410"/>
      <c r="D34" s="411">
        <f t="shared" ref="D34:D59" si="5">IF($K$60="Yes",0,SUM(B34*C34))</f>
        <v>0</v>
      </c>
      <c r="E34" s="410"/>
      <c r="F34" s="411">
        <f t="shared" ref="F34:F59" si="6">IF($K$60="Yes",0,SUM(B34*E34))</f>
        <v>0</v>
      </c>
      <c r="G34" s="410"/>
      <c r="H34" s="412">
        <f t="shared" ref="H34:H59" si="7">IF($K$60="Yes",0,B34*G34)</f>
        <v>0</v>
      </c>
      <c r="I34" s="552"/>
      <c r="J34" s="552"/>
      <c r="K34" s="410"/>
      <c r="L34" s="388"/>
      <c r="N34" s="402">
        <f>IF(L34="Swing",F34*'Crew Mix'!$J$43,IF(L34="Graveyard",F34*'Crew Mix'!$K$43,IF(L34="Special",F34*'Crew Mix'!$L$43,0)))</f>
        <v>0</v>
      </c>
      <c r="O34" s="53">
        <f>IF(N34&gt;0,F34,0)</f>
        <v>0</v>
      </c>
      <c r="P34" s="402">
        <f>IF(L34="Swing",D34*'Crew Mix'!$J$43,IF(L34="Graveyard",D34*'Crew Mix'!$K$43,IF(L34="Special",D34*'Crew Mix'!$L$43,0)))</f>
        <v>0</v>
      </c>
      <c r="Q34" s="53">
        <f>IF(P34&gt;0,D34,0)</f>
        <v>0</v>
      </c>
    </row>
    <row r="35" spans="1:17" ht="15.5">
      <c r="A35" s="408"/>
      <c r="B35" s="409"/>
      <c r="C35" s="410"/>
      <c r="D35" s="411">
        <f t="shared" si="5"/>
        <v>0</v>
      </c>
      <c r="E35" s="410"/>
      <c r="F35" s="411">
        <f t="shared" si="6"/>
        <v>0</v>
      </c>
      <c r="G35" s="410"/>
      <c r="H35" s="412">
        <f t="shared" si="7"/>
        <v>0</v>
      </c>
      <c r="I35" s="552"/>
      <c r="J35" s="552"/>
      <c r="K35" s="410"/>
      <c r="L35" s="388"/>
      <c r="N35" s="402">
        <f>IF(L35="Swing",F35*'Crew Mix'!$J$43,IF(L35="Graveyard",F35*'Crew Mix'!$K$43,IF(L35="Special",F35*'Crew Mix'!$L$43,0)))</f>
        <v>0</v>
      </c>
      <c r="O35" s="53">
        <f t="shared" ref="O35:O59" si="8">IF(N35&gt;0,F35,0)</f>
        <v>0</v>
      </c>
      <c r="P35" s="402">
        <f>IF(L35="Swing",D35*'Crew Mix'!$J$43,IF(L35="Graveyard",D35*'Crew Mix'!$K$43,IF(L35="Special",D35*'Crew Mix'!$L$43,0)))</f>
        <v>0</v>
      </c>
      <c r="Q35" s="53">
        <f t="shared" ref="Q35:Q59" si="9">IF(P35&gt;0,D35,0)</f>
        <v>0</v>
      </c>
    </row>
    <row r="36" spans="1:17" ht="15.5">
      <c r="A36" s="408"/>
      <c r="B36" s="409"/>
      <c r="C36" s="410"/>
      <c r="D36" s="411">
        <f t="shared" si="5"/>
        <v>0</v>
      </c>
      <c r="E36" s="410"/>
      <c r="F36" s="411">
        <f t="shared" si="6"/>
        <v>0</v>
      </c>
      <c r="G36" s="410"/>
      <c r="H36" s="412">
        <f t="shared" si="7"/>
        <v>0</v>
      </c>
      <c r="I36" s="552"/>
      <c r="J36" s="552"/>
      <c r="K36" s="410"/>
      <c r="L36" s="388"/>
      <c r="N36" s="402">
        <f>IF(L36="Swing",F36*'Crew Mix'!$J$43,IF(L36="Graveyard",F36*'Crew Mix'!$K$43,IF(L36="Special",F36*'Crew Mix'!$L$43,0)))</f>
        <v>0</v>
      </c>
      <c r="O36" s="53">
        <f t="shared" si="8"/>
        <v>0</v>
      </c>
      <c r="P36" s="402">
        <f>IF(L36="Swing",D36*'Crew Mix'!$J$43,IF(L36="Graveyard",D36*'Crew Mix'!$K$43,IF(L36="Special",D36*'Crew Mix'!$L$43,0)))</f>
        <v>0</v>
      </c>
      <c r="Q36" s="53">
        <f t="shared" si="9"/>
        <v>0</v>
      </c>
    </row>
    <row r="37" spans="1:17" ht="15.5">
      <c r="A37" s="408"/>
      <c r="B37" s="409"/>
      <c r="C37" s="410"/>
      <c r="D37" s="411">
        <f t="shared" si="5"/>
        <v>0</v>
      </c>
      <c r="E37" s="410"/>
      <c r="F37" s="411">
        <f t="shared" si="6"/>
        <v>0</v>
      </c>
      <c r="G37" s="410"/>
      <c r="H37" s="412">
        <f t="shared" si="7"/>
        <v>0</v>
      </c>
      <c r="I37" s="552"/>
      <c r="J37" s="552"/>
      <c r="K37" s="410"/>
      <c r="L37" s="388"/>
      <c r="N37" s="402">
        <f>IF(L37="Swing",F37*'Crew Mix'!$J$43,IF(L37="Graveyard",F37*'Crew Mix'!$K$43,IF(L37="Special",F37*'Crew Mix'!$L$43,0)))</f>
        <v>0</v>
      </c>
      <c r="O37" s="53">
        <f t="shared" si="8"/>
        <v>0</v>
      </c>
      <c r="P37" s="402">
        <f>IF(L37="Swing",D37*'Crew Mix'!$J$43,IF(L37="Graveyard",D37*'Crew Mix'!$K$43,IF(L37="Special",D37*'Crew Mix'!$L$43,0)))</f>
        <v>0</v>
      </c>
      <c r="Q37" s="53">
        <f t="shared" si="9"/>
        <v>0</v>
      </c>
    </row>
    <row r="38" spans="1:17" ht="15.5">
      <c r="A38" s="408"/>
      <c r="B38" s="409"/>
      <c r="C38" s="410"/>
      <c r="D38" s="411">
        <f t="shared" si="5"/>
        <v>0</v>
      </c>
      <c r="E38" s="410"/>
      <c r="F38" s="411">
        <f t="shared" si="6"/>
        <v>0</v>
      </c>
      <c r="G38" s="410"/>
      <c r="H38" s="412">
        <f t="shared" si="7"/>
        <v>0</v>
      </c>
      <c r="I38" s="552"/>
      <c r="J38" s="552"/>
      <c r="K38" s="410"/>
      <c r="L38" s="388"/>
      <c r="N38" s="402">
        <f>IF(L38="Swing",F38*'Crew Mix'!$J$43,IF(L38="Graveyard",F38*'Crew Mix'!$K$43,IF(L38="Special",F38*'Crew Mix'!$L$43,0)))</f>
        <v>0</v>
      </c>
      <c r="O38" s="53">
        <f t="shared" si="8"/>
        <v>0</v>
      </c>
      <c r="P38" s="402">
        <f>IF(L38="Swing",D38*'Crew Mix'!$J$43,IF(L38="Graveyard",D38*'Crew Mix'!$K$43,IF(L38="Special",D38*'Crew Mix'!$L$43,0)))</f>
        <v>0</v>
      </c>
      <c r="Q38" s="53">
        <f t="shared" si="9"/>
        <v>0</v>
      </c>
    </row>
    <row r="39" spans="1:17" ht="15.5">
      <c r="A39" s="408"/>
      <c r="B39" s="409"/>
      <c r="C39" s="410"/>
      <c r="D39" s="411">
        <f t="shared" si="5"/>
        <v>0</v>
      </c>
      <c r="E39" s="410"/>
      <c r="F39" s="411">
        <f t="shared" si="6"/>
        <v>0</v>
      </c>
      <c r="G39" s="410"/>
      <c r="H39" s="412">
        <f t="shared" si="7"/>
        <v>0</v>
      </c>
      <c r="I39" s="552"/>
      <c r="J39" s="552"/>
      <c r="K39" s="410"/>
      <c r="L39" s="388"/>
      <c r="N39" s="402">
        <f>IF(L39="Swing",F39*'Crew Mix'!$J$43,IF(L39="Graveyard",F39*'Crew Mix'!$K$43,IF(L39="Special",F39*'Crew Mix'!$L$43,0)))</f>
        <v>0</v>
      </c>
      <c r="O39" s="53">
        <f t="shared" si="8"/>
        <v>0</v>
      </c>
      <c r="P39" s="402">
        <f>IF(L39="Swing",D39*'Crew Mix'!$J$43,IF(L39="Graveyard",D39*'Crew Mix'!$K$43,IF(L39="Special",D39*'Crew Mix'!$L$43,0)))</f>
        <v>0</v>
      </c>
      <c r="Q39" s="53">
        <f t="shared" si="9"/>
        <v>0</v>
      </c>
    </row>
    <row r="40" spans="1:17" ht="15.5">
      <c r="A40" s="408"/>
      <c r="B40" s="409"/>
      <c r="C40" s="410"/>
      <c r="D40" s="411">
        <f t="shared" si="5"/>
        <v>0</v>
      </c>
      <c r="E40" s="410"/>
      <c r="F40" s="411">
        <f t="shared" si="6"/>
        <v>0</v>
      </c>
      <c r="G40" s="410"/>
      <c r="H40" s="412">
        <f t="shared" si="7"/>
        <v>0</v>
      </c>
      <c r="I40" s="552"/>
      <c r="J40" s="552"/>
      <c r="K40" s="410"/>
      <c r="L40" s="388"/>
      <c r="N40" s="402">
        <f>IF(L40="Swing",F40*'Crew Mix'!$J$43,IF(L40="Graveyard",F40*'Crew Mix'!$K$43,IF(L40="Special",F40*'Crew Mix'!$L$43,0)))</f>
        <v>0</v>
      </c>
      <c r="O40" s="53">
        <f t="shared" si="8"/>
        <v>0</v>
      </c>
      <c r="P40" s="402">
        <f>IF(L40="Swing",D40*'Crew Mix'!$J$43,IF(L40="Graveyard",D40*'Crew Mix'!$K$43,IF(L40="Special",D40*'Crew Mix'!$L$43,0)))</f>
        <v>0</v>
      </c>
      <c r="Q40" s="53">
        <f t="shared" si="9"/>
        <v>0</v>
      </c>
    </row>
    <row r="41" spans="1:17" ht="15.5">
      <c r="A41" s="408"/>
      <c r="B41" s="409"/>
      <c r="C41" s="410"/>
      <c r="D41" s="411">
        <f t="shared" si="5"/>
        <v>0</v>
      </c>
      <c r="E41" s="410"/>
      <c r="F41" s="411">
        <f t="shared" si="6"/>
        <v>0</v>
      </c>
      <c r="G41" s="410"/>
      <c r="H41" s="412">
        <f t="shared" si="7"/>
        <v>0</v>
      </c>
      <c r="I41" s="552"/>
      <c r="J41" s="552"/>
      <c r="K41" s="410"/>
      <c r="L41" s="388"/>
      <c r="N41" s="402">
        <f>IF(L41="Swing",F41*'Crew Mix'!$J$43,IF(L41="Graveyard",F41*'Crew Mix'!$K$43,IF(L41="Special",F41*'Crew Mix'!$L$43,0)))</f>
        <v>0</v>
      </c>
      <c r="O41" s="53">
        <f t="shared" si="8"/>
        <v>0</v>
      </c>
      <c r="P41" s="402">
        <f>IF(L41="Swing",D41*'Crew Mix'!$J$43,IF(L41="Graveyard",D41*'Crew Mix'!$K$43,IF(L41="Special",D41*'Crew Mix'!$L$43,0)))</f>
        <v>0</v>
      </c>
      <c r="Q41" s="53">
        <f t="shared" si="9"/>
        <v>0</v>
      </c>
    </row>
    <row r="42" spans="1:17" ht="15.5">
      <c r="A42" s="408"/>
      <c r="B42" s="409"/>
      <c r="C42" s="410"/>
      <c r="D42" s="411">
        <f t="shared" si="5"/>
        <v>0</v>
      </c>
      <c r="E42" s="410"/>
      <c r="F42" s="411">
        <f t="shared" si="6"/>
        <v>0</v>
      </c>
      <c r="G42" s="410"/>
      <c r="H42" s="412">
        <f t="shared" si="7"/>
        <v>0</v>
      </c>
      <c r="I42" s="552"/>
      <c r="J42" s="552"/>
      <c r="K42" s="410"/>
      <c r="L42" s="388"/>
      <c r="N42" s="402">
        <f>IF(L42="Swing",F42*'Crew Mix'!$J$43,IF(L42="Graveyard",F42*'Crew Mix'!$K$43,IF(L42="Special",F42*'Crew Mix'!$L$43,0)))</f>
        <v>0</v>
      </c>
      <c r="O42" s="53">
        <f t="shared" si="8"/>
        <v>0</v>
      </c>
      <c r="P42" s="402">
        <f>IF(L42="Swing",D42*'Crew Mix'!$J$43,IF(L42="Graveyard",D42*'Crew Mix'!$K$43,IF(L42="Special",D42*'Crew Mix'!$L$43,0)))</f>
        <v>0</v>
      </c>
      <c r="Q42" s="53">
        <f t="shared" si="9"/>
        <v>0</v>
      </c>
    </row>
    <row r="43" spans="1:17" ht="15.5">
      <c r="A43" s="408"/>
      <c r="B43" s="409"/>
      <c r="C43" s="410"/>
      <c r="D43" s="411">
        <f t="shared" si="5"/>
        <v>0</v>
      </c>
      <c r="E43" s="410"/>
      <c r="F43" s="411">
        <f t="shared" si="6"/>
        <v>0</v>
      </c>
      <c r="G43" s="410"/>
      <c r="H43" s="412">
        <f t="shared" si="7"/>
        <v>0</v>
      </c>
      <c r="I43" s="552"/>
      <c r="J43" s="552"/>
      <c r="K43" s="410"/>
      <c r="L43" s="388"/>
      <c r="N43" s="402">
        <f>IF(L43="Swing",F43*'Crew Mix'!$J$43,IF(L43="Graveyard",F43*'Crew Mix'!$K$43,IF(L43="Special",F43*'Crew Mix'!$L$43,0)))</f>
        <v>0</v>
      </c>
      <c r="O43" s="53">
        <f t="shared" si="8"/>
        <v>0</v>
      </c>
      <c r="P43" s="402">
        <f>IF(L43="Swing",D43*'Crew Mix'!$J$43,IF(L43="Graveyard",D43*'Crew Mix'!$K$43,IF(L43="Special",D43*'Crew Mix'!$L$43,0)))</f>
        <v>0</v>
      </c>
      <c r="Q43" s="53">
        <f t="shared" si="9"/>
        <v>0</v>
      </c>
    </row>
    <row r="44" spans="1:17" ht="15.5">
      <c r="A44" s="408"/>
      <c r="B44" s="409"/>
      <c r="C44" s="410"/>
      <c r="D44" s="411">
        <f t="shared" si="5"/>
        <v>0</v>
      </c>
      <c r="E44" s="410"/>
      <c r="F44" s="411">
        <f t="shared" si="6"/>
        <v>0</v>
      </c>
      <c r="G44" s="410"/>
      <c r="H44" s="412">
        <f t="shared" si="7"/>
        <v>0</v>
      </c>
      <c r="I44" s="552"/>
      <c r="J44" s="552"/>
      <c r="K44" s="410"/>
      <c r="L44" s="388"/>
      <c r="N44" s="402">
        <f>IF(L44="Swing",F44*'Crew Mix'!$J$43,IF(L44="Graveyard",F44*'Crew Mix'!$K$43,IF(L44="Special",F44*'Crew Mix'!$L$43,0)))</f>
        <v>0</v>
      </c>
      <c r="O44" s="53">
        <f t="shared" si="8"/>
        <v>0</v>
      </c>
      <c r="P44" s="402">
        <f>IF(L44="Swing",D44*'Crew Mix'!$J$43,IF(L44="Graveyard",D44*'Crew Mix'!$K$43,IF(L44="Special",D44*'Crew Mix'!$L$43,0)))</f>
        <v>0</v>
      </c>
      <c r="Q44" s="53">
        <f t="shared" si="9"/>
        <v>0</v>
      </c>
    </row>
    <row r="45" spans="1:17" ht="15.5">
      <c r="A45" s="408"/>
      <c r="B45" s="409"/>
      <c r="C45" s="410"/>
      <c r="D45" s="411">
        <f t="shared" si="5"/>
        <v>0</v>
      </c>
      <c r="E45" s="410"/>
      <c r="F45" s="411">
        <f t="shared" si="6"/>
        <v>0</v>
      </c>
      <c r="G45" s="410"/>
      <c r="H45" s="412">
        <f t="shared" si="7"/>
        <v>0</v>
      </c>
      <c r="I45" s="552"/>
      <c r="J45" s="552"/>
      <c r="K45" s="410"/>
      <c r="L45" s="388"/>
      <c r="N45" s="402">
        <f>IF(L45="Swing",F45*'Crew Mix'!$J$43,IF(L45="Graveyard",F45*'Crew Mix'!$K$43,IF(L45="Special",F45*'Crew Mix'!$L$43,0)))</f>
        <v>0</v>
      </c>
      <c r="O45" s="53">
        <f t="shared" si="8"/>
        <v>0</v>
      </c>
      <c r="P45" s="402">
        <f>IF(L45="Swing",D45*'Crew Mix'!$J$43,IF(L45="Graveyard",D45*'Crew Mix'!$K$43,IF(L45="Special",D45*'Crew Mix'!$L$43,0)))</f>
        <v>0</v>
      </c>
      <c r="Q45" s="53">
        <f t="shared" si="9"/>
        <v>0</v>
      </c>
    </row>
    <row r="46" spans="1:17" ht="15.5">
      <c r="A46" s="408"/>
      <c r="B46" s="409"/>
      <c r="C46" s="410"/>
      <c r="D46" s="411">
        <f t="shared" si="5"/>
        <v>0</v>
      </c>
      <c r="E46" s="410"/>
      <c r="F46" s="411">
        <f t="shared" si="6"/>
        <v>0</v>
      </c>
      <c r="G46" s="410"/>
      <c r="H46" s="412">
        <f t="shared" si="7"/>
        <v>0</v>
      </c>
      <c r="I46" s="552"/>
      <c r="J46" s="552"/>
      <c r="K46" s="410"/>
      <c r="L46" s="388"/>
      <c r="N46" s="402">
        <f>IF(L46="Swing",F46*'Crew Mix'!$J$43,IF(L46="Graveyard",F46*'Crew Mix'!$K$43,IF(L46="Special",F46*'Crew Mix'!$L$43,0)))</f>
        <v>0</v>
      </c>
      <c r="O46" s="53">
        <f t="shared" si="8"/>
        <v>0</v>
      </c>
      <c r="P46" s="402">
        <f>IF(L46="Swing",D46*'Crew Mix'!$J$43,IF(L46="Graveyard",D46*'Crew Mix'!$K$43,IF(L46="Special",D46*'Crew Mix'!$L$43,0)))</f>
        <v>0</v>
      </c>
      <c r="Q46" s="53">
        <f t="shared" si="9"/>
        <v>0</v>
      </c>
    </row>
    <row r="47" spans="1:17" ht="15.5">
      <c r="A47" s="408"/>
      <c r="B47" s="409"/>
      <c r="C47" s="410"/>
      <c r="D47" s="411">
        <f t="shared" si="5"/>
        <v>0</v>
      </c>
      <c r="E47" s="410"/>
      <c r="F47" s="411">
        <f t="shared" si="6"/>
        <v>0</v>
      </c>
      <c r="G47" s="410"/>
      <c r="H47" s="412">
        <f t="shared" si="7"/>
        <v>0</v>
      </c>
      <c r="I47" s="552"/>
      <c r="J47" s="552"/>
      <c r="K47" s="410"/>
      <c r="L47" s="388"/>
      <c r="N47" s="402">
        <f>IF(L47="Swing",F47*'Crew Mix'!$J$43,IF(L47="Graveyard",F47*'Crew Mix'!$K$43,IF(L47="Special",F47*'Crew Mix'!$L$43,0)))</f>
        <v>0</v>
      </c>
      <c r="O47" s="53">
        <f t="shared" si="8"/>
        <v>0</v>
      </c>
      <c r="P47" s="402">
        <f>IF(L47="Swing",D47*'Crew Mix'!$J$43,IF(L47="Graveyard",D47*'Crew Mix'!$K$43,IF(L47="Special",D47*'Crew Mix'!$L$43,0)))</f>
        <v>0</v>
      </c>
      <c r="Q47" s="53">
        <f t="shared" si="9"/>
        <v>0</v>
      </c>
    </row>
    <row r="48" spans="1:17" ht="15.5">
      <c r="A48" s="408"/>
      <c r="B48" s="409"/>
      <c r="C48" s="410"/>
      <c r="D48" s="411">
        <f t="shared" si="5"/>
        <v>0</v>
      </c>
      <c r="E48" s="410"/>
      <c r="F48" s="411">
        <f t="shared" si="6"/>
        <v>0</v>
      </c>
      <c r="G48" s="410"/>
      <c r="H48" s="412">
        <f t="shared" si="7"/>
        <v>0</v>
      </c>
      <c r="I48" s="552"/>
      <c r="J48" s="552"/>
      <c r="K48" s="410"/>
      <c r="L48" s="388"/>
      <c r="N48" s="402">
        <f>IF(L48="Swing",F48*'Crew Mix'!$J$43,IF(L48="Graveyard",F48*'Crew Mix'!$K$43,IF(L48="Special",F48*'Crew Mix'!$L$43,0)))</f>
        <v>0</v>
      </c>
      <c r="O48" s="53">
        <f t="shared" si="8"/>
        <v>0</v>
      </c>
      <c r="P48" s="402">
        <f>IF(L48="Swing",D48*'Crew Mix'!$J$43,IF(L48="Graveyard",D48*'Crew Mix'!$K$43,IF(L48="Special",D48*'Crew Mix'!$L$43,0)))</f>
        <v>0</v>
      </c>
      <c r="Q48" s="53">
        <f t="shared" si="9"/>
        <v>0</v>
      </c>
    </row>
    <row r="49" spans="1:17" ht="15.5">
      <c r="A49" s="408"/>
      <c r="B49" s="409"/>
      <c r="C49" s="410"/>
      <c r="D49" s="411">
        <f t="shared" si="5"/>
        <v>0</v>
      </c>
      <c r="E49" s="410"/>
      <c r="F49" s="411">
        <f t="shared" si="6"/>
        <v>0</v>
      </c>
      <c r="G49" s="410"/>
      <c r="H49" s="412">
        <f t="shared" si="7"/>
        <v>0</v>
      </c>
      <c r="I49" s="552"/>
      <c r="J49" s="552"/>
      <c r="K49" s="410"/>
      <c r="L49" s="388"/>
      <c r="N49" s="402">
        <f>IF(L49="Swing",F49*'Crew Mix'!$J$43,IF(L49="Graveyard",F49*'Crew Mix'!$K$43,IF(L49="Special",F49*'Crew Mix'!$L$43,0)))</f>
        <v>0</v>
      </c>
      <c r="O49" s="53">
        <f t="shared" si="8"/>
        <v>0</v>
      </c>
      <c r="P49" s="402">
        <f>IF(L49="Swing",D49*'Crew Mix'!$J$43,IF(L49="Graveyard",D49*'Crew Mix'!$K$43,IF(L49="Special",D49*'Crew Mix'!$L$43,0)))</f>
        <v>0</v>
      </c>
      <c r="Q49" s="53">
        <f t="shared" si="9"/>
        <v>0</v>
      </c>
    </row>
    <row r="50" spans="1:17" ht="15.5">
      <c r="A50" s="408"/>
      <c r="B50" s="409"/>
      <c r="C50" s="410"/>
      <c r="D50" s="411">
        <f t="shared" si="5"/>
        <v>0</v>
      </c>
      <c r="E50" s="410"/>
      <c r="F50" s="411">
        <f t="shared" si="6"/>
        <v>0</v>
      </c>
      <c r="G50" s="410"/>
      <c r="H50" s="412">
        <f t="shared" si="7"/>
        <v>0</v>
      </c>
      <c r="I50" s="552"/>
      <c r="J50" s="552"/>
      <c r="K50" s="410"/>
      <c r="L50" s="388"/>
      <c r="N50" s="402">
        <f>IF(L50="Swing",F50*'Crew Mix'!$J$43,IF(L50="Graveyard",F50*'Crew Mix'!$K$43,IF(L50="Special",F50*'Crew Mix'!$L$43,0)))</f>
        <v>0</v>
      </c>
      <c r="O50" s="53">
        <f t="shared" si="8"/>
        <v>0</v>
      </c>
      <c r="P50" s="402">
        <f>IF(L50="Swing",D50*'Crew Mix'!$J$43,IF(L50="Graveyard",D50*'Crew Mix'!$K$43,IF(L50="Special",D50*'Crew Mix'!$L$43,0)))</f>
        <v>0</v>
      </c>
      <c r="Q50" s="53">
        <f t="shared" si="9"/>
        <v>0</v>
      </c>
    </row>
    <row r="51" spans="1:17" ht="15.5">
      <c r="A51" s="408"/>
      <c r="B51" s="409"/>
      <c r="C51" s="410"/>
      <c r="D51" s="411">
        <f t="shared" si="5"/>
        <v>0</v>
      </c>
      <c r="E51" s="410"/>
      <c r="F51" s="411">
        <f t="shared" si="6"/>
        <v>0</v>
      </c>
      <c r="G51" s="410"/>
      <c r="H51" s="412">
        <f t="shared" si="7"/>
        <v>0</v>
      </c>
      <c r="I51" s="552"/>
      <c r="J51" s="552"/>
      <c r="K51" s="410"/>
      <c r="L51" s="388"/>
      <c r="N51" s="402">
        <f>IF(L51="Swing",F51*'Crew Mix'!$J$43,IF(L51="Graveyard",F51*'Crew Mix'!$K$43,IF(L51="Special",F51*'Crew Mix'!$L$43,0)))</f>
        <v>0</v>
      </c>
      <c r="O51" s="53">
        <f t="shared" si="8"/>
        <v>0</v>
      </c>
      <c r="P51" s="402">
        <f>IF(L51="Swing",D51*'Crew Mix'!$J$43,IF(L51="Graveyard",D51*'Crew Mix'!$K$43,IF(L51="Special",D51*'Crew Mix'!$L$43,0)))</f>
        <v>0</v>
      </c>
      <c r="Q51" s="53">
        <f t="shared" si="9"/>
        <v>0</v>
      </c>
    </row>
    <row r="52" spans="1:17" ht="15.5">
      <c r="A52" s="408"/>
      <c r="B52" s="409"/>
      <c r="C52" s="410"/>
      <c r="D52" s="411">
        <f t="shared" si="5"/>
        <v>0</v>
      </c>
      <c r="E52" s="410"/>
      <c r="F52" s="411">
        <f t="shared" si="6"/>
        <v>0</v>
      </c>
      <c r="G52" s="410"/>
      <c r="H52" s="412">
        <f t="shared" si="7"/>
        <v>0</v>
      </c>
      <c r="I52" s="552"/>
      <c r="J52" s="552"/>
      <c r="K52" s="410"/>
      <c r="L52" s="388"/>
      <c r="N52" s="402">
        <f>IF(L52="Swing",F52*'Crew Mix'!$J$43,IF(L52="Graveyard",F52*'Crew Mix'!$K$43,IF(L52="Special",F52*'Crew Mix'!$L$43,0)))</f>
        <v>0</v>
      </c>
      <c r="O52" s="53">
        <f t="shared" si="8"/>
        <v>0</v>
      </c>
      <c r="P52" s="402">
        <f>IF(L52="Swing",D52*'Crew Mix'!$J$43,IF(L52="Graveyard",D52*'Crew Mix'!$K$43,IF(L52="Special",D52*'Crew Mix'!$L$43,0)))</f>
        <v>0</v>
      </c>
      <c r="Q52" s="53">
        <f t="shared" si="9"/>
        <v>0</v>
      </c>
    </row>
    <row r="53" spans="1:17" ht="15.5">
      <c r="A53" s="408"/>
      <c r="B53" s="409"/>
      <c r="C53" s="410"/>
      <c r="D53" s="411">
        <f t="shared" si="5"/>
        <v>0</v>
      </c>
      <c r="E53" s="410"/>
      <c r="F53" s="411">
        <f t="shared" si="6"/>
        <v>0</v>
      </c>
      <c r="G53" s="410"/>
      <c r="H53" s="412">
        <f t="shared" si="7"/>
        <v>0</v>
      </c>
      <c r="I53" s="552"/>
      <c r="J53" s="552"/>
      <c r="K53" s="410"/>
      <c r="L53" s="388"/>
      <c r="N53" s="402">
        <f>IF(L53="Swing",F53*'Crew Mix'!$J$43,IF(L53="Graveyard",F53*'Crew Mix'!$K$43,IF(L53="Special",F53*'Crew Mix'!$L$43,0)))</f>
        <v>0</v>
      </c>
      <c r="O53" s="53">
        <f t="shared" si="8"/>
        <v>0</v>
      </c>
      <c r="P53" s="402">
        <f>IF(L53="Swing",D53*'Crew Mix'!$J$43,IF(L53="Graveyard",D53*'Crew Mix'!$K$43,IF(L53="Special",D53*'Crew Mix'!$L$43,0)))</f>
        <v>0</v>
      </c>
      <c r="Q53" s="53">
        <f t="shared" si="9"/>
        <v>0</v>
      </c>
    </row>
    <row r="54" spans="1:17" ht="15.5">
      <c r="A54" s="408"/>
      <c r="B54" s="409"/>
      <c r="C54" s="410"/>
      <c r="D54" s="411">
        <f t="shared" si="5"/>
        <v>0</v>
      </c>
      <c r="E54" s="410"/>
      <c r="F54" s="411">
        <f t="shared" si="6"/>
        <v>0</v>
      </c>
      <c r="G54" s="410"/>
      <c r="H54" s="412">
        <f t="shared" si="7"/>
        <v>0</v>
      </c>
      <c r="I54" s="552"/>
      <c r="J54" s="552"/>
      <c r="K54" s="410"/>
      <c r="L54" s="388"/>
      <c r="N54" s="402">
        <f>IF(L54="Swing",F54*'Crew Mix'!$J$43,IF(L54="Graveyard",F54*'Crew Mix'!$K$43,IF(L54="Special",F54*'Crew Mix'!$L$43,0)))</f>
        <v>0</v>
      </c>
      <c r="O54" s="53">
        <f t="shared" si="8"/>
        <v>0</v>
      </c>
      <c r="P54" s="402">
        <f>IF(L54="Swing",D54*'Crew Mix'!$J$43,IF(L54="Graveyard",D54*'Crew Mix'!$K$43,IF(L54="Special",D54*'Crew Mix'!$L$43,0)))</f>
        <v>0</v>
      </c>
      <c r="Q54" s="53">
        <f t="shared" si="9"/>
        <v>0</v>
      </c>
    </row>
    <row r="55" spans="1:17" ht="15.5">
      <c r="A55" s="408"/>
      <c r="B55" s="409"/>
      <c r="C55" s="410"/>
      <c r="D55" s="411">
        <f t="shared" si="5"/>
        <v>0</v>
      </c>
      <c r="E55" s="410"/>
      <c r="F55" s="411">
        <f t="shared" si="6"/>
        <v>0</v>
      </c>
      <c r="G55" s="410"/>
      <c r="H55" s="412">
        <f t="shared" si="7"/>
        <v>0</v>
      </c>
      <c r="I55" s="552"/>
      <c r="J55" s="552"/>
      <c r="K55" s="410"/>
      <c r="L55" s="388"/>
      <c r="N55" s="402">
        <f>IF(L55="Swing",F55*'Crew Mix'!$J$43,IF(L55="Graveyard",F55*'Crew Mix'!$K$43,IF(L55="Special",F55*'Crew Mix'!$L$43,0)))</f>
        <v>0</v>
      </c>
      <c r="O55" s="53">
        <f t="shared" si="8"/>
        <v>0</v>
      </c>
      <c r="P55" s="402">
        <f>IF(L55="Swing",D55*'Crew Mix'!$J$43,IF(L55="Graveyard",D55*'Crew Mix'!$K$43,IF(L55="Special",D55*'Crew Mix'!$L$43,0)))</f>
        <v>0</v>
      </c>
      <c r="Q55" s="53">
        <f t="shared" si="9"/>
        <v>0</v>
      </c>
    </row>
    <row r="56" spans="1:17" ht="15.5">
      <c r="A56" s="408"/>
      <c r="B56" s="409"/>
      <c r="C56" s="410"/>
      <c r="D56" s="411">
        <f t="shared" si="5"/>
        <v>0</v>
      </c>
      <c r="E56" s="410"/>
      <c r="F56" s="411">
        <f t="shared" si="6"/>
        <v>0</v>
      </c>
      <c r="G56" s="410"/>
      <c r="H56" s="412">
        <f t="shared" si="7"/>
        <v>0</v>
      </c>
      <c r="I56" s="552"/>
      <c r="J56" s="552"/>
      <c r="K56" s="410"/>
      <c r="L56" s="388"/>
      <c r="N56" s="402">
        <f>IF(L56="Swing",F56*'Crew Mix'!$J$43,IF(L56="Graveyard",F56*'Crew Mix'!$K$43,IF(L56="Special",F56*'Crew Mix'!$L$43,0)))</f>
        <v>0</v>
      </c>
      <c r="O56" s="53">
        <f t="shared" si="8"/>
        <v>0</v>
      </c>
      <c r="P56" s="402">
        <f>IF(L56="Swing",D56*'Crew Mix'!$J$43,IF(L56="Graveyard",D56*'Crew Mix'!$K$43,IF(L56="Special",D56*'Crew Mix'!$L$43,0)))</f>
        <v>0</v>
      </c>
      <c r="Q56" s="53">
        <f t="shared" si="9"/>
        <v>0</v>
      </c>
    </row>
    <row r="57" spans="1:17" ht="15.5">
      <c r="A57" s="408"/>
      <c r="B57" s="409"/>
      <c r="C57" s="410"/>
      <c r="D57" s="411">
        <f t="shared" si="5"/>
        <v>0</v>
      </c>
      <c r="E57" s="410"/>
      <c r="F57" s="411">
        <f t="shared" si="6"/>
        <v>0</v>
      </c>
      <c r="G57" s="410"/>
      <c r="H57" s="412">
        <f t="shared" si="7"/>
        <v>0</v>
      </c>
      <c r="I57" s="552"/>
      <c r="J57" s="552"/>
      <c r="K57" s="410"/>
      <c r="L57" s="388"/>
      <c r="N57" s="402">
        <f>IF(L57="Swing",F57*'Crew Mix'!$J$43,IF(L57="Graveyard",F57*'Crew Mix'!$K$43,IF(L57="Special",F57*'Crew Mix'!$L$43,0)))</f>
        <v>0</v>
      </c>
      <c r="O57" s="53">
        <f t="shared" si="8"/>
        <v>0</v>
      </c>
      <c r="P57" s="402">
        <f>IF(L57="Swing",D57*'Crew Mix'!$J$43,IF(L57="Graveyard",D57*'Crew Mix'!$K$43,IF(L57="Special",D57*'Crew Mix'!$L$43,0)))</f>
        <v>0</v>
      </c>
      <c r="Q57" s="53">
        <f t="shared" si="9"/>
        <v>0</v>
      </c>
    </row>
    <row r="58" spans="1:17" ht="15.5">
      <c r="A58" s="408"/>
      <c r="B58" s="409"/>
      <c r="C58" s="410"/>
      <c r="D58" s="411">
        <f t="shared" si="5"/>
        <v>0</v>
      </c>
      <c r="E58" s="410"/>
      <c r="F58" s="411">
        <f t="shared" si="6"/>
        <v>0</v>
      </c>
      <c r="G58" s="410"/>
      <c r="H58" s="412">
        <f t="shared" si="7"/>
        <v>0</v>
      </c>
      <c r="I58" s="552"/>
      <c r="J58" s="552"/>
      <c r="K58" s="410"/>
      <c r="L58" s="388"/>
      <c r="N58" s="402">
        <f>IF(L58="Swing",F58*'Crew Mix'!$J$43,IF(L58="Graveyard",F58*'Crew Mix'!$K$43,IF(L58="Special",F58*'Crew Mix'!$L$43,0)))</f>
        <v>0</v>
      </c>
      <c r="O58" s="53">
        <f t="shared" si="8"/>
        <v>0</v>
      </c>
      <c r="P58" s="402">
        <f>IF(L58="Swing",D58*'Crew Mix'!$J$43,IF(L58="Graveyard",D58*'Crew Mix'!$K$43,IF(L58="Special",D58*'Crew Mix'!$L$43,0)))</f>
        <v>0</v>
      </c>
      <c r="Q58" s="53">
        <f t="shared" si="9"/>
        <v>0</v>
      </c>
    </row>
    <row r="59" spans="1:17" ht="15.5">
      <c r="A59" s="408"/>
      <c r="B59" s="409"/>
      <c r="C59" s="410"/>
      <c r="D59" s="411">
        <f t="shared" si="5"/>
        <v>0</v>
      </c>
      <c r="E59" s="410"/>
      <c r="F59" s="411">
        <f t="shared" si="6"/>
        <v>0</v>
      </c>
      <c r="G59" s="410"/>
      <c r="H59" s="412">
        <f t="shared" si="7"/>
        <v>0</v>
      </c>
      <c r="I59" s="552"/>
      <c r="J59" s="552"/>
      <c r="K59" s="410"/>
      <c r="L59" s="388"/>
      <c r="N59" s="402">
        <f>IF(L59="Swing",F59*'Crew Mix'!$J$43,IF(L59="Graveyard",F59*'Crew Mix'!$K$43,IF(L59="Special",F59*'Crew Mix'!$L$43,0)))</f>
        <v>0</v>
      </c>
      <c r="O59" s="53">
        <f t="shared" si="8"/>
        <v>0</v>
      </c>
      <c r="P59" s="402">
        <f>IF(L59="Swing",D59*'Crew Mix'!$J$43,IF(L59="Graveyard",D59*'Crew Mix'!$K$43,IF(L59="Special",D59*'Crew Mix'!$L$43,0)))</f>
        <v>0</v>
      </c>
      <c r="Q59" s="53">
        <f t="shared" si="9"/>
        <v>0</v>
      </c>
    </row>
    <row r="60" spans="1:17" ht="21">
      <c r="A60" s="413"/>
      <c r="B60" s="414"/>
      <c r="C60" s="415"/>
      <c r="D60" s="416">
        <f>SUM(D34:D59)</f>
        <v>0</v>
      </c>
      <c r="E60" s="415"/>
      <c r="F60" s="416">
        <f>SUM(F34:F59)</f>
        <v>0</v>
      </c>
      <c r="G60" s="417"/>
      <c r="H60" s="412">
        <f>SUM(H34:H59)</f>
        <v>0</v>
      </c>
      <c r="J60" s="418" t="s">
        <v>189</v>
      </c>
      <c r="K60" s="419" t="s">
        <v>125</v>
      </c>
    </row>
    <row r="62" spans="1:17" ht="15" thickBot="1"/>
    <row r="63" spans="1:17" ht="54.5" thickBot="1">
      <c r="A63" s="405" t="s">
        <v>1134</v>
      </c>
      <c r="B63" s="405" t="s">
        <v>81</v>
      </c>
      <c r="C63" s="50" t="s">
        <v>88</v>
      </c>
      <c r="D63" s="50" t="s">
        <v>89</v>
      </c>
      <c r="E63" s="51" t="s">
        <v>90</v>
      </c>
      <c r="F63" s="51" t="s">
        <v>91</v>
      </c>
      <c r="G63" s="50" t="s">
        <v>82</v>
      </c>
      <c r="H63" s="52" t="s">
        <v>83</v>
      </c>
      <c r="I63" s="553" t="s">
        <v>84</v>
      </c>
      <c r="J63" s="554"/>
      <c r="K63" s="51" t="s">
        <v>719</v>
      </c>
      <c r="L63" s="385" t="s">
        <v>1158</v>
      </c>
    </row>
    <row r="64" spans="1:17" ht="15.5">
      <c r="A64" s="406"/>
      <c r="B64" s="407"/>
      <c r="C64" s="407"/>
      <c r="D64" s="407"/>
      <c r="E64" s="407"/>
      <c r="F64" s="407"/>
      <c r="G64" s="407"/>
      <c r="H64" s="407"/>
      <c r="I64" s="555"/>
      <c r="J64" s="556"/>
      <c r="K64" s="407"/>
      <c r="L64" s="386"/>
      <c r="N64" s="53" t="s">
        <v>1203</v>
      </c>
      <c r="O64" s="53" t="s">
        <v>1204</v>
      </c>
      <c r="P64" s="53" t="s">
        <v>1205</v>
      </c>
      <c r="Q64" s="53" t="s">
        <v>1206</v>
      </c>
    </row>
    <row r="65" spans="1:17" ht="15.5">
      <c r="A65" s="408"/>
      <c r="B65" s="409"/>
      <c r="C65" s="410"/>
      <c r="D65" s="411">
        <f t="shared" ref="D65:D90" si="10">IF($K$91="Yes",0,SUM(B65*C65))</f>
        <v>0</v>
      </c>
      <c r="E65" s="410"/>
      <c r="F65" s="411">
        <f t="shared" ref="F65:F90" si="11">IF($K$91="Yes",0,SUM(B65*E65))</f>
        <v>0</v>
      </c>
      <c r="G65" s="410"/>
      <c r="H65" s="412">
        <f t="shared" ref="H65:H90" si="12">IF($K$91="Yes",0,B65*G65)</f>
        <v>0</v>
      </c>
      <c r="I65" s="552"/>
      <c r="J65" s="552"/>
      <c r="K65" s="410"/>
      <c r="L65" s="388"/>
      <c r="N65" s="402">
        <f>IF(L65="Swing",F65*'Crew Mix'!$J$43,IF(L65="Graveyard",F65*'Crew Mix'!$K$43,IF(L65="Special",F65*'Crew Mix'!$L$43,0)))</f>
        <v>0</v>
      </c>
      <c r="O65" s="53">
        <f>IF(N65&gt;0,F65,0)</f>
        <v>0</v>
      </c>
      <c r="P65" s="402">
        <f>IF(L65="Swing",D65*'Crew Mix'!$J$43,IF(L65="Graveyard",D65*'Crew Mix'!$K$43,IF(L65="Special",D65*'Crew Mix'!$L$43,0)))</f>
        <v>0</v>
      </c>
      <c r="Q65" s="53">
        <f>IF(P65&gt;0,D65,0)</f>
        <v>0</v>
      </c>
    </row>
    <row r="66" spans="1:17" ht="15.5">
      <c r="A66" s="408"/>
      <c r="B66" s="409"/>
      <c r="C66" s="410"/>
      <c r="D66" s="411">
        <f t="shared" si="10"/>
        <v>0</v>
      </c>
      <c r="E66" s="410"/>
      <c r="F66" s="411">
        <f t="shared" si="11"/>
        <v>0</v>
      </c>
      <c r="G66" s="410"/>
      <c r="H66" s="412">
        <f t="shared" si="12"/>
        <v>0</v>
      </c>
      <c r="I66" s="552"/>
      <c r="J66" s="552"/>
      <c r="K66" s="410"/>
      <c r="L66" s="388"/>
      <c r="N66" s="402">
        <f>IF(L66="Swing",F66*'Crew Mix'!$J$43,IF(L66="Graveyard",F66*'Crew Mix'!$K$43,IF(L66="Special",F66*'Crew Mix'!$L$43,0)))</f>
        <v>0</v>
      </c>
      <c r="O66" s="53">
        <f t="shared" ref="O66:O90" si="13">IF(N66&gt;0,F66,0)</f>
        <v>0</v>
      </c>
      <c r="P66" s="402">
        <f>IF(L66="Swing",D66*'Crew Mix'!$J$43,IF(L66="Graveyard",D66*'Crew Mix'!$K$43,IF(L66="Special",D66*'Crew Mix'!$L$43,0)))</f>
        <v>0</v>
      </c>
      <c r="Q66" s="53">
        <f t="shared" ref="Q66:Q90" si="14">IF(P66&gt;0,D66,0)</f>
        <v>0</v>
      </c>
    </row>
    <row r="67" spans="1:17" ht="15.5">
      <c r="A67" s="408"/>
      <c r="B67" s="409"/>
      <c r="C67" s="410"/>
      <c r="D67" s="411">
        <f t="shared" si="10"/>
        <v>0</v>
      </c>
      <c r="E67" s="410"/>
      <c r="F67" s="411">
        <f t="shared" si="11"/>
        <v>0</v>
      </c>
      <c r="G67" s="410"/>
      <c r="H67" s="412">
        <f t="shared" si="12"/>
        <v>0</v>
      </c>
      <c r="I67" s="552"/>
      <c r="J67" s="552"/>
      <c r="K67" s="410"/>
      <c r="L67" s="388"/>
      <c r="N67" s="402">
        <f>IF(L67="Swing",F67*'Crew Mix'!$J$43,IF(L67="Graveyard",F67*'Crew Mix'!$K$43,IF(L67="Special",F67*'Crew Mix'!$L$43,0)))</f>
        <v>0</v>
      </c>
      <c r="O67" s="53">
        <f t="shared" si="13"/>
        <v>0</v>
      </c>
      <c r="P67" s="402">
        <f>IF(L67="Swing",D67*'Crew Mix'!$J$43,IF(L67="Graveyard",D67*'Crew Mix'!$K$43,IF(L67="Special",D67*'Crew Mix'!$L$43,0)))</f>
        <v>0</v>
      </c>
      <c r="Q67" s="53">
        <f t="shared" si="14"/>
        <v>0</v>
      </c>
    </row>
    <row r="68" spans="1:17" ht="15.5">
      <c r="A68" s="408"/>
      <c r="B68" s="409"/>
      <c r="C68" s="410"/>
      <c r="D68" s="411">
        <f t="shared" si="10"/>
        <v>0</v>
      </c>
      <c r="E68" s="410"/>
      <c r="F68" s="411">
        <f t="shared" si="11"/>
        <v>0</v>
      </c>
      <c r="G68" s="410"/>
      <c r="H68" s="412">
        <f t="shared" si="12"/>
        <v>0</v>
      </c>
      <c r="I68" s="552"/>
      <c r="J68" s="552"/>
      <c r="K68" s="410"/>
      <c r="L68" s="388"/>
      <c r="N68" s="402">
        <f>IF(L68="Swing",F68*'Crew Mix'!$J$43,IF(L68="Graveyard",F68*'Crew Mix'!$K$43,IF(L68="Special",F68*'Crew Mix'!$L$43,0)))</f>
        <v>0</v>
      </c>
      <c r="O68" s="53">
        <f t="shared" si="13"/>
        <v>0</v>
      </c>
      <c r="P68" s="402">
        <f>IF(L68="Swing",D68*'Crew Mix'!$J$43,IF(L68="Graveyard",D68*'Crew Mix'!$K$43,IF(L68="Special",D68*'Crew Mix'!$L$43,0)))</f>
        <v>0</v>
      </c>
      <c r="Q68" s="53">
        <f t="shared" si="14"/>
        <v>0</v>
      </c>
    </row>
    <row r="69" spans="1:17" ht="15.5">
      <c r="A69" s="408"/>
      <c r="B69" s="409"/>
      <c r="C69" s="410"/>
      <c r="D69" s="411">
        <f t="shared" si="10"/>
        <v>0</v>
      </c>
      <c r="E69" s="410"/>
      <c r="F69" s="411">
        <f t="shared" si="11"/>
        <v>0</v>
      </c>
      <c r="G69" s="410"/>
      <c r="H69" s="412">
        <f t="shared" si="12"/>
        <v>0</v>
      </c>
      <c r="I69" s="552"/>
      <c r="J69" s="552"/>
      <c r="K69" s="410"/>
      <c r="L69" s="388"/>
      <c r="N69" s="402">
        <f>IF(L69="Swing",F69*'Crew Mix'!$J$43,IF(L69="Graveyard",F69*'Crew Mix'!$K$43,IF(L69="Special",F69*'Crew Mix'!$L$43,0)))</f>
        <v>0</v>
      </c>
      <c r="O69" s="53">
        <f t="shared" si="13"/>
        <v>0</v>
      </c>
      <c r="P69" s="402">
        <f>IF(L69="Swing",D69*'Crew Mix'!$J$43,IF(L69="Graveyard",D69*'Crew Mix'!$K$43,IF(L69="Special",D69*'Crew Mix'!$L$43,0)))</f>
        <v>0</v>
      </c>
      <c r="Q69" s="53">
        <f t="shared" si="14"/>
        <v>0</v>
      </c>
    </row>
    <row r="70" spans="1:17" ht="15.5">
      <c r="A70" s="408"/>
      <c r="B70" s="409"/>
      <c r="C70" s="410"/>
      <c r="D70" s="411">
        <f t="shared" si="10"/>
        <v>0</v>
      </c>
      <c r="E70" s="410"/>
      <c r="F70" s="411">
        <f t="shared" si="11"/>
        <v>0</v>
      </c>
      <c r="G70" s="410"/>
      <c r="H70" s="412">
        <f t="shared" si="12"/>
        <v>0</v>
      </c>
      <c r="I70" s="552"/>
      <c r="J70" s="552"/>
      <c r="K70" s="410"/>
      <c r="L70" s="388"/>
      <c r="N70" s="402">
        <f>IF(L70="Swing",F70*'Crew Mix'!$J$43,IF(L70="Graveyard",F70*'Crew Mix'!$K$43,IF(L70="Special",F70*'Crew Mix'!$L$43,0)))</f>
        <v>0</v>
      </c>
      <c r="O70" s="53">
        <f t="shared" si="13"/>
        <v>0</v>
      </c>
      <c r="P70" s="402">
        <f>IF(L70="Swing",D70*'Crew Mix'!$J$43,IF(L70="Graveyard",D70*'Crew Mix'!$K$43,IF(L70="Special",D70*'Crew Mix'!$L$43,0)))</f>
        <v>0</v>
      </c>
      <c r="Q70" s="53">
        <f t="shared" si="14"/>
        <v>0</v>
      </c>
    </row>
    <row r="71" spans="1:17" ht="15.5">
      <c r="A71" s="408"/>
      <c r="B71" s="409"/>
      <c r="C71" s="410"/>
      <c r="D71" s="411">
        <f t="shared" si="10"/>
        <v>0</v>
      </c>
      <c r="E71" s="410"/>
      <c r="F71" s="411">
        <f t="shared" si="11"/>
        <v>0</v>
      </c>
      <c r="G71" s="410"/>
      <c r="H71" s="412">
        <f t="shared" si="12"/>
        <v>0</v>
      </c>
      <c r="I71" s="552"/>
      <c r="J71" s="552"/>
      <c r="K71" s="410"/>
      <c r="L71" s="388"/>
      <c r="N71" s="402">
        <f>IF(L71="Swing",F71*'Crew Mix'!$J$43,IF(L71="Graveyard",F71*'Crew Mix'!$K$43,IF(L71="Special",F71*'Crew Mix'!$L$43,0)))</f>
        <v>0</v>
      </c>
      <c r="O71" s="53">
        <f t="shared" si="13"/>
        <v>0</v>
      </c>
      <c r="P71" s="402">
        <f>IF(L71="Swing",D71*'Crew Mix'!$J$43,IF(L71="Graveyard",D71*'Crew Mix'!$K$43,IF(L71="Special",D71*'Crew Mix'!$L$43,0)))</f>
        <v>0</v>
      </c>
      <c r="Q71" s="53">
        <f t="shared" si="14"/>
        <v>0</v>
      </c>
    </row>
    <row r="72" spans="1:17" ht="15.5">
      <c r="A72" s="408"/>
      <c r="B72" s="409"/>
      <c r="C72" s="410"/>
      <c r="D72" s="411">
        <f t="shared" si="10"/>
        <v>0</v>
      </c>
      <c r="E72" s="410"/>
      <c r="F72" s="411">
        <f t="shared" si="11"/>
        <v>0</v>
      </c>
      <c r="G72" s="410"/>
      <c r="H72" s="412">
        <f t="shared" si="12"/>
        <v>0</v>
      </c>
      <c r="I72" s="552"/>
      <c r="J72" s="552"/>
      <c r="K72" s="410"/>
      <c r="L72" s="388"/>
      <c r="N72" s="402">
        <f>IF(L72="Swing",F72*'Crew Mix'!$J$43,IF(L72="Graveyard",F72*'Crew Mix'!$K$43,IF(L72="Special",F72*'Crew Mix'!$L$43,0)))</f>
        <v>0</v>
      </c>
      <c r="O72" s="53">
        <f t="shared" si="13"/>
        <v>0</v>
      </c>
      <c r="P72" s="402">
        <f>IF(L72="Swing",D72*'Crew Mix'!$J$43,IF(L72="Graveyard",D72*'Crew Mix'!$K$43,IF(L72="Special",D72*'Crew Mix'!$L$43,0)))</f>
        <v>0</v>
      </c>
      <c r="Q72" s="53">
        <f t="shared" si="14"/>
        <v>0</v>
      </c>
    </row>
    <row r="73" spans="1:17" ht="15.5">
      <c r="A73" s="408"/>
      <c r="B73" s="409"/>
      <c r="C73" s="410"/>
      <c r="D73" s="411">
        <f t="shared" si="10"/>
        <v>0</v>
      </c>
      <c r="E73" s="410"/>
      <c r="F73" s="411">
        <f t="shared" si="11"/>
        <v>0</v>
      </c>
      <c r="G73" s="410"/>
      <c r="H73" s="412">
        <f t="shared" si="12"/>
        <v>0</v>
      </c>
      <c r="I73" s="552"/>
      <c r="J73" s="552"/>
      <c r="K73" s="410"/>
      <c r="L73" s="388"/>
      <c r="N73" s="402">
        <f>IF(L73="Swing",F73*'Crew Mix'!$J$43,IF(L73="Graveyard",F73*'Crew Mix'!$K$43,IF(L73="Special",F73*'Crew Mix'!$L$43,0)))</f>
        <v>0</v>
      </c>
      <c r="O73" s="53">
        <f t="shared" si="13"/>
        <v>0</v>
      </c>
      <c r="P73" s="402">
        <f>IF(L73="Swing",D73*'Crew Mix'!$J$43,IF(L73="Graveyard",D73*'Crew Mix'!$K$43,IF(L73="Special",D73*'Crew Mix'!$L$43,0)))</f>
        <v>0</v>
      </c>
      <c r="Q73" s="53">
        <f t="shared" si="14"/>
        <v>0</v>
      </c>
    </row>
    <row r="74" spans="1:17" ht="15.5">
      <c r="A74" s="408"/>
      <c r="B74" s="409"/>
      <c r="C74" s="410"/>
      <c r="D74" s="411">
        <f t="shared" si="10"/>
        <v>0</v>
      </c>
      <c r="E74" s="410"/>
      <c r="F74" s="411">
        <f t="shared" si="11"/>
        <v>0</v>
      </c>
      <c r="G74" s="410"/>
      <c r="H74" s="412">
        <f t="shared" si="12"/>
        <v>0</v>
      </c>
      <c r="I74" s="552"/>
      <c r="J74" s="552"/>
      <c r="K74" s="410"/>
      <c r="L74" s="388"/>
      <c r="N74" s="402">
        <f>IF(L74="Swing",F74*'Crew Mix'!$J$43,IF(L74="Graveyard",F74*'Crew Mix'!$K$43,IF(L74="Special",F74*'Crew Mix'!$L$43,0)))</f>
        <v>0</v>
      </c>
      <c r="O74" s="53">
        <f t="shared" si="13"/>
        <v>0</v>
      </c>
      <c r="P74" s="402">
        <f>IF(L74="Swing",D74*'Crew Mix'!$J$43,IF(L74="Graveyard",D74*'Crew Mix'!$K$43,IF(L74="Special",D74*'Crew Mix'!$L$43,0)))</f>
        <v>0</v>
      </c>
      <c r="Q74" s="53">
        <f t="shared" si="14"/>
        <v>0</v>
      </c>
    </row>
    <row r="75" spans="1:17" ht="15.5">
      <c r="A75" s="408"/>
      <c r="B75" s="409"/>
      <c r="C75" s="410"/>
      <c r="D75" s="411">
        <f t="shared" si="10"/>
        <v>0</v>
      </c>
      <c r="E75" s="410"/>
      <c r="F75" s="411">
        <f t="shared" si="11"/>
        <v>0</v>
      </c>
      <c r="G75" s="410"/>
      <c r="H75" s="412">
        <f t="shared" si="12"/>
        <v>0</v>
      </c>
      <c r="I75" s="552"/>
      <c r="J75" s="552"/>
      <c r="K75" s="410"/>
      <c r="L75" s="388"/>
      <c r="N75" s="402">
        <f>IF(L75="Swing",F75*'Crew Mix'!$J$43,IF(L75="Graveyard",F75*'Crew Mix'!$K$43,IF(L75="Special",F75*'Crew Mix'!$L$43,0)))</f>
        <v>0</v>
      </c>
      <c r="O75" s="53">
        <f t="shared" si="13"/>
        <v>0</v>
      </c>
      <c r="P75" s="402">
        <f>IF(L75="Swing",D75*'Crew Mix'!$J$43,IF(L75="Graveyard",D75*'Crew Mix'!$K$43,IF(L75="Special",D75*'Crew Mix'!$L$43,0)))</f>
        <v>0</v>
      </c>
      <c r="Q75" s="53">
        <f t="shared" si="14"/>
        <v>0</v>
      </c>
    </row>
    <row r="76" spans="1:17" ht="15.5">
      <c r="A76" s="408"/>
      <c r="B76" s="409"/>
      <c r="C76" s="410"/>
      <c r="D76" s="411">
        <f t="shared" si="10"/>
        <v>0</v>
      </c>
      <c r="E76" s="410"/>
      <c r="F76" s="411">
        <f t="shared" si="11"/>
        <v>0</v>
      </c>
      <c r="G76" s="410"/>
      <c r="H76" s="412">
        <f t="shared" si="12"/>
        <v>0</v>
      </c>
      <c r="I76" s="552"/>
      <c r="J76" s="552"/>
      <c r="K76" s="410"/>
      <c r="L76" s="388"/>
      <c r="N76" s="402">
        <f>IF(L76="Swing",F76*'Crew Mix'!$J$43,IF(L76="Graveyard",F76*'Crew Mix'!$K$43,IF(L76="Special",F76*'Crew Mix'!$L$43,0)))</f>
        <v>0</v>
      </c>
      <c r="O76" s="53">
        <f t="shared" si="13"/>
        <v>0</v>
      </c>
      <c r="P76" s="402">
        <f>IF(L76="Swing",D76*'Crew Mix'!$J$43,IF(L76="Graveyard",D76*'Crew Mix'!$K$43,IF(L76="Special",D76*'Crew Mix'!$L$43,0)))</f>
        <v>0</v>
      </c>
      <c r="Q76" s="53">
        <f t="shared" si="14"/>
        <v>0</v>
      </c>
    </row>
    <row r="77" spans="1:17" ht="15.5">
      <c r="A77" s="408"/>
      <c r="B77" s="409"/>
      <c r="C77" s="410"/>
      <c r="D77" s="411">
        <f t="shared" si="10"/>
        <v>0</v>
      </c>
      <c r="E77" s="410"/>
      <c r="F77" s="411">
        <f t="shared" si="11"/>
        <v>0</v>
      </c>
      <c r="G77" s="410"/>
      <c r="H77" s="412">
        <f t="shared" si="12"/>
        <v>0</v>
      </c>
      <c r="I77" s="552"/>
      <c r="J77" s="552"/>
      <c r="K77" s="410"/>
      <c r="L77" s="388"/>
      <c r="N77" s="402">
        <f>IF(L77="Swing",F77*'Crew Mix'!$J$43,IF(L77="Graveyard",F77*'Crew Mix'!$K$43,IF(L77="Special",F77*'Crew Mix'!$L$43,0)))</f>
        <v>0</v>
      </c>
      <c r="O77" s="53">
        <f t="shared" si="13"/>
        <v>0</v>
      </c>
      <c r="P77" s="402">
        <f>IF(L77="Swing",D77*'Crew Mix'!$J$43,IF(L77="Graveyard",D77*'Crew Mix'!$K$43,IF(L77="Special",D77*'Crew Mix'!$L$43,0)))</f>
        <v>0</v>
      </c>
      <c r="Q77" s="53">
        <f t="shared" si="14"/>
        <v>0</v>
      </c>
    </row>
    <row r="78" spans="1:17" ht="15.5">
      <c r="A78" s="408"/>
      <c r="B78" s="409"/>
      <c r="C78" s="410"/>
      <c r="D78" s="411">
        <f t="shared" si="10"/>
        <v>0</v>
      </c>
      <c r="E78" s="410"/>
      <c r="F78" s="411">
        <f t="shared" si="11"/>
        <v>0</v>
      </c>
      <c r="G78" s="410"/>
      <c r="H78" s="412">
        <f t="shared" si="12"/>
        <v>0</v>
      </c>
      <c r="I78" s="552"/>
      <c r="J78" s="552"/>
      <c r="K78" s="410"/>
      <c r="L78" s="388"/>
      <c r="N78" s="402">
        <f>IF(L78="Swing",F78*'Crew Mix'!$J$43,IF(L78="Graveyard",F78*'Crew Mix'!$K$43,IF(L78="Special",F78*'Crew Mix'!$L$43,0)))</f>
        <v>0</v>
      </c>
      <c r="O78" s="53">
        <f t="shared" si="13"/>
        <v>0</v>
      </c>
      <c r="P78" s="402">
        <f>IF(L78="Swing",D78*'Crew Mix'!$J$43,IF(L78="Graveyard",D78*'Crew Mix'!$K$43,IF(L78="Special",D78*'Crew Mix'!$L$43,0)))</f>
        <v>0</v>
      </c>
      <c r="Q78" s="53">
        <f t="shared" si="14"/>
        <v>0</v>
      </c>
    </row>
    <row r="79" spans="1:17" ht="15.5">
      <c r="A79" s="408"/>
      <c r="B79" s="409"/>
      <c r="C79" s="410"/>
      <c r="D79" s="411">
        <f t="shared" si="10"/>
        <v>0</v>
      </c>
      <c r="E79" s="410"/>
      <c r="F79" s="411">
        <f t="shared" si="11"/>
        <v>0</v>
      </c>
      <c r="G79" s="410"/>
      <c r="H79" s="412">
        <f t="shared" si="12"/>
        <v>0</v>
      </c>
      <c r="I79" s="552"/>
      <c r="J79" s="552"/>
      <c r="K79" s="410"/>
      <c r="L79" s="388"/>
      <c r="N79" s="402">
        <f>IF(L79="Swing",F79*'Crew Mix'!$J$43,IF(L79="Graveyard",F79*'Crew Mix'!$K$43,IF(L79="Special",F79*'Crew Mix'!$L$43,0)))</f>
        <v>0</v>
      </c>
      <c r="O79" s="53">
        <f t="shared" si="13"/>
        <v>0</v>
      </c>
      <c r="P79" s="402">
        <f>IF(L79="Swing",D79*'Crew Mix'!$J$43,IF(L79="Graveyard",D79*'Crew Mix'!$K$43,IF(L79="Special",D79*'Crew Mix'!$L$43,0)))</f>
        <v>0</v>
      </c>
      <c r="Q79" s="53">
        <f t="shared" si="14"/>
        <v>0</v>
      </c>
    </row>
    <row r="80" spans="1:17" ht="15.5">
      <c r="A80" s="408"/>
      <c r="B80" s="409"/>
      <c r="C80" s="410"/>
      <c r="D80" s="411">
        <f t="shared" si="10"/>
        <v>0</v>
      </c>
      <c r="E80" s="410"/>
      <c r="F80" s="411">
        <f t="shared" si="11"/>
        <v>0</v>
      </c>
      <c r="G80" s="410"/>
      <c r="H80" s="412">
        <f t="shared" si="12"/>
        <v>0</v>
      </c>
      <c r="I80" s="552"/>
      <c r="J80" s="552"/>
      <c r="K80" s="410"/>
      <c r="L80" s="388"/>
      <c r="N80" s="402">
        <f>IF(L80="Swing",F80*'Crew Mix'!$J$43,IF(L80="Graveyard",F80*'Crew Mix'!$K$43,IF(L80="Special",F80*'Crew Mix'!$L$43,0)))</f>
        <v>0</v>
      </c>
      <c r="O80" s="53">
        <f t="shared" si="13"/>
        <v>0</v>
      </c>
      <c r="P80" s="402">
        <f>IF(L80="Swing",D80*'Crew Mix'!$J$43,IF(L80="Graveyard",D80*'Crew Mix'!$K$43,IF(L80="Special",D80*'Crew Mix'!$L$43,0)))</f>
        <v>0</v>
      </c>
      <c r="Q80" s="53">
        <f t="shared" si="14"/>
        <v>0</v>
      </c>
    </row>
    <row r="81" spans="1:17" ht="15.5">
      <c r="A81" s="408"/>
      <c r="B81" s="409"/>
      <c r="C81" s="410"/>
      <c r="D81" s="411">
        <f t="shared" si="10"/>
        <v>0</v>
      </c>
      <c r="E81" s="410"/>
      <c r="F81" s="411">
        <f t="shared" si="11"/>
        <v>0</v>
      </c>
      <c r="G81" s="410"/>
      <c r="H81" s="412">
        <f t="shared" si="12"/>
        <v>0</v>
      </c>
      <c r="I81" s="552"/>
      <c r="J81" s="552"/>
      <c r="K81" s="410"/>
      <c r="L81" s="388"/>
      <c r="N81" s="402">
        <f>IF(L81="Swing",F81*'Crew Mix'!$J$43,IF(L81="Graveyard",F81*'Crew Mix'!$K$43,IF(L81="Special",F81*'Crew Mix'!$L$43,0)))</f>
        <v>0</v>
      </c>
      <c r="O81" s="53">
        <f t="shared" si="13"/>
        <v>0</v>
      </c>
      <c r="P81" s="402">
        <f>IF(L81="Swing",D81*'Crew Mix'!$J$43,IF(L81="Graveyard",D81*'Crew Mix'!$K$43,IF(L81="Special",D81*'Crew Mix'!$L$43,0)))</f>
        <v>0</v>
      </c>
      <c r="Q81" s="53">
        <f t="shared" si="14"/>
        <v>0</v>
      </c>
    </row>
    <row r="82" spans="1:17" ht="15.5">
      <c r="A82" s="408"/>
      <c r="B82" s="409"/>
      <c r="C82" s="410"/>
      <c r="D82" s="411">
        <f t="shared" si="10"/>
        <v>0</v>
      </c>
      <c r="E82" s="410"/>
      <c r="F82" s="411">
        <f t="shared" si="11"/>
        <v>0</v>
      </c>
      <c r="G82" s="410"/>
      <c r="H82" s="412">
        <f t="shared" si="12"/>
        <v>0</v>
      </c>
      <c r="I82" s="552"/>
      <c r="J82" s="552"/>
      <c r="K82" s="410"/>
      <c r="L82" s="388"/>
      <c r="N82" s="402">
        <f>IF(L82="Swing",F82*'Crew Mix'!$J$43,IF(L82="Graveyard",F82*'Crew Mix'!$K$43,IF(L82="Special",F82*'Crew Mix'!$L$43,0)))</f>
        <v>0</v>
      </c>
      <c r="O82" s="53">
        <f t="shared" si="13"/>
        <v>0</v>
      </c>
      <c r="P82" s="402">
        <f>IF(L82="Swing",D82*'Crew Mix'!$J$43,IF(L82="Graveyard",D82*'Crew Mix'!$K$43,IF(L82="Special",D82*'Crew Mix'!$L$43,0)))</f>
        <v>0</v>
      </c>
      <c r="Q82" s="53">
        <f t="shared" si="14"/>
        <v>0</v>
      </c>
    </row>
    <row r="83" spans="1:17" ht="15.5">
      <c r="A83" s="408"/>
      <c r="B83" s="409"/>
      <c r="C83" s="410"/>
      <c r="D83" s="411">
        <f t="shared" si="10"/>
        <v>0</v>
      </c>
      <c r="E83" s="410"/>
      <c r="F83" s="411">
        <f t="shared" si="11"/>
        <v>0</v>
      </c>
      <c r="G83" s="410"/>
      <c r="H83" s="412">
        <f t="shared" si="12"/>
        <v>0</v>
      </c>
      <c r="I83" s="552"/>
      <c r="J83" s="552"/>
      <c r="K83" s="410"/>
      <c r="L83" s="388"/>
      <c r="N83" s="402">
        <f>IF(L83="Swing",F83*'Crew Mix'!$J$43,IF(L83="Graveyard",F83*'Crew Mix'!$K$43,IF(L83="Special",F83*'Crew Mix'!$L$43,0)))</f>
        <v>0</v>
      </c>
      <c r="O83" s="53">
        <f t="shared" si="13"/>
        <v>0</v>
      </c>
      <c r="P83" s="402">
        <f>IF(L83="Swing",D83*'Crew Mix'!$J$43,IF(L83="Graveyard",D83*'Crew Mix'!$K$43,IF(L83="Special",D83*'Crew Mix'!$L$43,0)))</f>
        <v>0</v>
      </c>
      <c r="Q83" s="53">
        <f t="shared" si="14"/>
        <v>0</v>
      </c>
    </row>
    <row r="84" spans="1:17" ht="15.5">
      <c r="A84" s="408"/>
      <c r="B84" s="409"/>
      <c r="C84" s="410"/>
      <c r="D84" s="411">
        <f t="shared" si="10"/>
        <v>0</v>
      </c>
      <c r="E84" s="410"/>
      <c r="F84" s="411">
        <f t="shared" si="11"/>
        <v>0</v>
      </c>
      <c r="G84" s="410"/>
      <c r="H84" s="412">
        <f t="shared" si="12"/>
        <v>0</v>
      </c>
      <c r="I84" s="552"/>
      <c r="J84" s="552"/>
      <c r="K84" s="410"/>
      <c r="L84" s="388"/>
      <c r="N84" s="402">
        <f>IF(L84="Swing",F84*'Crew Mix'!$J$43,IF(L84="Graveyard",F84*'Crew Mix'!$K$43,IF(L84="Special",F84*'Crew Mix'!$L$43,0)))</f>
        <v>0</v>
      </c>
      <c r="O84" s="53">
        <f t="shared" si="13"/>
        <v>0</v>
      </c>
      <c r="P84" s="402">
        <f>IF(L84="Swing",D84*'Crew Mix'!$J$43,IF(L84="Graveyard",D84*'Crew Mix'!$K$43,IF(L84="Special",D84*'Crew Mix'!$L$43,0)))</f>
        <v>0</v>
      </c>
      <c r="Q84" s="53">
        <f t="shared" si="14"/>
        <v>0</v>
      </c>
    </row>
    <row r="85" spans="1:17" ht="15.5">
      <c r="A85" s="408"/>
      <c r="B85" s="409"/>
      <c r="C85" s="410"/>
      <c r="D85" s="411">
        <f t="shared" si="10"/>
        <v>0</v>
      </c>
      <c r="E85" s="410"/>
      <c r="F85" s="411">
        <f t="shared" si="11"/>
        <v>0</v>
      </c>
      <c r="G85" s="410"/>
      <c r="H85" s="412">
        <f t="shared" si="12"/>
        <v>0</v>
      </c>
      <c r="I85" s="552"/>
      <c r="J85" s="552"/>
      <c r="K85" s="410"/>
      <c r="L85" s="388"/>
      <c r="N85" s="402">
        <f>IF(L85="Swing",F85*'Crew Mix'!$J$43,IF(L85="Graveyard",F85*'Crew Mix'!$K$43,IF(L85="Special",F85*'Crew Mix'!$L$43,0)))</f>
        <v>0</v>
      </c>
      <c r="O85" s="53">
        <f t="shared" si="13"/>
        <v>0</v>
      </c>
      <c r="P85" s="402">
        <f>IF(L85="Swing",D85*'Crew Mix'!$J$43,IF(L85="Graveyard",D85*'Crew Mix'!$K$43,IF(L85="Special",D85*'Crew Mix'!$L$43,0)))</f>
        <v>0</v>
      </c>
      <c r="Q85" s="53">
        <f t="shared" si="14"/>
        <v>0</v>
      </c>
    </row>
    <row r="86" spans="1:17" ht="15.5">
      <c r="A86" s="408"/>
      <c r="B86" s="409"/>
      <c r="C86" s="410"/>
      <c r="D86" s="411">
        <f t="shared" si="10"/>
        <v>0</v>
      </c>
      <c r="E86" s="410"/>
      <c r="F86" s="411">
        <f t="shared" si="11"/>
        <v>0</v>
      </c>
      <c r="G86" s="410"/>
      <c r="H86" s="412">
        <f t="shared" si="12"/>
        <v>0</v>
      </c>
      <c r="I86" s="552"/>
      <c r="J86" s="552"/>
      <c r="K86" s="410"/>
      <c r="L86" s="388"/>
      <c r="N86" s="402">
        <f>IF(L86="Swing",F86*'Crew Mix'!$J$43,IF(L86="Graveyard",F86*'Crew Mix'!$K$43,IF(L86="Special",F86*'Crew Mix'!$L$43,0)))</f>
        <v>0</v>
      </c>
      <c r="O86" s="53">
        <f t="shared" si="13"/>
        <v>0</v>
      </c>
      <c r="P86" s="402">
        <f>IF(L86="Swing",D86*'Crew Mix'!$J$43,IF(L86="Graveyard",D86*'Crew Mix'!$K$43,IF(L86="Special",D86*'Crew Mix'!$L$43,0)))</f>
        <v>0</v>
      </c>
      <c r="Q86" s="53">
        <f t="shared" si="14"/>
        <v>0</v>
      </c>
    </row>
    <row r="87" spans="1:17" ht="15.5">
      <c r="A87" s="408"/>
      <c r="B87" s="409"/>
      <c r="C87" s="410"/>
      <c r="D87" s="411">
        <f t="shared" si="10"/>
        <v>0</v>
      </c>
      <c r="E87" s="410"/>
      <c r="F87" s="411">
        <f t="shared" si="11"/>
        <v>0</v>
      </c>
      <c r="G87" s="410"/>
      <c r="H87" s="412">
        <f t="shared" si="12"/>
        <v>0</v>
      </c>
      <c r="I87" s="552"/>
      <c r="J87" s="552"/>
      <c r="K87" s="410"/>
      <c r="L87" s="388"/>
      <c r="N87" s="402">
        <f>IF(L87="Swing",F87*'Crew Mix'!$J$43,IF(L87="Graveyard",F87*'Crew Mix'!$K$43,IF(L87="Special",F87*'Crew Mix'!$L$43,0)))</f>
        <v>0</v>
      </c>
      <c r="O87" s="53">
        <f t="shared" si="13"/>
        <v>0</v>
      </c>
      <c r="P87" s="402">
        <f>IF(L87="Swing",D87*'Crew Mix'!$J$43,IF(L87="Graveyard",D87*'Crew Mix'!$K$43,IF(L87="Special",D87*'Crew Mix'!$L$43,0)))</f>
        <v>0</v>
      </c>
      <c r="Q87" s="53">
        <f t="shared" si="14"/>
        <v>0</v>
      </c>
    </row>
    <row r="88" spans="1:17" ht="15.5">
      <c r="A88" s="408"/>
      <c r="B88" s="409"/>
      <c r="C88" s="410"/>
      <c r="D88" s="411">
        <f t="shared" si="10"/>
        <v>0</v>
      </c>
      <c r="E88" s="410"/>
      <c r="F88" s="411">
        <f t="shared" si="11"/>
        <v>0</v>
      </c>
      <c r="G88" s="410"/>
      <c r="H88" s="412">
        <f t="shared" si="12"/>
        <v>0</v>
      </c>
      <c r="I88" s="552"/>
      <c r="J88" s="552"/>
      <c r="K88" s="410"/>
      <c r="L88" s="388"/>
      <c r="N88" s="402">
        <f>IF(L88="Swing",F88*'Crew Mix'!$J$43,IF(L88="Graveyard",F88*'Crew Mix'!$K$43,IF(L88="Special",F88*'Crew Mix'!$L$43,0)))</f>
        <v>0</v>
      </c>
      <c r="O88" s="53">
        <f t="shared" si="13"/>
        <v>0</v>
      </c>
      <c r="P88" s="402">
        <f>IF(L88="Swing",D88*'Crew Mix'!$J$43,IF(L88="Graveyard",D88*'Crew Mix'!$K$43,IF(L88="Special",D88*'Crew Mix'!$L$43,0)))</f>
        <v>0</v>
      </c>
      <c r="Q88" s="53">
        <f t="shared" si="14"/>
        <v>0</v>
      </c>
    </row>
    <row r="89" spans="1:17" ht="15.5">
      <c r="A89" s="408"/>
      <c r="B89" s="409"/>
      <c r="C89" s="410"/>
      <c r="D89" s="411">
        <f t="shared" si="10"/>
        <v>0</v>
      </c>
      <c r="E89" s="410"/>
      <c r="F89" s="411">
        <f t="shared" si="11"/>
        <v>0</v>
      </c>
      <c r="G89" s="410"/>
      <c r="H89" s="412">
        <f t="shared" si="12"/>
        <v>0</v>
      </c>
      <c r="I89" s="552"/>
      <c r="J89" s="552"/>
      <c r="K89" s="410"/>
      <c r="L89" s="388"/>
      <c r="N89" s="402">
        <f>IF(L89="Swing",F89*'Crew Mix'!$J$43,IF(L89="Graveyard",F89*'Crew Mix'!$K$43,IF(L89="Special",F89*'Crew Mix'!$L$43,0)))</f>
        <v>0</v>
      </c>
      <c r="O89" s="53">
        <f t="shared" si="13"/>
        <v>0</v>
      </c>
      <c r="P89" s="402">
        <f>IF(L89="Swing",D89*'Crew Mix'!$J$43,IF(L89="Graveyard",D89*'Crew Mix'!$K$43,IF(L89="Special",D89*'Crew Mix'!$L$43,0)))</f>
        <v>0</v>
      </c>
      <c r="Q89" s="53">
        <f t="shared" si="14"/>
        <v>0</v>
      </c>
    </row>
    <row r="90" spans="1:17" ht="15.5">
      <c r="A90" s="408"/>
      <c r="B90" s="409"/>
      <c r="C90" s="410"/>
      <c r="D90" s="411">
        <f t="shared" si="10"/>
        <v>0</v>
      </c>
      <c r="E90" s="410"/>
      <c r="F90" s="411">
        <f t="shared" si="11"/>
        <v>0</v>
      </c>
      <c r="G90" s="410"/>
      <c r="H90" s="412">
        <f t="shared" si="12"/>
        <v>0</v>
      </c>
      <c r="I90" s="552"/>
      <c r="J90" s="552"/>
      <c r="K90" s="410"/>
      <c r="L90" s="388"/>
      <c r="N90" s="402">
        <f>IF(L90="Swing",F90*'Crew Mix'!$J$43,IF(L90="Graveyard",F90*'Crew Mix'!$K$43,IF(L90="Special",F90*'Crew Mix'!$L$43,0)))</f>
        <v>0</v>
      </c>
      <c r="O90" s="53">
        <f t="shared" si="13"/>
        <v>0</v>
      </c>
      <c r="P90" s="402">
        <f>IF(L90="Swing",D90*'Crew Mix'!$J$43,IF(L90="Graveyard",D90*'Crew Mix'!$K$43,IF(L90="Special",D90*'Crew Mix'!$L$43,0)))</f>
        <v>0</v>
      </c>
      <c r="Q90" s="53">
        <f t="shared" si="14"/>
        <v>0</v>
      </c>
    </row>
    <row r="91" spans="1:17" ht="21">
      <c r="A91" s="413"/>
      <c r="B91" s="414"/>
      <c r="C91" s="415"/>
      <c r="D91" s="416">
        <f>SUM(D65:D90)</f>
        <v>0</v>
      </c>
      <c r="E91" s="417"/>
      <c r="F91" s="416">
        <f>SUM(F65:F90)</f>
        <v>0</v>
      </c>
      <c r="G91" s="417"/>
      <c r="H91" s="412">
        <f>SUM(H65:H90)</f>
        <v>0</v>
      </c>
      <c r="J91" s="418" t="s">
        <v>189</v>
      </c>
      <c r="K91" s="419" t="s">
        <v>125</v>
      </c>
    </row>
    <row r="92" spans="1:17" ht="15" thickBot="1"/>
    <row r="93" spans="1:17" ht="15" thickBot="1">
      <c r="B93" s="420" t="s">
        <v>85</v>
      </c>
      <c r="C93" s="421"/>
      <c r="D93" s="422">
        <f>SUM(D91,D60,D29)</f>
        <v>0</v>
      </c>
      <c r="E93" s="421"/>
      <c r="F93" s="422">
        <f>SUM(F91,F60,F29)</f>
        <v>0</v>
      </c>
      <c r="G93" s="421"/>
      <c r="H93" s="423">
        <f>SUM(H91,H29,H60)</f>
        <v>0</v>
      </c>
      <c r="I93" s="424"/>
    </row>
  </sheetData>
  <sheetProtection algorithmName="SHA-512" hashValue="azsACnZBQAouRH8PzX+KJldWfy8rcV8Rb2fdVB64IG2tsgiXPo6PsT6TZE1lPGR8oXnLE4atA283KDPDMK7gbg==" saltValue="NJu0h4uHrZsA+7RauxWwww==" spinCount="100000" sheet="1" objects="1" scenarios="1" formatCells="0" autoFilter="0"/>
  <mergeCells count="84">
    <mergeCell ref="I12:J12"/>
    <mergeCell ref="I1:J1"/>
    <mergeCell ref="I2:J2"/>
    <mergeCell ref="I3:J3"/>
    <mergeCell ref="I4:J4"/>
    <mergeCell ref="I5:J5"/>
    <mergeCell ref="I6:J6"/>
    <mergeCell ref="I7:J7"/>
    <mergeCell ref="I8:J8"/>
    <mergeCell ref="I9:J9"/>
    <mergeCell ref="I10:J10"/>
    <mergeCell ref="I11:J11"/>
    <mergeCell ref="I24:J24"/>
    <mergeCell ref="I13:J13"/>
    <mergeCell ref="I14:J14"/>
    <mergeCell ref="I15:J15"/>
    <mergeCell ref="I16:J16"/>
    <mergeCell ref="I17:J17"/>
    <mergeCell ref="I18:J18"/>
    <mergeCell ref="I19:J19"/>
    <mergeCell ref="I20:J20"/>
    <mergeCell ref="I21:J21"/>
    <mergeCell ref="I22:J22"/>
    <mergeCell ref="I23:J23"/>
    <mergeCell ref="I39:J39"/>
    <mergeCell ref="I25:J25"/>
    <mergeCell ref="I26:J26"/>
    <mergeCell ref="I27:J27"/>
    <mergeCell ref="I28:J28"/>
    <mergeCell ref="I32:J32"/>
    <mergeCell ref="I33:J33"/>
    <mergeCell ref="I34:J34"/>
    <mergeCell ref="I35:J35"/>
    <mergeCell ref="I36:J36"/>
    <mergeCell ref="I37:J37"/>
    <mergeCell ref="I38:J38"/>
    <mergeCell ref="I51:J51"/>
    <mergeCell ref="I40:J40"/>
    <mergeCell ref="I41:J41"/>
    <mergeCell ref="I42:J42"/>
    <mergeCell ref="I43:J43"/>
    <mergeCell ref="I44:J44"/>
    <mergeCell ref="I45:J45"/>
    <mergeCell ref="I46:J46"/>
    <mergeCell ref="I47:J47"/>
    <mergeCell ref="I48:J48"/>
    <mergeCell ref="I49:J49"/>
    <mergeCell ref="I50:J50"/>
    <mergeCell ref="I66:J66"/>
    <mergeCell ref="I52:J52"/>
    <mergeCell ref="I53:J53"/>
    <mergeCell ref="I54:J54"/>
    <mergeCell ref="I55:J55"/>
    <mergeCell ref="I56:J56"/>
    <mergeCell ref="I57:J57"/>
    <mergeCell ref="I58:J58"/>
    <mergeCell ref="I59:J59"/>
    <mergeCell ref="I63:J63"/>
    <mergeCell ref="I64:J64"/>
    <mergeCell ref="I65:J65"/>
    <mergeCell ref="I78:J78"/>
    <mergeCell ref="I67:J67"/>
    <mergeCell ref="I68:J68"/>
    <mergeCell ref="I69:J69"/>
    <mergeCell ref="I70:J70"/>
    <mergeCell ref="I71:J71"/>
    <mergeCell ref="I72:J72"/>
    <mergeCell ref="I73:J73"/>
    <mergeCell ref="I74:J74"/>
    <mergeCell ref="I75:J75"/>
    <mergeCell ref="I76:J76"/>
    <mergeCell ref="I77:J77"/>
    <mergeCell ref="I90:J90"/>
    <mergeCell ref="I79:J79"/>
    <mergeCell ref="I80:J80"/>
    <mergeCell ref="I81:J81"/>
    <mergeCell ref="I82:J82"/>
    <mergeCell ref="I83:J83"/>
    <mergeCell ref="I84:J84"/>
    <mergeCell ref="I85:J85"/>
    <mergeCell ref="I86:J86"/>
    <mergeCell ref="I87:J87"/>
    <mergeCell ref="I88:J88"/>
    <mergeCell ref="I89:J89"/>
  </mergeCells>
  <conditionalFormatting sqref="A1:K1">
    <cfRule type="expression" dxfId="60" priority="25">
      <formula>$K29="Yes"</formula>
    </cfRule>
  </conditionalFormatting>
  <conditionalFormatting sqref="B32:J32">
    <cfRule type="expression" dxfId="59" priority="24">
      <formula>$K60="Yes"</formula>
    </cfRule>
  </conditionalFormatting>
  <conditionalFormatting sqref="B63:J63">
    <cfRule type="expression" dxfId="58" priority="23">
      <formula>$K91="Yes"</formula>
    </cfRule>
  </conditionalFormatting>
  <conditionalFormatting sqref="A4:K4">
    <cfRule type="expression" dxfId="57" priority="21">
      <formula>$K4="DBLT"</formula>
    </cfRule>
    <cfRule type="expression" dxfId="56" priority="22">
      <formula>$K4="OT"</formula>
    </cfRule>
  </conditionalFormatting>
  <conditionalFormatting sqref="A3:K3">
    <cfRule type="expression" dxfId="55" priority="19">
      <formula>$K3="DBLT"</formula>
    </cfRule>
    <cfRule type="expression" dxfId="54" priority="20">
      <formula>$K3="OT"</formula>
    </cfRule>
  </conditionalFormatting>
  <conditionalFormatting sqref="A5:K28">
    <cfRule type="expression" dxfId="53" priority="17">
      <formula>$K5="DBLT"</formula>
    </cfRule>
    <cfRule type="expression" dxfId="52" priority="18">
      <formula>$K5="OT"</formula>
    </cfRule>
  </conditionalFormatting>
  <conditionalFormatting sqref="A34:K59">
    <cfRule type="expression" dxfId="51" priority="15">
      <formula>$K34="DBLT"</formula>
    </cfRule>
    <cfRule type="expression" dxfId="50" priority="16">
      <formula>$K34="OT"</formula>
    </cfRule>
  </conditionalFormatting>
  <conditionalFormatting sqref="A65:K90">
    <cfRule type="expression" dxfId="49" priority="13">
      <formula>$K65="DBLT"</formula>
    </cfRule>
    <cfRule type="expression" dxfId="48" priority="14">
      <formula>$K65="OT"</formula>
    </cfRule>
  </conditionalFormatting>
  <conditionalFormatting sqref="K32">
    <cfRule type="expression" dxfId="47" priority="12">
      <formula>$K60="Yes"</formula>
    </cfRule>
  </conditionalFormatting>
  <conditionalFormatting sqref="K63">
    <cfRule type="expression" dxfId="46" priority="11">
      <formula>$K91="Yes"</formula>
    </cfRule>
  </conditionalFormatting>
  <conditionalFormatting sqref="A32">
    <cfRule type="expression" dxfId="45" priority="10">
      <formula>$K60="Yes"</formula>
    </cfRule>
  </conditionalFormatting>
  <conditionalFormatting sqref="A63">
    <cfRule type="expression" dxfId="44" priority="9">
      <formula>$K91="Yes"</formula>
    </cfRule>
  </conditionalFormatting>
  <conditionalFormatting sqref="L1 L32">
    <cfRule type="expression" dxfId="43" priority="8">
      <formula>$I29="Yes"</formula>
    </cfRule>
  </conditionalFormatting>
  <conditionalFormatting sqref="L3:L28">
    <cfRule type="expression" dxfId="42" priority="6">
      <formula>$I3="DBLT"</formula>
    </cfRule>
    <cfRule type="expression" dxfId="41" priority="7">
      <formula>$I3="OT"</formula>
    </cfRule>
  </conditionalFormatting>
  <conditionalFormatting sqref="L34:L59">
    <cfRule type="expression" dxfId="40" priority="4">
      <formula>$I34="DBLT"</formula>
    </cfRule>
    <cfRule type="expression" dxfId="39" priority="5">
      <formula>$I34="OT"</formula>
    </cfRule>
  </conditionalFormatting>
  <conditionalFormatting sqref="L65:L90">
    <cfRule type="expression" dxfId="38" priority="2">
      <formula>$I65="DBLT"</formula>
    </cfRule>
    <cfRule type="expression" dxfId="37" priority="3">
      <formula>$I65="OT"</formula>
    </cfRule>
  </conditionalFormatting>
  <conditionalFormatting sqref="L63">
    <cfRule type="expression" dxfId="36" priority="1">
      <formula>$I91="Yes"</formula>
    </cfRule>
  </conditionalFormatting>
  <dataValidations count="3">
    <dataValidation type="list" allowBlank="1" showInputMessage="1" showErrorMessage="1" sqref="K3:K28 K34:K59 K65:K90" xr:uid="{00000000-0002-0000-0500-000000000000}">
      <formula1>"OT,DBLT"</formula1>
    </dataValidation>
    <dataValidation type="list" allowBlank="1" showInputMessage="1" showErrorMessage="1" sqref="K29 K60 K91" xr:uid="{00000000-0002-0000-0500-000001000000}">
      <formula1>"Yes,No"</formula1>
    </dataValidation>
    <dataValidation type="list" allowBlank="1" showInputMessage="1" showErrorMessage="1" sqref="L3:L28 L34:L59 L65:L90" xr:uid="{C682A092-E0C9-4C96-B08D-AB9108818318}">
      <formula1>"Swing, Graveyard, Special"</formula1>
    </dataValidation>
  </dataValidations>
  <printOptions horizontalCentered="1"/>
  <pageMargins left="0.7" right="0.7" top="0.75" bottom="0.75" header="0.3" footer="0.3"/>
  <pageSetup scale="64" fitToHeight="3" orientation="landscape" horizontalDpi="1200" verticalDpi="1200" r:id="rId1"/>
  <headerFooter scaleWithDoc="0">
    <oddHeader>&amp;A</oddHeader>
    <oddFooter>&amp;L&amp;Z&amp;F&amp;RPage &amp;P</oddFooter>
  </headerFooter>
  <rowBreaks count="2" manualBreakCount="2">
    <brk id="31" max="9" man="1"/>
    <brk id="62" max="9"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W967"/>
  <sheetViews>
    <sheetView workbookViewId="0">
      <pane ySplit="5" topLeftCell="A6" activePane="bottomLeft" state="frozen"/>
      <selection pane="bottomLeft" activeCell="Q88" sqref="Q88"/>
    </sheetView>
  </sheetViews>
  <sheetFormatPr defaultColWidth="9.1796875" defaultRowHeight="14.5"/>
  <cols>
    <col min="1" max="1" width="9.81640625" style="138" customWidth="1"/>
    <col min="2" max="2" width="11.54296875" style="138" customWidth="1"/>
    <col min="3" max="3" width="30" style="138" customWidth="1"/>
    <col min="4" max="4" width="11.81640625" style="138" customWidth="1"/>
    <col min="5" max="5" width="11.26953125" style="138" customWidth="1"/>
    <col min="6" max="7" width="11.1796875" style="138" customWidth="1"/>
    <col min="8" max="8" width="14.81640625" style="138" customWidth="1"/>
    <col min="9" max="9" width="10.453125" style="138" customWidth="1"/>
    <col min="10" max="10" width="10.54296875" style="217" customWidth="1"/>
    <col min="11" max="11" width="7" style="138" bestFit="1" customWidth="1"/>
    <col min="12" max="12" width="23.26953125" style="138" bestFit="1" customWidth="1"/>
    <col min="13" max="13" width="11.1796875" style="138" customWidth="1"/>
    <col min="14" max="14" width="8" style="138" bestFit="1" customWidth="1"/>
    <col min="15" max="15" width="13.81640625" style="138" customWidth="1"/>
    <col min="16" max="16" width="11.26953125" style="138" customWidth="1"/>
    <col min="17" max="17" width="14.453125" style="138" bestFit="1" customWidth="1"/>
    <col min="18" max="18" width="11" style="138" bestFit="1" customWidth="1"/>
    <col min="19" max="21" width="11.26953125" style="138" customWidth="1"/>
    <col min="22" max="22" width="12.1796875" style="138" customWidth="1"/>
    <col min="23" max="23" width="9.1796875" style="272"/>
    <col min="24" max="16384" width="9.1796875" style="138"/>
  </cols>
  <sheetData>
    <row r="1" spans="1:23">
      <c r="C1" s="138" t="s">
        <v>686</v>
      </c>
    </row>
    <row r="2" spans="1:23">
      <c r="C2" s="156" t="s">
        <v>717</v>
      </c>
      <c r="H2" s="40" t="s">
        <v>687</v>
      </c>
      <c r="I2" s="157">
        <f>SUM(I6:I1098)</f>
        <v>0</v>
      </c>
      <c r="T2" s="40"/>
      <c r="U2" s="40" t="s">
        <v>714</v>
      </c>
      <c r="V2" s="157">
        <f>SUM(V6:V1066)</f>
        <v>0</v>
      </c>
    </row>
    <row r="3" spans="1:23" ht="16" thickBot="1">
      <c r="U3" s="174" t="s">
        <v>992</v>
      </c>
      <c r="V3" s="175">
        <f>SUM(U8:U131)</f>
        <v>0</v>
      </c>
    </row>
    <row r="4" spans="1:23" ht="16.5" thickTop="1" thickBot="1">
      <c r="B4" s="152" t="s">
        <v>689</v>
      </c>
      <c r="C4" s="151"/>
      <c r="D4" s="152" t="s">
        <v>192</v>
      </c>
      <c r="E4" s="152" t="s">
        <v>1039</v>
      </c>
      <c r="F4" s="152" t="s">
        <v>59</v>
      </c>
      <c r="G4" s="152" t="s">
        <v>683</v>
      </c>
      <c r="H4" s="152" t="s">
        <v>685</v>
      </c>
      <c r="I4" s="152"/>
      <c r="J4" s="218"/>
      <c r="U4" s="174" t="s">
        <v>991</v>
      </c>
      <c r="V4" s="175">
        <f>SUM(U136:U301)</f>
        <v>0</v>
      </c>
    </row>
    <row r="5" spans="1:23" ht="15" thickTop="1">
      <c r="A5" s="158" t="s">
        <v>682</v>
      </c>
      <c r="B5" s="158" t="s">
        <v>690</v>
      </c>
      <c r="C5" s="158" t="s">
        <v>193</v>
      </c>
      <c r="D5" s="158" t="s">
        <v>194</v>
      </c>
      <c r="E5" s="158" t="s">
        <v>684</v>
      </c>
      <c r="F5" s="158" t="s">
        <v>1037</v>
      </c>
      <c r="G5" s="158" t="s">
        <v>684</v>
      </c>
      <c r="H5" s="158" t="s">
        <v>1038</v>
      </c>
      <c r="I5" s="158" t="s">
        <v>12</v>
      </c>
      <c r="J5" s="219" t="s">
        <v>713</v>
      </c>
    </row>
    <row r="6" spans="1:23" ht="15" thickBot="1">
      <c r="A6" s="155"/>
      <c r="B6" s="153">
        <v>1</v>
      </c>
      <c r="C6" s="153" t="s">
        <v>195</v>
      </c>
      <c r="D6" s="153" t="s">
        <v>196</v>
      </c>
      <c r="E6" s="154">
        <f t="shared" ref="E6:E14" si="0">N77</f>
        <v>1</v>
      </c>
      <c r="F6" s="154">
        <f t="shared" ref="F6:F14" si="1">O77</f>
        <v>0.05</v>
      </c>
      <c r="G6" s="154">
        <f t="shared" ref="G6:G69" si="2">E6+F6</f>
        <v>1.05</v>
      </c>
      <c r="H6" s="154">
        <f t="shared" ref="H6:H69" si="3">ROUNDUP(($E6+F6)*1.1,2)</f>
        <v>1.1599999999999999</v>
      </c>
      <c r="I6" s="154">
        <f t="shared" ref="I6:I69" si="4">IF($C$2="Inventory Cost",A6*G6,A6*H6)</f>
        <v>0</v>
      </c>
      <c r="J6" s="220">
        <f t="shared" ref="J6:J14" si="5">$Q$75</f>
        <v>46239</v>
      </c>
      <c r="K6" s="182"/>
      <c r="L6" s="176" t="s">
        <v>691</v>
      </c>
      <c r="M6" s="176"/>
      <c r="N6" s="176"/>
      <c r="O6" s="176"/>
      <c r="P6" s="138" t="s">
        <v>713</v>
      </c>
      <c r="Q6" s="179">
        <v>44959</v>
      </c>
      <c r="R6" s="213" t="s">
        <v>909</v>
      </c>
      <c r="S6" s="138" t="s">
        <v>716</v>
      </c>
      <c r="T6" s="138" t="s">
        <v>716</v>
      </c>
      <c r="U6" s="138" t="s">
        <v>12</v>
      </c>
    </row>
    <row r="7" spans="1:23">
      <c r="A7" s="155"/>
      <c r="B7" s="153">
        <v>2</v>
      </c>
      <c r="C7" s="153" t="s">
        <v>197</v>
      </c>
      <c r="D7" s="153" t="s">
        <v>196</v>
      </c>
      <c r="E7" s="154">
        <f t="shared" si="0"/>
        <v>1</v>
      </c>
      <c r="F7" s="154">
        <f t="shared" si="1"/>
        <v>0.05</v>
      </c>
      <c r="G7" s="154">
        <f t="shared" si="2"/>
        <v>1.05</v>
      </c>
      <c r="H7" s="154">
        <f t="shared" si="3"/>
        <v>1.1599999999999999</v>
      </c>
      <c r="I7" s="154">
        <f t="shared" si="4"/>
        <v>0</v>
      </c>
      <c r="J7" s="220">
        <f t="shared" si="5"/>
        <v>46239</v>
      </c>
      <c r="K7" s="138" t="s">
        <v>690</v>
      </c>
      <c r="L7" s="138" t="s">
        <v>692</v>
      </c>
      <c r="M7" s="138" t="s">
        <v>720</v>
      </c>
      <c r="N7" s="138" t="s">
        <v>693</v>
      </c>
      <c r="O7" s="138" t="s">
        <v>712</v>
      </c>
      <c r="P7" s="177" t="s">
        <v>711</v>
      </c>
      <c r="Q7" s="138" t="s">
        <v>694</v>
      </c>
      <c r="R7" s="214">
        <v>0.15</v>
      </c>
      <c r="S7" s="138" t="s">
        <v>715</v>
      </c>
      <c r="T7" s="138" t="s">
        <v>721</v>
      </c>
      <c r="U7" s="138" t="s">
        <v>715</v>
      </c>
      <c r="V7" s="158" t="s">
        <v>12</v>
      </c>
    </row>
    <row r="8" spans="1:23">
      <c r="A8" s="155"/>
      <c r="B8" s="153">
        <v>3</v>
      </c>
      <c r="C8" s="153" t="s">
        <v>198</v>
      </c>
      <c r="D8" s="153" t="s">
        <v>196</v>
      </c>
      <c r="E8" s="154">
        <f t="shared" si="0"/>
        <v>1</v>
      </c>
      <c r="F8" s="154">
        <f t="shared" si="1"/>
        <v>0.05</v>
      </c>
      <c r="G8" s="154">
        <f t="shared" si="2"/>
        <v>1.05</v>
      </c>
      <c r="H8" s="154">
        <f t="shared" si="3"/>
        <v>1.1599999999999999</v>
      </c>
      <c r="I8" s="154">
        <f t="shared" si="4"/>
        <v>0</v>
      </c>
      <c r="J8" s="220">
        <f t="shared" si="5"/>
        <v>46239</v>
      </c>
      <c r="K8" s="138">
        <v>16</v>
      </c>
      <c r="L8" s="159">
        <v>24</v>
      </c>
      <c r="M8" s="159">
        <v>0.98699999999999999</v>
      </c>
      <c r="N8" s="187">
        <v>2.5029000000000003</v>
      </c>
      <c r="O8" s="180">
        <f>ROUNDDOWN(N8*0.1,2)</f>
        <v>0.25</v>
      </c>
      <c r="P8" s="180">
        <f t="shared" ref="P8:P17" si="6">N8+O8</f>
        <v>2.7529000000000003</v>
      </c>
      <c r="Q8" s="178">
        <f>ROUNDUP(P8*1.1,2)</f>
        <v>3.03</v>
      </c>
      <c r="R8" s="178">
        <f>ROUNDUP(Q8*(1+$R$7),2)</f>
        <v>3.4899999999999998</v>
      </c>
      <c r="S8" s="155"/>
      <c r="T8" s="155"/>
      <c r="U8" s="159">
        <f t="shared" ref="U8:U17" si="7">S8+(T8*M8)</f>
        <v>0</v>
      </c>
      <c r="V8" s="154">
        <f>ROUNDUP(IF($C$2="Inventory Cost",P8*U8,Q8*U8),2)</f>
        <v>0</v>
      </c>
      <c r="W8" s="273" t="str">
        <f t="shared" ref="W8:W39" si="8">IF(ISNUMBER(K8),IF(VLOOKUP(K8,$B$6:$E$1302,4,FALSE)=P8,"","INVENTORY PRICE DOESN'T MATCH SAGE"),"")</f>
        <v>INVENTORY PRICE DOESN'T MATCH SAGE</v>
      </c>
    </row>
    <row r="9" spans="1:23">
      <c r="A9" s="155"/>
      <c r="B9" s="153">
        <v>4</v>
      </c>
      <c r="C9" s="153" t="s">
        <v>199</v>
      </c>
      <c r="D9" s="153" t="s">
        <v>196</v>
      </c>
      <c r="E9" s="154">
        <f t="shared" si="0"/>
        <v>1</v>
      </c>
      <c r="F9" s="154">
        <f t="shared" si="1"/>
        <v>0.05</v>
      </c>
      <c r="G9" s="154">
        <f t="shared" si="2"/>
        <v>1.05</v>
      </c>
      <c r="H9" s="154">
        <f t="shared" si="3"/>
        <v>1.1599999999999999</v>
      </c>
      <c r="I9" s="154">
        <f t="shared" si="4"/>
        <v>0</v>
      </c>
      <c r="J9" s="220">
        <f t="shared" si="5"/>
        <v>46239</v>
      </c>
      <c r="K9" s="138">
        <v>17</v>
      </c>
      <c r="L9" s="159">
        <v>22</v>
      </c>
      <c r="M9" s="159">
        <v>1.2310000000000001</v>
      </c>
      <c r="N9" s="187">
        <v>2.5029000000000003</v>
      </c>
      <c r="O9" s="180">
        <f t="shared" ref="O9:O17" si="9">ROUNDDOWN(N9*0.1,2)</f>
        <v>0.25</v>
      </c>
      <c r="P9" s="180">
        <f t="shared" si="6"/>
        <v>2.7529000000000003</v>
      </c>
      <c r="Q9" s="178">
        <f t="shared" ref="Q9:Q17" si="10">ROUNDUP(P9*1.1,2)</f>
        <v>3.03</v>
      </c>
      <c r="R9" s="178">
        <f t="shared" ref="R9:R17" si="11">Q9*(1+$R$7)</f>
        <v>3.4844999999999997</v>
      </c>
      <c r="S9" s="155"/>
      <c r="T9" s="155"/>
      <c r="U9" s="159">
        <f t="shared" si="7"/>
        <v>0</v>
      </c>
      <c r="V9" s="154">
        <f t="shared" ref="V9:V17" si="12">ROUNDUP(IF($C$2="Inventory Cost",P9*U9,Q9*U9),2)</f>
        <v>0</v>
      </c>
      <c r="W9" s="273" t="str">
        <f t="shared" si="8"/>
        <v>INVENTORY PRICE DOESN'T MATCH SAGE</v>
      </c>
    </row>
    <row r="10" spans="1:23">
      <c r="A10" s="155"/>
      <c r="B10" s="153">
        <v>5</v>
      </c>
      <c r="C10" s="153" t="s">
        <v>200</v>
      </c>
      <c r="D10" s="153" t="s">
        <v>196</v>
      </c>
      <c r="E10" s="154">
        <f t="shared" si="0"/>
        <v>1</v>
      </c>
      <c r="F10" s="154">
        <f t="shared" si="1"/>
        <v>0.05</v>
      </c>
      <c r="G10" s="154">
        <f t="shared" si="2"/>
        <v>1.05</v>
      </c>
      <c r="H10" s="154">
        <f t="shared" si="3"/>
        <v>1.1599999999999999</v>
      </c>
      <c r="I10" s="154">
        <f t="shared" si="4"/>
        <v>0</v>
      </c>
      <c r="J10" s="220">
        <f t="shared" si="5"/>
        <v>46239</v>
      </c>
      <c r="K10" s="138">
        <v>18</v>
      </c>
      <c r="L10" s="159">
        <v>20</v>
      </c>
      <c r="M10" s="159">
        <v>1.4910000000000001</v>
      </c>
      <c r="N10" s="187">
        <v>2.4514</v>
      </c>
      <c r="O10" s="180">
        <f t="shared" si="9"/>
        <v>0.24</v>
      </c>
      <c r="P10" s="180">
        <f t="shared" si="6"/>
        <v>2.6913999999999998</v>
      </c>
      <c r="Q10" s="178">
        <f t="shared" si="10"/>
        <v>2.9699999999999998</v>
      </c>
      <c r="R10" s="178">
        <f t="shared" si="11"/>
        <v>3.4154999999999993</v>
      </c>
      <c r="S10" s="155"/>
      <c r="T10" s="155"/>
      <c r="U10" s="159">
        <f t="shared" si="7"/>
        <v>0</v>
      </c>
      <c r="V10" s="154">
        <f t="shared" si="12"/>
        <v>0</v>
      </c>
      <c r="W10" s="273" t="str">
        <f t="shared" si="8"/>
        <v>INVENTORY PRICE DOESN'T MATCH SAGE</v>
      </c>
    </row>
    <row r="11" spans="1:23">
      <c r="A11" s="155"/>
      <c r="B11" s="153">
        <v>6</v>
      </c>
      <c r="C11" s="153" t="s">
        <v>201</v>
      </c>
      <c r="D11" s="153" t="s">
        <v>196</v>
      </c>
      <c r="E11" s="154">
        <f t="shared" si="0"/>
        <v>1</v>
      </c>
      <c r="F11" s="154">
        <f t="shared" si="1"/>
        <v>0.05</v>
      </c>
      <c r="G11" s="154">
        <f t="shared" si="2"/>
        <v>1.05</v>
      </c>
      <c r="H11" s="154">
        <f t="shared" si="3"/>
        <v>1.1599999999999999</v>
      </c>
      <c r="I11" s="154">
        <f t="shared" si="4"/>
        <v>0</v>
      </c>
      <c r="J11" s="220">
        <f t="shared" si="5"/>
        <v>46239</v>
      </c>
      <c r="K11" s="138">
        <v>19</v>
      </c>
      <c r="L11" s="159">
        <v>18</v>
      </c>
      <c r="M11" s="159">
        <v>2.016</v>
      </c>
      <c r="N11" s="187">
        <v>2.4514</v>
      </c>
      <c r="O11" s="180">
        <f t="shared" si="9"/>
        <v>0.24</v>
      </c>
      <c r="P11" s="180">
        <f t="shared" si="6"/>
        <v>2.6913999999999998</v>
      </c>
      <c r="Q11" s="178">
        <f t="shared" si="10"/>
        <v>2.9699999999999998</v>
      </c>
      <c r="R11" s="178">
        <f t="shared" si="11"/>
        <v>3.4154999999999993</v>
      </c>
      <c r="S11" s="155"/>
      <c r="T11" s="155"/>
      <c r="U11" s="159">
        <f t="shared" si="7"/>
        <v>0</v>
      </c>
      <c r="V11" s="154">
        <f t="shared" si="12"/>
        <v>0</v>
      </c>
      <c r="W11" s="273" t="str">
        <f t="shared" si="8"/>
        <v>INVENTORY PRICE DOESN'T MATCH SAGE</v>
      </c>
    </row>
    <row r="12" spans="1:23">
      <c r="A12" s="155"/>
      <c r="B12" s="153">
        <v>7</v>
      </c>
      <c r="C12" s="153" t="s">
        <v>202</v>
      </c>
      <c r="D12" s="153" t="s">
        <v>196</v>
      </c>
      <c r="E12" s="154">
        <f t="shared" si="0"/>
        <v>1</v>
      </c>
      <c r="F12" s="154">
        <f t="shared" si="1"/>
        <v>0.05</v>
      </c>
      <c r="G12" s="154">
        <f t="shared" si="2"/>
        <v>1.05</v>
      </c>
      <c r="H12" s="154">
        <f t="shared" si="3"/>
        <v>1.1599999999999999</v>
      </c>
      <c r="I12" s="154">
        <f t="shared" si="4"/>
        <v>0</v>
      </c>
      <c r="J12" s="220">
        <f t="shared" si="5"/>
        <v>46239</v>
      </c>
      <c r="K12" s="138">
        <v>20</v>
      </c>
      <c r="L12" s="159">
        <v>16</v>
      </c>
      <c r="M12" s="159">
        <v>2.4990000000000001</v>
      </c>
      <c r="N12" s="187">
        <v>2.4205000000000001</v>
      </c>
      <c r="O12" s="180">
        <f t="shared" si="9"/>
        <v>0.24</v>
      </c>
      <c r="P12" s="180">
        <f t="shared" si="6"/>
        <v>2.6604999999999999</v>
      </c>
      <c r="Q12" s="178">
        <f t="shared" si="10"/>
        <v>2.9299999999999997</v>
      </c>
      <c r="R12" s="178">
        <f t="shared" si="11"/>
        <v>3.3694999999999995</v>
      </c>
      <c r="S12" s="155"/>
      <c r="T12" s="155"/>
      <c r="U12" s="159">
        <f t="shared" si="7"/>
        <v>0</v>
      </c>
      <c r="V12" s="154">
        <f t="shared" si="12"/>
        <v>0</v>
      </c>
      <c r="W12" s="273" t="str">
        <f t="shared" si="8"/>
        <v>INVENTORY PRICE DOESN'T MATCH SAGE</v>
      </c>
    </row>
    <row r="13" spans="1:23">
      <c r="A13" s="155"/>
      <c r="B13" s="153">
        <v>8</v>
      </c>
      <c r="C13" s="153" t="s">
        <v>203</v>
      </c>
      <c r="D13" s="153" t="s">
        <v>196</v>
      </c>
      <c r="E13" s="154">
        <f t="shared" si="0"/>
        <v>1</v>
      </c>
      <c r="F13" s="154">
        <f t="shared" si="1"/>
        <v>0.05</v>
      </c>
      <c r="G13" s="154">
        <f t="shared" si="2"/>
        <v>1.05</v>
      </c>
      <c r="H13" s="154">
        <f t="shared" si="3"/>
        <v>1.1599999999999999</v>
      </c>
      <c r="I13" s="154">
        <f t="shared" si="4"/>
        <v>0</v>
      </c>
      <c r="J13" s="220">
        <f t="shared" si="5"/>
        <v>46239</v>
      </c>
      <c r="K13" s="138">
        <v>21</v>
      </c>
      <c r="L13" s="159">
        <v>14</v>
      </c>
      <c r="M13" s="159">
        <v>3.1539999999999999</v>
      </c>
      <c r="N13" s="187">
        <v>2.4205000000000001</v>
      </c>
      <c r="O13" s="180">
        <f t="shared" si="9"/>
        <v>0.24</v>
      </c>
      <c r="P13" s="180">
        <f t="shared" si="6"/>
        <v>2.6604999999999999</v>
      </c>
      <c r="Q13" s="178">
        <f t="shared" si="10"/>
        <v>2.9299999999999997</v>
      </c>
      <c r="R13" s="178">
        <f t="shared" si="11"/>
        <v>3.3694999999999995</v>
      </c>
      <c r="S13" s="155"/>
      <c r="T13" s="155"/>
      <c r="U13" s="159">
        <f t="shared" si="7"/>
        <v>0</v>
      </c>
      <c r="V13" s="154">
        <f t="shared" si="12"/>
        <v>0</v>
      </c>
      <c r="W13" s="273" t="str">
        <f t="shared" si="8"/>
        <v>INVENTORY PRICE DOESN'T MATCH SAGE</v>
      </c>
    </row>
    <row r="14" spans="1:23">
      <c r="A14" s="155"/>
      <c r="B14" s="153">
        <v>9</v>
      </c>
      <c r="C14" s="153" t="s">
        <v>204</v>
      </c>
      <c r="D14" s="153" t="s">
        <v>196</v>
      </c>
      <c r="E14" s="154">
        <f t="shared" si="0"/>
        <v>1</v>
      </c>
      <c r="F14" s="154">
        <f t="shared" si="1"/>
        <v>0.05</v>
      </c>
      <c r="G14" s="154">
        <f t="shared" si="2"/>
        <v>1.05</v>
      </c>
      <c r="H14" s="154">
        <f t="shared" si="3"/>
        <v>1.1599999999999999</v>
      </c>
      <c r="I14" s="154">
        <f t="shared" si="4"/>
        <v>0</v>
      </c>
      <c r="J14" s="220">
        <f t="shared" si="5"/>
        <v>46239</v>
      </c>
      <c r="K14" s="138">
        <v>22</v>
      </c>
      <c r="L14" s="159">
        <v>12</v>
      </c>
      <c r="M14" s="159">
        <v>4.4269999999999996</v>
      </c>
      <c r="N14" s="178">
        <v>2.4205000000000001</v>
      </c>
      <c r="O14" s="180">
        <f t="shared" si="9"/>
        <v>0.24</v>
      </c>
      <c r="P14" s="180">
        <f t="shared" si="6"/>
        <v>2.6604999999999999</v>
      </c>
      <c r="Q14" s="178">
        <f t="shared" si="10"/>
        <v>2.9299999999999997</v>
      </c>
      <c r="R14" s="178">
        <f t="shared" si="11"/>
        <v>3.3694999999999995</v>
      </c>
      <c r="S14" s="155"/>
      <c r="T14" s="155"/>
      <c r="U14" s="159">
        <f t="shared" si="7"/>
        <v>0</v>
      </c>
      <c r="V14" s="154">
        <f t="shared" si="12"/>
        <v>0</v>
      </c>
      <c r="W14" s="273" t="str">
        <f t="shared" si="8"/>
        <v>INVENTORY PRICE DOESN'T MATCH SAGE</v>
      </c>
    </row>
    <row r="15" spans="1:23">
      <c r="A15" s="155"/>
      <c r="B15" s="153">
        <v>10</v>
      </c>
      <c r="C15" s="153" t="s">
        <v>798</v>
      </c>
      <c r="D15" s="153" t="s">
        <v>196</v>
      </c>
      <c r="E15" s="154">
        <f>N34</f>
        <v>4.3980999999999995</v>
      </c>
      <c r="F15" s="154">
        <f>O34</f>
        <v>0.43</v>
      </c>
      <c r="G15" s="154">
        <f t="shared" si="2"/>
        <v>4.8280999999999992</v>
      </c>
      <c r="H15" s="154">
        <f t="shared" si="3"/>
        <v>5.3199999999999994</v>
      </c>
      <c r="I15" s="154">
        <f t="shared" si="4"/>
        <v>0</v>
      </c>
      <c r="J15" s="220">
        <f>$Q$32</f>
        <v>44959</v>
      </c>
      <c r="K15" s="138">
        <v>23</v>
      </c>
      <c r="L15" s="159">
        <v>10</v>
      </c>
      <c r="M15" s="159">
        <v>5.67</v>
      </c>
      <c r="N15" s="187">
        <v>2.4205000000000001</v>
      </c>
      <c r="O15" s="180">
        <f t="shared" si="9"/>
        <v>0.24</v>
      </c>
      <c r="P15" s="180">
        <f t="shared" si="6"/>
        <v>2.6604999999999999</v>
      </c>
      <c r="Q15" s="178">
        <f t="shared" si="10"/>
        <v>2.9299999999999997</v>
      </c>
      <c r="R15" s="178">
        <f t="shared" si="11"/>
        <v>3.3694999999999995</v>
      </c>
      <c r="S15" s="155"/>
      <c r="T15" s="155"/>
      <c r="U15" s="159">
        <f t="shared" si="7"/>
        <v>0</v>
      </c>
      <c r="V15" s="154">
        <f t="shared" si="12"/>
        <v>0</v>
      </c>
      <c r="W15" s="273" t="str">
        <f t="shared" si="8"/>
        <v>INVENTORY PRICE DOESN'T MATCH SAGE</v>
      </c>
    </row>
    <row r="16" spans="1:23">
      <c r="A16" s="155"/>
      <c r="B16" s="153">
        <v>11</v>
      </c>
      <c r="C16" s="153" t="s">
        <v>799</v>
      </c>
      <c r="D16" s="153" t="s">
        <v>228</v>
      </c>
      <c r="E16" s="154">
        <v>48.22</v>
      </c>
      <c r="F16" s="154">
        <f>ROUNDUP(E16*0.15,2)</f>
        <v>7.24</v>
      </c>
      <c r="G16" s="154">
        <f t="shared" si="2"/>
        <v>55.46</v>
      </c>
      <c r="H16" s="154">
        <f t="shared" si="3"/>
        <v>61.01</v>
      </c>
      <c r="I16" s="154">
        <f t="shared" si="4"/>
        <v>0</v>
      </c>
      <c r="J16" s="220">
        <v>46066</v>
      </c>
      <c r="K16" s="138">
        <v>32</v>
      </c>
      <c r="L16" s="181" t="s">
        <v>695</v>
      </c>
      <c r="M16" s="159">
        <v>8.5790000000000006</v>
      </c>
      <c r="N16" s="187">
        <v>2.63165</v>
      </c>
      <c r="O16" s="180">
        <f t="shared" si="9"/>
        <v>0.26</v>
      </c>
      <c r="P16" s="180">
        <f t="shared" si="6"/>
        <v>2.8916500000000003</v>
      </c>
      <c r="Q16" s="178">
        <f t="shared" si="10"/>
        <v>3.19</v>
      </c>
      <c r="R16" s="178">
        <f t="shared" si="11"/>
        <v>3.6684999999999999</v>
      </c>
      <c r="S16" s="155"/>
      <c r="T16" s="155"/>
      <c r="U16" s="159">
        <f t="shared" si="7"/>
        <v>0</v>
      </c>
      <c r="V16" s="154">
        <f t="shared" si="12"/>
        <v>0</v>
      </c>
      <c r="W16" s="273" t="str">
        <f t="shared" si="8"/>
        <v>INVENTORY PRICE DOESN'T MATCH SAGE</v>
      </c>
    </row>
    <row r="17" spans="1:23">
      <c r="A17" s="155"/>
      <c r="B17" s="153">
        <v>12</v>
      </c>
      <c r="C17" s="153" t="s">
        <v>800</v>
      </c>
      <c r="D17" s="153" t="s">
        <v>228</v>
      </c>
      <c r="E17" s="154">
        <v>64.52</v>
      </c>
      <c r="F17" s="154">
        <f>ROUNDUP(E17*0.15,2)</f>
        <v>9.68</v>
      </c>
      <c r="G17" s="154">
        <f t="shared" si="2"/>
        <v>74.199999999999989</v>
      </c>
      <c r="H17" s="154">
        <f t="shared" si="3"/>
        <v>81.62</v>
      </c>
      <c r="I17" s="154">
        <f t="shared" si="4"/>
        <v>0</v>
      </c>
      <c r="J17" s="220">
        <v>46066</v>
      </c>
      <c r="K17" s="138">
        <v>33</v>
      </c>
      <c r="L17" s="181" t="s">
        <v>696</v>
      </c>
      <c r="M17" s="159">
        <v>11.16</v>
      </c>
      <c r="N17" s="187">
        <v>2.63165</v>
      </c>
      <c r="O17" s="180">
        <f t="shared" si="9"/>
        <v>0.26</v>
      </c>
      <c r="P17" s="180">
        <f t="shared" si="6"/>
        <v>2.8916500000000003</v>
      </c>
      <c r="Q17" s="178">
        <f t="shared" si="10"/>
        <v>3.19</v>
      </c>
      <c r="R17" s="178">
        <f t="shared" si="11"/>
        <v>3.6684999999999999</v>
      </c>
      <c r="S17" s="155"/>
      <c r="T17" s="155"/>
      <c r="U17" s="159">
        <f t="shared" si="7"/>
        <v>0</v>
      </c>
      <c r="V17" s="154">
        <f t="shared" si="12"/>
        <v>0</v>
      </c>
      <c r="W17" s="273" t="str">
        <f t="shared" si="8"/>
        <v>INVENTORY PRICE DOESN'T MATCH SAGE</v>
      </c>
    </row>
    <row r="18" spans="1:23">
      <c r="A18" s="155"/>
      <c r="B18" s="153">
        <v>13</v>
      </c>
      <c r="C18" s="153" t="s">
        <v>801</v>
      </c>
      <c r="D18" s="153" t="s">
        <v>196</v>
      </c>
      <c r="E18" s="154">
        <f>N42</f>
        <v>4.7</v>
      </c>
      <c r="F18" s="154">
        <f>O42</f>
        <v>0.47</v>
      </c>
      <c r="G18" s="154">
        <f t="shared" si="2"/>
        <v>5.17</v>
      </c>
      <c r="H18" s="154">
        <f t="shared" si="3"/>
        <v>5.6899999999999995</v>
      </c>
      <c r="I18" s="154">
        <f t="shared" si="4"/>
        <v>0</v>
      </c>
      <c r="J18" s="220">
        <f>$Q$32</f>
        <v>44959</v>
      </c>
      <c r="O18" s="160"/>
      <c r="P18" s="160"/>
      <c r="Q18" s="160"/>
      <c r="R18" s="160"/>
      <c r="W18" s="273" t="str">
        <f t="shared" si="8"/>
        <v/>
      </c>
    </row>
    <row r="19" spans="1:23">
      <c r="A19" s="155"/>
      <c r="B19" s="153">
        <v>14</v>
      </c>
      <c r="C19" s="153" t="s">
        <v>802</v>
      </c>
      <c r="D19" s="153" t="s">
        <v>196</v>
      </c>
      <c r="E19" s="154">
        <f>N43</f>
        <v>4.7</v>
      </c>
      <c r="F19" s="154">
        <f>O43</f>
        <v>0.47</v>
      </c>
      <c r="G19" s="154">
        <f t="shared" si="2"/>
        <v>5.17</v>
      </c>
      <c r="H19" s="154">
        <f t="shared" si="3"/>
        <v>5.6899999999999995</v>
      </c>
      <c r="I19" s="154">
        <f t="shared" si="4"/>
        <v>0</v>
      </c>
      <c r="J19" s="220">
        <f>$Q$32</f>
        <v>44959</v>
      </c>
      <c r="O19" s="160"/>
      <c r="P19" s="160"/>
      <c r="Q19" s="160"/>
      <c r="R19" s="160"/>
      <c r="W19" s="273" t="str">
        <f t="shared" si="8"/>
        <v/>
      </c>
    </row>
    <row r="20" spans="1:23" ht="15" thickBot="1">
      <c r="A20" s="155"/>
      <c r="B20" s="153">
        <v>15</v>
      </c>
      <c r="C20" s="153" t="s">
        <v>205</v>
      </c>
      <c r="D20" s="153"/>
      <c r="E20" s="154"/>
      <c r="F20" s="154">
        <f>ROUNDUP(E20*0.15,2)</f>
        <v>0</v>
      </c>
      <c r="G20" s="154">
        <f t="shared" si="2"/>
        <v>0</v>
      </c>
      <c r="H20" s="154">
        <f t="shared" si="3"/>
        <v>0</v>
      </c>
      <c r="I20" s="154">
        <f t="shared" si="4"/>
        <v>0</v>
      </c>
      <c r="J20" s="220"/>
      <c r="L20" s="176" t="s">
        <v>697</v>
      </c>
      <c r="M20" s="176"/>
      <c r="N20" s="176"/>
      <c r="O20" s="176"/>
      <c r="P20" s="138" t="s">
        <v>713</v>
      </c>
      <c r="Q20" s="179">
        <v>44816</v>
      </c>
      <c r="R20" s="213" t="s">
        <v>909</v>
      </c>
      <c r="S20" s="138" t="s">
        <v>716</v>
      </c>
      <c r="T20" s="138" t="s">
        <v>716</v>
      </c>
      <c r="U20" s="138" t="s">
        <v>12</v>
      </c>
      <c r="W20" s="273" t="str">
        <f t="shared" si="8"/>
        <v/>
      </c>
    </row>
    <row r="21" spans="1:23">
      <c r="A21" s="155"/>
      <c r="B21" s="153">
        <v>16</v>
      </c>
      <c r="C21" s="153" t="s">
        <v>803</v>
      </c>
      <c r="D21" s="153" t="s">
        <v>196</v>
      </c>
      <c r="E21" s="154">
        <f t="shared" ref="E21:F28" si="13">N8</f>
        <v>2.5029000000000003</v>
      </c>
      <c r="F21" s="154">
        <f t="shared" si="13"/>
        <v>0.25</v>
      </c>
      <c r="G21" s="154">
        <f t="shared" si="2"/>
        <v>2.7529000000000003</v>
      </c>
      <c r="H21" s="154">
        <f t="shared" si="3"/>
        <v>3.03</v>
      </c>
      <c r="I21" s="154">
        <f t="shared" si="4"/>
        <v>0</v>
      </c>
      <c r="J21" s="220">
        <f t="shared" ref="J21:J28" si="14">$Q$6</f>
        <v>44959</v>
      </c>
      <c r="K21" s="138" t="s">
        <v>690</v>
      </c>
      <c r="L21" s="138" t="s">
        <v>692</v>
      </c>
      <c r="M21" s="138" t="s">
        <v>720</v>
      </c>
      <c r="N21" s="138" t="s">
        <v>693</v>
      </c>
      <c r="O21" s="138" t="s">
        <v>712</v>
      </c>
      <c r="P21" s="177" t="s">
        <v>711</v>
      </c>
      <c r="Q21" s="138" t="s">
        <v>694</v>
      </c>
      <c r="R21" s="214">
        <f>$R$7</f>
        <v>0.15</v>
      </c>
      <c r="S21" s="138" t="s">
        <v>715</v>
      </c>
      <c r="T21" s="138" t="s">
        <v>721</v>
      </c>
      <c r="U21" s="138" t="s">
        <v>715</v>
      </c>
      <c r="V21" s="158" t="s">
        <v>12</v>
      </c>
      <c r="W21" s="273" t="str">
        <f t="shared" si="8"/>
        <v/>
      </c>
    </row>
    <row r="22" spans="1:23">
      <c r="A22" s="155"/>
      <c r="B22" s="153">
        <v>17</v>
      </c>
      <c r="C22" s="153" t="s">
        <v>804</v>
      </c>
      <c r="D22" s="153" t="s">
        <v>196</v>
      </c>
      <c r="E22" s="154">
        <f t="shared" si="13"/>
        <v>2.5029000000000003</v>
      </c>
      <c r="F22" s="154">
        <f t="shared" si="13"/>
        <v>0.25</v>
      </c>
      <c r="G22" s="154">
        <f t="shared" si="2"/>
        <v>2.7529000000000003</v>
      </c>
      <c r="H22" s="154">
        <f t="shared" si="3"/>
        <v>3.03</v>
      </c>
      <c r="I22" s="154">
        <f t="shared" si="4"/>
        <v>0</v>
      </c>
      <c r="J22" s="220">
        <f t="shared" si="14"/>
        <v>44959</v>
      </c>
      <c r="L22" s="159">
        <v>24</v>
      </c>
      <c r="M22" s="159">
        <v>0.98699999999999999</v>
      </c>
      <c r="N22" s="187">
        <v>2.95</v>
      </c>
      <c r="O22" s="180">
        <f t="shared" ref="O22:O29" si="15">ROUNDDOWN(N22*0.1,2)</f>
        <v>0.28999999999999998</v>
      </c>
      <c r="P22" s="180">
        <f t="shared" ref="P22:P29" si="16">N22+O22</f>
        <v>3.24</v>
      </c>
      <c r="Q22" s="178">
        <f>ROUNDUP(P22*1.1,2)</f>
        <v>3.57</v>
      </c>
      <c r="R22" s="178">
        <f>Q22*(1+$R$21)</f>
        <v>4.1054999999999993</v>
      </c>
      <c r="S22" s="155"/>
      <c r="T22" s="155"/>
      <c r="U22" s="159">
        <f t="shared" ref="U22:U29" si="17">S22+(T22*M22)</f>
        <v>0</v>
      </c>
      <c r="V22" s="154">
        <f t="shared" ref="V22:V29" si="18">ROUNDUP(IF($C$2="Inventory Cost",P22*U22,Q22*U22),2)</f>
        <v>0</v>
      </c>
      <c r="W22" s="273" t="str">
        <f t="shared" si="8"/>
        <v/>
      </c>
    </row>
    <row r="23" spans="1:23">
      <c r="A23" s="155"/>
      <c r="B23" s="153">
        <v>18</v>
      </c>
      <c r="C23" s="153" t="s">
        <v>805</v>
      </c>
      <c r="D23" s="153" t="s">
        <v>196</v>
      </c>
      <c r="E23" s="154">
        <f t="shared" si="13"/>
        <v>2.4514</v>
      </c>
      <c r="F23" s="154">
        <f t="shared" si="13"/>
        <v>0.24</v>
      </c>
      <c r="G23" s="154">
        <f t="shared" si="2"/>
        <v>2.6913999999999998</v>
      </c>
      <c r="H23" s="154">
        <f t="shared" si="3"/>
        <v>2.9699999999999998</v>
      </c>
      <c r="I23" s="154">
        <f t="shared" si="4"/>
        <v>0</v>
      </c>
      <c r="J23" s="220">
        <f t="shared" si="14"/>
        <v>44959</v>
      </c>
      <c r="L23" s="159">
        <v>22</v>
      </c>
      <c r="M23" s="159">
        <v>1.2310000000000001</v>
      </c>
      <c r="N23" s="187">
        <v>2.95</v>
      </c>
      <c r="O23" s="180">
        <f t="shared" si="15"/>
        <v>0.28999999999999998</v>
      </c>
      <c r="P23" s="180">
        <f t="shared" si="16"/>
        <v>3.24</v>
      </c>
      <c r="Q23" s="178">
        <f t="shared" ref="Q23:Q29" si="19">ROUNDUP(P23*1.1,2)</f>
        <v>3.57</v>
      </c>
      <c r="R23" s="178">
        <f t="shared" ref="R23:R29" si="20">Q23*(1+$R$21)</f>
        <v>4.1054999999999993</v>
      </c>
      <c r="S23" s="155"/>
      <c r="T23" s="155"/>
      <c r="U23" s="159">
        <f t="shared" si="17"/>
        <v>0</v>
      </c>
      <c r="V23" s="154">
        <f t="shared" si="18"/>
        <v>0</v>
      </c>
      <c r="W23" s="273" t="str">
        <f t="shared" si="8"/>
        <v/>
      </c>
    </row>
    <row r="24" spans="1:23">
      <c r="A24" s="155"/>
      <c r="B24" s="153">
        <v>19</v>
      </c>
      <c r="C24" s="153" t="s">
        <v>806</v>
      </c>
      <c r="D24" s="153" t="s">
        <v>196</v>
      </c>
      <c r="E24" s="154">
        <f t="shared" si="13"/>
        <v>2.4514</v>
      </c>
      <c r="F24" s="154">
        <f t="shared" si="13"/>
        <v>0.24</v>
      </c>
      <c r="G24" s="154">
        <f t="shared" si="2"/>
        <v>2.6913999999999998</v>
      </c>
      <c r="H24" s="154">
        <f t="shared" si="3"/>
        <v>2.9699999999999998</v>
      </c>
      <c r="I24" s="154">
        <f t="shared" si="4"/>
        <v>0</v>
      </c>
      <c r="J24" s="220">
        <f t="shared" si="14"/>
        <v>44959</v>
      </c>
      <c r="L24" s="159">
        <v>20</v>
      </c>
      <c r="M24" s="159">
        <v>1.4910000000000001</v>
      </c>
      <c r="N24" s="187">
        <v>2.95</v>
      </c>
      <c r="O24" s="180">
        <f t="shared" si="15"/>
        <v>0.28999999999999998</v>
      </c>
      <c r="P24" s="180">
        <f t="shared" si="16"/>
        <v>3.24</v>
      </c>
      <c r="Q24" s="178">
        <f t="shared" si="19"/>
        <v>3.57</v>
      </c>
      <c r="R24" s="178">
        <f t="shared" si="20"/>
        <v>4.1054999999999993</v>
      </c>
      <c r="S24" s="155"/>
      <c r="T24" s="155"/>
      <c r="U24" s="159">
        <f t="shared" si="17"/>
        <v>0</v>
      </c>
      <c r="V24" s="154">
        <f t="shared" si="18"/>
        <v>0</v>
      </c>
      <c r="W24" s="273" t="str">
        <f t="shared" si="8"/>
        <v/>
      </c>
    </row>
    <row r="25" spans="1:23">
      <c r="A25" s="155"/>
      <c r="B25" s="153">
        <v>20</v>
      </c>
      <c r="C25" s="153" t="s">
        <v>807</v>
      </c>
      <c r="D25" s="153" t="s">
        <v>196</v>
      </c>
      <c r="E25" s="154">
        <f t="shared" si="13"/>
        <v>2.4205000000000001</v>
      </c>
      <c r="F25" s="154">
        <f t="shared" si="13"/>
        <v>0.24</v>
      </c>
      <c r="G25" s="154">
        <f t="shared" si="2"/>
        <v>2.6604999999999999</v>
      </c>
      <c r="H25" s="154">
        <f t="shared" si="3"/>
        <v>2.9299999999999997</v>
      </c>
      <c r="I25" s="154">
        <f t="shared" si="4"/>
        <v>0</v>
      </c>
      <c r="J25" s="220">
        <f t="shared" si="14"/>
        <v>44959</v>
      </c>
      <c r="L25" s="159">
        <v>18</v>
      </c>
      <c r="M25" s="159">
        <v>2.016</v>
      </c>
      <c r="N25" s="187">
        <v>2.9950000000000001</v>
      </c>
      <c r="O25" s="180">
        <f t="shared" si="15"/>
        <v>0.28999999999999998</v>
      </c>
      <c r="P25" s="180">
        <f t="shared" si="16"/>
        <v>3.2850000000000001</v>
      </c>
      <c r="Q25" s="178">
        <f t="shared" si="19"/>
        <v>3.6199999999999997</v>
      </c>
      <c r="R25" s="178">
        <f t="shared" si="20"/>
        <v>4.1629999999999994</v>
      </c>
      <c r="S25" s="155"/>
      <c r="T25" s="155"/>
      <c r="U25" s="159">
        <f t="shared" si="17"/>
        <v>0</v>
      </c>
      <c r="V25" s="154">
        <f t="shared" si="18"/>
        <v>0</v>
      </c>
      <c r="W25" s="273" t="str">
        <f t="shared" si="8"/>
        <v/>
      </c>
    </row>
    <row r="26" spans="1:23">
      <c r="A26" s="155"/>
      <c r="B26" s="153">
        <v>21</v>
      </c>
      <c r="C26" s="153" t="s">
        <v>808</v>
      </c>
      <c r="D26" s="153" t="s">
        <v>196</v>
      </c>
      <c r="E26" s="154">
        <f t="shared" si="13"/>
        <v>2.4205000000000001</v>
      </c>
      <c r="F26" s="154">
        <f t="shared" si="13"/>
        <v>0.24</v>
      </c>
      <c r="G26" s="154">
        <f t="shared" si="2"/>
        <v>2.6604999999999999</v>
      </c>
      <c r="H26" s="154">
        <f t="shared" si="3"/>
        <v>2.9299999999999997</v>
      </c>
      <c r="I26" s="154">
        <f t="shared" si="4"/>
        <v>0</v>
      </c>
      <c r="J26" s="220">
        <f t="shared" si="14"/>
        <v>44959</v>
      </c>
      <c r="L26" s="159">
        <v>16</v>
      </c>
      <c r="M26" s="159">
        <v>2.4990000000000001</v>
      </c>
      <c r="N26" s="187">
        <v>2.9950000000000001</v>
      </c>
      <c r="O26" s="180">
        <f t="shared" si="15"/>
        <v>0.28999999999999998</v>
      </c>
      <c r="P26" s="180">
        <f t="shared" si="16"/>
        <v>3.2850000000000001</v>
      </c>
      <c r="Q26" s="178">
        <f t="shared" si="19"/>
        <v>3.6199999999999997</v>
      </c>
      <c r="R26" s="178">
        <f t="shared" si="20"/>
        <v>4.1629999999999994</v>
      </c>
      <c r="S26" s="155"/>
      <c r="T26" s="155"/>
      <c r="U26" s="159">
        <f t="shared" si="17"/>
        <v>0</v>
      </c>
      <c r="V26" s="154">
        <f t="shared" si="18"/>
        <v>0</v>
      </c>
      <c r="W26" s="273" t="str">
        <f t="shared" si="8"/>
        <v/>
      </c>
    </row>
    <row r="27" spans="1:23">
      <c r="A27" s="155"/>
      <c r="B27" s="153">
        <v>22</v>
      </c>
      <c r="C27" s="153" t="s">
        <v>809</v>
      </c>
      <c r="D27" s="153" t="s">
        <v>196</v>
      </c>
      <c r="E27" s="154">
        <f t="shared" si="13"/>
        <v>2.4205000000000001</v>
      </c>
      <c r="F27" s="154">
        <f t="shared" si="13"/>
        <v>0.24</v>
      </c>
      <c r="G27" s="154">
        <f t="shared" si="2"/>
        <v>2.6604999999999999</v>
      </c>
      <c r="H27" s="154">
        <f t="shared" si="3"/>
        <v>2.9299999999999997</v>
      </c>
      <c r="I27" s="154">
        <f t="shared" si="4"/>
        <v>0</v>
      </c>
      <c r="J27" s="220">
        <f t="shared" si="14"/>
        <v>44959</v>
      </c>
      <c r="L27" s="159">
        <v>14</v>
      </c>
      <c r="M27" s="159">
        <v>3.1539999999999999</v>
      </c>
      <c r="N27" s="187">
        <v>2.95</v>
      </c>
      <c r="O27" s="180">
        <f t="shared" si="15"/>
        <v>0.28999999999999998</v>
      </c>
      <c r="P27" s="180">
        <f t="shared" si="16"/>
        <v>3.24</v>
      </c>
      <c r="Q27" s="178">
        <f t="shared" si="19"/>
        <v>3.57</v>
      </c>
      <c r="R27" s="178">
        <f t="shared" si="20"/>
        <v>4.1054999999999993</v>
      </c>
      <c r="S27" s="155"/>
      <c r="T27" s="155"/>
      <c r="U27" s="159">
        <f t="shared" si="17"/>
        <v>0</v>
      </c>
      <c r="V27" s="154">
        <f t="shared" si="18"/>
        <v>0</v>
      </c>
      <c r="W27" s="273" t="str">
        <f t="shared" si="8"/>
        <v/>
      </c>
    </row>
    <row r="28" spans="1:23">
      <c r="A28" s="155"/>
      <c r="B28" s="153">
        <v>23</v>
      </c>
      <c r="C28" s="153" t="s">
        <v>810</v>
      </c>
      <c r="D28" s="153" t="s">
        <v>196</v>
      </c>
      <c r="E28" s="154">
        <f t="shared" si="13"/>
        <v>2.4205000000000001</v>
      </c>
      <c r="F28" s="154">
        <f t="shared" si="13"/>
        <v>0.24</v>
      </c>
      <c r="G28" s="154">
        <f t="shared" si="2"/>
        <v>2.6604999999999999</v>
      </c>
      <c r="H28" s="154">
        <f t="shared" si="3"/>
        <v>2.9299999999999997</v>
      </c>
      <c r="I28" s="154">
        <f t="shared" si="4"/>
        <v>0</v>
      </c>
      <c r="J28" s="220">
        <f t="shared" si="14"/>
        <v>44959</v>
      </c>
      <c r="L28" s="159">
        <v>12</v>
      </c>
      <c r="M28" s="159">
        <v>4.4269999999999996</v>
      </c>
      <c r="N28" s="187">
        <v>4.05</v>
      </c>
      <c r="O28" s="180">
        <f t="shared" si="15"/>
        <v>0.4</v>
      </c>
      <c r="P28" s="180">
        <f t="shared" si="16"/>
        <v>4.45</v>
      </c>
      <c r="Q28" s="178">
        <f t="shared" si="19"/>
        <v>4.8999999999999995</v>
      </c>
      <c r="R28" s="178">
        <f t="shared" si="20"/>
        <v>5.6349999999999989</v>
      </c>
      <c r="S28" s="155"/>
      <c r="T28" s="155"/>
      <c r="U28" s="159">
        <f t="shared" si="17"/>
        <v>0</v>
      </c>
      <c r="V28" s="154">
        <f t="shared" si="18"/>
        <v>0</v>
      </c>
      <c r="W28" s="273" t="str">
        <f t="shared" si="8"/>
        <v/>
      </c>
    </row>
    <row r="29" spans="1:23">
      <c r="A29" s="155"/>
      <c r="B29" s="153">
        <v>24</v>
      </c>
      <c r="C29" s="153" t="s">
        <v>1125</v>
      </c>
      <c r="D29" s="153" t="s">
        <v>1126</v>
      </c>
      <c r="E29" s="154">
        <v>16.39</v>
      </c>
      <c r="F29" s="154">
        <f>ROUNDUP(E29*0.1,2)</f>
        <v>1.64</v>
      </c>
      <c r="G29" s="154">
        <f t="shared" si="2"/>
        <v>18.03</v>
      </c>
      <c r="H29" s="154">
        <f t="shared" si="3"/>
        <v>19.84</v>
      </c>
      <c r="I29" s="154">
        <f t="shared" si="4"/>
        <v>0</v>
      </c>
      <c r="J29" s="220">
        <v>44586</v>
      </c>
      <c r="L29" s="159">
        <v>10</v>
      </c>
      <c r="M29" s="159">
        <v>5.67</v>
      </c>
      <c r="N29" s="187">
        <v>4.05</v>
      </c>
      <c r="O29" s="180">
        <f t="shared" si="15"/>
        <v>0.4</v>
      </c>
      <c r="P29" s="180">
        <f t="shared" si="16"/>
        <v>4.45</v>
      </c>
      <c r="Q29" s="178">
        <f t="shared" si="19"/>
        <v>4.8999999999999995</v>
      </c>
      <c r="R29" s="178">
        <f t="shared" si="20"/>
        <v>5.6349999999999989</v>
      </c>
      <c r="S29" s="155"/>
      <c r="T29" s="155"/>
      <c r="U29" s="159">
        <f t="shared" si="17"/>
        <v>0</v>
      </c>
      <c r="V29" s="154">
        <f t="shared" si="18"/>
        <v>0</v>
      </c>
      <c r="W29" s="273" t="str">
        <f t="shared" si="8"/>
        <v/>
      </c>
    </row>
    <row r="30" spans="1:23">
      <c r="A30" s="155"/>
      <c r="B30" s="153">
        <v>25</v>
      </c>
      <c r="C30" s="153" t="s">
        <v>1127</v>
      </c>
      <c r="D30" s="153" t="s">
        <v>1128</v>
      </c>
      <c r="E30" s="154">
        <v>8.0399999999999991</v>
      </c>
      <c r="F30" s="154">
        <f>ROUNDUP(E30*0.1,2)</f>
        <v>0.81</v>
      </c>
      <c r="G30" s="154">
        <f t="shared" si="2"/>
        <v>8.85</v>
      </c>
      <c r="H30" s="154">
        <f t="shared" si="3"/>
        <v>9.74</v>
      </c>
      <c r="I30" s="154">
        <f t="shared" si="4"/>
        <v>0</v>
      </c>
      <c r="J30" s="220">
        <v>44586</v>
      </c>
      <c r="O30" s="160"/>
      <c r="P30" s="160"/>
      <c r="Q30" s="160"/>
      <c r="R30" s="160"/>
      <c r="W30" s="273" t="str">
        <f t="shared" si="8"/>
        <v/>
      </c>
    </row>
    <row r="31" spans="1:23">
      <c r="A31" s="155"/>
      <c r="B31" s="153">
        <v>26</v>
      </c>
      <c r="C31" s="153" t="s">
        <v>1129</v>
      </c>
      <c r="D31" s="153" t="s">
        <v>228</v>
      </c>
      <c r="E31" s="154">
        <v>7.0000000000000007E-2</v>
      </c>
      <c r="F31" s="154">
        <f>ROUNDUP(E31*0.1,2)</f>
        <v>0.01</v>
      </c>
      <c r="G31" s="154">
        <f t="shared" si="2"/>
        <v>0.08</v>
      </c>
      <c r="H31" s="154">
        <f t="shared" si="3"/>
        <v>0.09</v>
      </c>
      <c r="I31" s="154">
        <f t="shared" si="4"/>
        <v>0</v>
      </c>
      <c r="J31" s="220">
        <v>46066</v>
      </c>
      <c r="O31" s="160"/>
      <c r="P31" s="160"/>
      <c r="Q31" s="160"/>
      <c r="R31" s="160"/>
      <c r="W31" s="273" t="str">
        <f t="shared" si="8"/>
        <v/>
      </c>
    </row>
    <row r="32" spans="1:23" ht="15" thickBot="1">
      <c r="A32" s="155"/>
      <c r="B32" s="153">
        <v>27</v>
      </c>
      <c r="C32" s="153" t="s">
        <v>206</v>
      </c>
      <c r="D32" s="153" t="s">
        <v>196</v>
      </c>
      <c r="E32" s="154">
        <f t="shared" ref="E32:F36" si="21">N60</f>
        <v>3.0975000000000001</v>
      </c>
      <c r="F32" s="154">
        <f t="shared" si="21"/>
        <v>0.3</v>
      </c>
      <c r="G32" s="154">
        <f t="shared" si="2"/>
        <v>3.3975</v>
      </c>
      <c r="H32" s="154">
        <f t="shared" si="3"/>
        <v>3.7399999999999998</v>
      </c>
      <c r="I32" s="154">
        <f t="shared" si="4"/>
        <v>0</v>
      </c>
      <c r="J32" s="220">
        <f>$Q$58</f>
        <v>44959</v>
      </c>
      <c r="L32" s="176" t="s">
        <v>698</v>
      </c>
      <c r="M32" s="176"/>
      <c r="N32" s="176"/>
      <c r="O32" s="176"/>
      <c r="P32" s="138" t="s">
        <v>713</v>
      </c>
      <c r="Q32" s="179">
        <v>44959</v>
      </c>
      <c r="R32" s="213" t="s">
        <v>909</v>
      </c>
      <c r="S32" s="138" t="s">
        <v>716</v>
      </c>
      <c r="T32" s="138" t="s">
        <v>716</v>
      </c>
      <c r="U32" s="138" t="s">
        <v>12</v>
      </c>
      <c r="W32" s="273" t="str">
        <f t="shared" si="8"/>
        <v/>
      </c>
    </row>
    <row r="33" spans="1:23">
      <c r="A33" s="155"/>
      <c r="B33" s="153">
        <v>28</v>
      </c>
      <c r="C33" s="153" t="s">
        <v>207</v>
      </c>
      <c r="D33" s="153" t="s">
        <v>196</v>
      </c>
      <c r="E33" s="154">
        <f t="shared" si="21"/>
        <v>3.0975000000000001</v>
      </c>
      <c r="F33" s="154">
        <f t="shared" si="21"/>
        <v>0.3</v>
      </c>
      <c r="G33" s="154">
        <f t="shared" si="2"/>
        <v>3.3975</v>
      </c>
      <c r="H33" s="154">
        <f t="shared" si="3"/>
        <v>3.7399999999999998</v>
      </c>
      <c r="I33" s="154">
        <f t="shared" si="4"/>
        <v>0</v>
      </c>
      <c r="J33" s="220">
        <f>$Q$58</f>
        <v>44959</v>
      </c>
      <c r="K33" s="138" t="s">
        <v>690</v>
      </c>
      <c r="L33" s="138" t="s">
        <v>692</v>
      </c>
      <c r="M33" s="138" t="s">
        <v>720</v>
      </c>
      <c r="N33" s="138" t="s">
        <v>693</v>
      </c>
      <c r="O33" s="138" t="s">
        <v>712</v>
      </c>
      <c r="P33" s="177" t="s">
        <v>711</v>
      </c>
      <c r="Q33" s="138" t="s">
        <v>694</v>
      </c>
      <c r="R33" s="214">
        <f>$R$7</f>
        <v>0.15</v>
      </c>
      <c r="S33" s="138" t="s">
        <v>715</v>
      </c>
      <c r="T33" s="138" t="s">
        <v>721</v>
      </c>
      <c r="U33" s="138" t="s">
        <v>715</v>
      </c>
      <c r="V33" s="158" t="s">
        <v>12</v>
      </c>
      <c r="W33" s="273" t="str">
        <f t="shared" si="8"/>
        <v/>
      </c>
    </row>
    <row r="34" spans="1:23">
      <c r="A34" s="155"/>
      <c r="B34" s="153">
        <v>29</v>
      </c>
      <c r="C34" s="153" t="s">
        <v>208</v>
      </c>
      <c r="D34" s="153" t="s">
        <v>196</v>
      </c>
      <c r="E34" s="154">
        <f t="shared" si="21"/>
        <v>3.05</v>
      </c>
      <c r="F34" s="154">
        <f t="shared" si="21"/>
        <v>0.3</v>
      </c>
      <c r="G34" s="154">
        <f t="shared" si="2"/>
        <v>3.3499999999999996</v>
      </c>
      <c r="H34" s="154">
        <f t="shared" si="3"/>
        <v>3.69</v>
      </c>
      <c r="I34" s="154">
        <f t="shared" si="4"/>
        <v>0</v>
      </c>
      <c r="J34" s="220">
        <f>$Q$58</f>
        <v>44959</v>
      </c>
      <c r="K34" s="138">
        <v>10</v>
      </c>
      <c r="L34" s="159">
        <v>24</v>
      </c>
      <c r="M34" s="159">
        <v>0.98699999999999999</v>
      </c>
      <c r="N34" s="187">
        <v>4.3980999999999995</v>
      </c>
      <c r="O34" s="180">
        <f t="shared" ref="O34:O43" si="22">ROUNDDOWN(N34*0.1,2)</f>
        <v>0.43</v>
      </c>
      <c r="P34" s="180">
        <f t="shared" ref="P34:P43" si="23">N34+O34</f>
        <v>4.8280999999999992</v>
      </c>
      <c r="Q34" s="178">
        <f t="shared" ref="Q34:Q43" si="24">ROUNDUP(P34*1.1,2)</f>
        <v>5.3199999999999994</v>
      </c>
      <c r="R34" s="178">
        <f>Q34*(1+$R$33)</f>
        <v>6.1179999999999986</v>
      </c>
      <c r="S34" s="155"/>
      <c r="T34" s="155"/>
      <c r="U34" s="159">
        <f t="shared" ref="U34:U43" si="25">S34+(T34*M34)</f>
        <v>0</v>
      </c>
      <c r="V34" s="154">
        <f t="shared" ref="V34:V43" si="26">ROUNDUP(IF($C$2="Inventory Cost",P34*U34,Q34*U34),2)</f>
        <v>0</v>
      </c>
      <c r="W34" s="273" t="str">
        <f t="shared" si="8"/>
        <v>INVENTORY PRICE DOESN'T MATCH SAGE</v>
      </c>
    </row>
    <row r="35" spans="1:23">
      <c r="A35" s="155"/>
      <c r="B35" s="153">
        <v>30</v>
      </c>
      <c r="C35" s="153" t="s">
        <v>209</v>
      </c>
      <c r="D35" s="153" t="s">
        <v>196</v>
      </c>
      <c r="E35" s="154">
        <f t="shared" si="21"/>
        <v>3.05</v>
      </c>
      <c r="F35" s="154">
        <f t="shared" si="21"/>
        <v>0.3</v>
      </c>
      <c r="G35" s="154">
        <f t="shared" si="2"/>
        <v>3.3499999999999996</v>
      </c>
      <c r="H35" s="154">
        <f t="shared" si="3"/>
        <v>3.69</v>
      </c>
      <c r="I35" s="154">
        <f t="shared" si="4"/>
        <v>0</v>
      </c>
      <c r="J35" s="220">
        <f>$Q$58</f>
        <v>44959</v>
      </c>
      <c r="K35" s="138">
        <v>52</v>
      </c>
      <c r="L35" s="159">
        <v>22</v>
      </c>
      <c r="M35" s="159">
        <v>1.2310000000000001</v>
      </c>
      <c r="N35" s="187">
        <v>4.3980999999999995</v>
      </c>
      <c r="O35" s="180">
        <f t="shared" si="22"/>
        <v>0.43</v>
      </c>
      <c r="P35" s="180">
        <f t="shared" si="23"/>
        <v>4.8280999999999992</v>
      </c>
      <c r="Q35" s="178">
        <f t="shared" si="24"/>
        <v>5.3199999999999994</v>
      </c>
      <c r="R35" s="178">
        <f t="shared" ref="R35:R43" si="27">Q35*(1+$R$33)</f>
        <v>6.1179999999999986</v>
      </c>
      <c r="S35" s="155"/>
      <c r="T35" s="155"/>
      <c r="U35" s="159">
        <f t="shared" si="25"/>
        <v>0</v>
      </c>
      <c r="V35" s="154">
        <f t="shared" si="26"/>
        <v>0</v>
      </c>
      <c r="W35" s="273" t="str">
        <f t="shared" si="8"/>
        <v>INVENTORY PRICE DOESN'T MATCH SAGE</v>
      </c>
    </row>
    <row r="36" spans="1:23">
      <c r="A36" s="155"/>
      <c r="B36" s="153">
        <v>31</v>
      </c>
      <c r="C36" s="153" t="s">
        <v>210</v>
      </c>
      <c r="D36" s="153" t="s">
        <v>196</v>
      </c>
      <c r="E36" s="154">
        <f t="shared" si="21"/>
        <v>3</v>
      </c>
      <c r="F36" s="154">
        <f t="shared" si="21"/>
        <v>0.3</v>
      </c>
      <c r="G36" s="154">
        <f t="shared" si="2"/>
        <v>3.3</v>
      </c>
      <c r="H36" s="154">
        <f t="shared" si="3"/>
        <v>3.63</v>
      </c>
      <c r="I36" s="154">
        <f t="shared" si="4"/>
        <v>0</v>
      </c>
      <c r="J36" s="220">
        <f>$Q$58</f>
        <v>44959</v>
      </c>
      <c r="K36" s="138">
        <v>53</v>
      </c>
      <c r="L36" s="159">
        <v>20</v>
      </c>
      <c r="M36" s="159">
        <v>1.4910000000000001</v>
      </c>
      <c r="N36" s="187">
        <v>4.3980999999999995</v>
      </c>
      <c r="O36" s="180">
        <f t="shared" si="22"/>
        <v>0.43</v>
      </c>
      <c r="P36" s="180">
        <f t="shared" si="23"/>
        <v>4.8280999999999992</v>
      </c>
      <c r="Q36" s="178">
        <f t="shared" si="24"/>
        <v>5.3199999999999994</v>
      </c>
      <c r="R36" s="178">
        <f t="shared" si="27"/>
        <v>6.1179999999999986</v>
      </c>
      <c r="S36" s="155"/>
      <c r="T36" s="155"/>
      <c r="U36" s="159">
        <f t="shared" si="25"/>
        <v>0</v>
      </c>
      <c r="V36" s="154">
        <f t="shared" si="26"/>
        <v>0</v>
      </c>
      <c r="W36" s="273" t="str">
        <f t="shared" si="8"/>
        <v>INVENTORY PRICE DOESN'T MATCH SAGE</v>
      </c>
    </row>
    <row r="37" spans="1:23">
      <c r="A37" s="155"/>
      <c r="B37" s="153">
        <v>32</v>
      </c>
      <c r="C37" s="153" t="s">
        <v>811</v>
      </c>
      <c r="D37" s="153" t="s">
        <v>196</v>
      </c>
      <c r="E37" s="154">
        <f>N16</f>
        <v>2.63165</v>
      </c>
      <c r="F37" s="154">
        <f>O16</f>
        <v>0.26</v>
      </c>
      <c r="G37" s="154">
        <f t="shared" si="2"/>
        <v>2.8916500000000003</v>
      </c>
      <c r="H37" s="154">
        <f t="shared" si="3"/>
        <v>3.19</v>
      </c>
      <c r="I37" s="154">
        <f t="shared" si="4"/>
        <v>0</v>
      </c>
      <c r="J37" s="220">
        <f>$Q$6</f>
        <v>44959</v>
      </c>
      <c r="K37" s="138">
        <v>61</v>
      </c>
      <c r="L37" s="159">
        <v>18</v>
      </c>
      <c r="M37" s="159">
        <v>2.016</v>
      </c>
      <c r="N37" s="187">
        <v>4.3980999999999995</v>
      </c>
      <c r="O37" s="180">
        <f t="shared" si="22"/>
        <v>0.43</v>
      </c>
      <c r="P37" s="180">
        <f t="shared" si="23"/>
        <v>4.8280999999999992</v>
      </c>
      <c r="Q37" s="178">
        <f t="shared" si="24"/>
        <v>5.3199999999999994</v>
      </c>
      <c r="R37" s="178">
        <f t="shared" si="27"/>
        <v>6.1179999999999986</v>
      </c>
      <c r="S37" s="155"/>
      <c r="T37" s="155"/>
      <c r="U37" s="159">
        <f t="shared" si="25"/>
        <v>0</v>
      </c>
      <c r="V37" s="154">
        <f t="shared" si="26"/>
        <v>0</v>
      </c>
      <c r="W37" s="273" t="str">
        <f t="shared" si="8"/>
        <v>INVENTORY PRICE DOESN'T MATCH SAGE</v>
      </c>
    </row>
    <row r="38" spans="1:23">
      <c r="A38" s="155"/>
      <c r="B38" s="153">
        <v>33</v>
      </c>
      <c r="C38" s="153" t="s">
        <v>812</v>
      </c>
      <c r="D38" s="153" t="s">
        <v>196</v>
      </c>
      <c r="E38" s="154">
        <f>N17</f>
        <v>2.63165</v>
      </c>
      <c r="F38" s="154">
        <f>O17</f>
        <v>0.26</v>
      </c>
      <c r="G38" s="154">
        <f t="shared" si="2"/>
        <v>2.8916500000000003</v>
      </c>
      <c r="H38" s="154">
        <f t="shared" si="3"/>
        <v>3.19</v>
      </c>
      <c r="I38" s="154">
        <f t="shared" si="4"/>
        <v>0</v>
      </c>
      <c r="J38" s="220">
        <f>$Q$6</f>
        <v>44959</v>
      </c>
      <c r="K38" s="138">
        <v>90</v>
      </c>
      <c r="L38" s="159">
        <v>16</v>
      </c>
      <c r="M38" s="159">
        <v>2.4990000000000001</v>
      </c>
      <c r="N38" s="187">
        <v>4.3980999999999995</v>
      </c>
      <c r="O38" s="180">
        <f t="shared" si="22"/>
        <v>0.43</v>
      </c>
      <c r="P38" s="180">
        <f t="shared" si="23"/>
        <v>4.8280999999999992</v>
      </c>
      <c r="Q38" s="178">
        <f t="shared" si="24"/>
        <v>5.3199999999999994</v>
      </c>
      <c r="R38" s="178">
        <f t="shared" si="27"/>
        <v>6.1179999999999986</v>
      </c>
      <c r="S38" s="155"/>
      <c r="T38" s="155"/>
      <c r="U38" s="159">
        <f t="shared" si="25"/>
        <v>0</v>
      </c>
      <c r="V38" s="154">
        <f t="shared" si="26"/>
        <v>0</v>
      </c>
      <c r="W38" s="273" t="str">
        <f t="shared" si="8"/>
        <v>INVENTORY PRICE DOESN'T MATCH SAGE</v>
      </c>
    </row>
    <row r="39" spans="1:23">
      <c r="A39" s="155"/>
      <c r="B39" s="153">
        <v>34</v>
      </c>
      <c r="C39" s="153" t="s">
        <v>205</v>
      </c>
      <c r="D39" s="153"/>
      <c r="E39" s="154"/>
      <c r="F39" s="154">
        <f>ROUNDUP(E39*0.15,2)</f>
        <v>0</v>
      </c>
      <c r="G39" s="154">
        <f t="shared" si="2"/>
        <v>0</v>
      </c>
      <c r="H39" s="154">
        <f t="shared" si="3"/>
        <v>0</v>
      </c>
      <c r="I39" s="154">
        <f t="shared" si="4"/>
        <v>0</v>
      </c>
      <c r="J39" s="220"/>
      <c r="K39" s="138">
        <v>91</v>
      </c>
      <c r="L39" s="159">
        <v>14</v>
      </c>
      <c r="M39" s="159">
        <v>3.1539999999999999</v>
      </c>
      <c r="N39" s="187">
        <v>4.7</v>
      </c>
      <c r="O39" s="180">
        <f t="shared" si="22"/>
        <v>0.47</v>
      </c>
      <c r="P39" s="180">
        <f t="shared" si="23"/>
        <v>5.17</v>
      </c>
      <c r="Q39" s="178">
        <f t="shared" si="24"/>
        <v>5.6899999999999995</v>
      </c>
      <c r="R39" s="178">
        <f t="shared" si="27"/>
        <v>6.543499999999999</v>
      </c>
      <c r="S39" s="155"/>
      <c r="T39" s="155"/>
      <c r="U39" s="159">
        <f t="shared" si="25"/>
        <v>0</v>
      </c>
      <c r="V39" s="154">
        <f t="shared" si="26"/>
        <v>0</v>
      </c>
      <c r="W39" s="273" t="str">
        <f t="shared" si="8"/>
        <v>INVENTORY PRICE DOESN'T MATCH SAGE</v>
      </c>
    </row>
    <row r="40" spans="1:23">
      <c r="A40" s="155"/>
      <c r="B40" s="153">
        <v>35</v>
      </c>
      <c r="C40" s="153" t="s">
        <v>211</v>
      </c>
      <c r="D40" s="153" t="s">
        <v>196</v>
      </c>
      <c r="E40" s="154">
        <f t="shared" ref="E40:F43" si="28">N102</f>
        <v>1</v>
      </c>
      <c r="F40" s="154">
        <f t="shared" si="28"/>
        <v>0.1</v>
      </c>
      <c r="G40" s="154">
        <f t="shared" si="2"/>
        <v>1.1000000000000001</v>
      </c>
      <c r="H40" s="154">
        <f t="shared" si="3"/>
        <v>1.21</v>
      </c>
      <c r="I40" s="154">
        <f t="shared" si="4"/>
        <v>0</v>
      </c>
      <c r="J40" s="220">
        <f>$Q$100</f>
        <v>46227</v>
      </c>
      <c r="K40" s="138">
        <v>92</v>
      </c>
      <c r="L40" s="159">
        <v>12</v>
      </c>
      <c r="M40" s="159">
        <v>4.4269999999999996</v>
      </c>
      <c r="N40" s="187">
        <v>4.7</v>
      </c>
      <c r="O40" s="180">
        <f t="shared" si="22"/>
        <v>0.47</v>
      </c>
      <c r="P40" s="180">
        <f t="shared" si="23"/>
        <v>5.17</v>
      </c>
      <c r="Q40" s="178">
        <f t="shared" si="24"/>
        <v>5.6899999999999995</v>
      </c>
      <c r="R40" s="178">
        <f t="shared" si="27"/>
        <v>6.543499999999999</v>
      </c>
      <c r="S40" s="155"/>
      <c r="T40" s="155"/>
      <c r="U40" s="159">
        <f t="shared" si="25"/>
        <v>0</v>
      </c>
      <c r="V40" s="154">
        <f t="shared" si="26"/>
        <v>0</v>
      </c>
      <c r="W40" s="273" t="str">
        <f t="shared" ref="W40:W71" si="29">IF(ISNUMBER(K40),IF(VLOOKUP(K40,$B$6:$E$1302,4,FALSE)=P40,"","INVENTORY PRICE DOESN'T MATCH SAGE"),"")</f>
        <v>INVENTORY PRICE DOESN'T MATCH SAGE</v>
      </c>
    </row>
    <row r="41" spans="1:23">
      <c r="A41" s="155"/>
      <c r="B41" s="153">
        <v>36</v>
      </c>
      <c r="C41" s="153" t="s">
        <v>212</v>
      </c>
      <c r="D41" s="153" t="s">
        <v>196</v>
      </c>
      <c r="E41" s="154">
        <f t="shared" si="28"/>
        <v>1</v>
      </c>
      <c r="F41" s="154">
        <f t="shared" si="28"/>
        <v>0.1</v>
      </c>
      <c r="G41" s="154">
        <f t="shared" si="2"/>
        <v>1.1000000000000001</v>
      </c>
      <c r="H41" s="154">
        <f t="shared" si="3"/>
        <v>1.21</v>
      </c>
      <c r="I41" s="154">
        <f t="shared" si="4"/>
        <v>0</v>
      </c>
      <c r="J41" s="220">
        <f>$Q$100</f>
        <v>46227</v>
      </c>
      <c r="K41" s="138">
        <v>93</v>
      </c>
      <c r="L41" s="159">
        <v>10</v>
      </c>
      <c r="M41" s="159">
        <v>5.67</v>
      </c>
      <c r="N41" s="187">
        <v>4.7</v>
      </c>
      <c r="O41" s="180">
        <f t="shared" si="22"/>
        <v>0.47</v>
      </c>
      <c r="P41" s="180">
        <f t="shared" si="23"/>
        <v>5.17</v>
      </c>
      <c r="Q41" s="178">
        <f t="shared" si="24"/>
        <v>5.6899999999999995</v>
      </c>
      <c r="R41" s="178">
        <f t="shared" si="27"/>
        <v>6.543499999999999</v>
      </c>
      <c r="S41" s="155"/>
      <c r="T41" s="155"/>
      <c r="U41" s="159">
        <f t="shared" si="25"/>
        <v>0</v>
      </c>
      <c r="V41" s="154">
        <f t="shared" si="26"/>
        <v>0</v>
      </c>
      <c r="W41" s="273" t="str">
        <f t="shared" si="29"/>
        <v>INVENTORY PRICE DOESN'T MATCH SAGE</v>
      </c>
    </row>
    <row r="42" spans="1:23">
      <c r="A42" s="155"/>
      <c r="B42" s="153">
        <v>37</v>
      </c>
      <c r="C42" s="153" t="s">
        <v>213</v>
      </c>
      <c r="D42" s="153" t="s">
        <v>196</v>
      </c>
      <c r="E42" s="154">
        <f t="shared" si="28"/>
        <v>1</v>
      </c>
      <c r="F42" s="154">
        <f t="shared" si="28"/>
        <v>0.1</v>
      </c>
      <c r="G42" s="154">
        <f t="shared" si="2"/>
        <v>1.1000000000000001</v>
      </c>
      <c r="H42" s="154">
        <f t="shared" si="3"/>
        <v>1.21</v>
      </c>
      <c r="I42" s="154">
        <f t="shared" si="4"/>
        <v>0</v>
      </c>
      <c r="J42" s="220">
        <f>$Q$100</f>
        <v>46227</v>
      </c>
      <c r="K42" s="138">
        <v>13</v>
      </c>
      <c r="L42" s="181" t="s">
        <v>695</v>
      </c>
      <c r="M42" s="159">
        <v>8.5790000000000006</v>
      </c>
      <c r="N42" s="187">
        <v>4.7</v>
      </c>
      <c r="O42" s="180">
        <f t="shared" si="22"/>
        <v>0.47</v>
      </c>
      <c r="P42" s="180">
        <f t="shared" si="23"/>
        <v>5.17</v>
      </c>
      <c r="Q42" s="178">
        <f t="shared" si="24"/>
        <v>5.6899999999999995</v>
      </c>
      <c r="R42" s="178">
        <f t="shared" si="27"/>
        <v>6.543499999999999</v>
      </c>
      <c r="S42" s="155"/>
      <c r="T42" s="155"/>
      <c r="U42" s="159">
        <f t="shared" si="25"/>
        <v>0</v>
      </c>
      <c r="V42" s="154">
        <f t="shared" si="26"/>
        <v>0</v>
      </c>
      <c r="W42" s="273" t="str">
        <f t="shared" si="29"/>
        <v>INVENTORY PRICE DOESN'T MATCH SAGE</v>
      </c>
    </row>
    <row r="43" spans="1:23">
      <c r="A43" s="155"/>
      <c r="B43" s="153">
        <v>38</v>
      </c>
      <c r="C43" s="153" t="s">
        <v>214</v>
      </c>
      <c r="D43" s="153" t="s">
        <v>196</v>
      </c>
      <c r="E43" s="154">
        <f t="shared" si="28"/>
        <v>1</v>
      </c>
      <c r="F43" s="154">
        <f t="shared" si="28"/>
        <v>0.1</v>
      </c>
      <c r="G43" s="154">
        <f t="shared" si="2"/>
        <v>1.1000000000000001</v>
      </c>
      <c r="H43" s="154">
        <f t="shared" si="3"/>
        <v>1.21</v>
      </c>
      <c r="I43" s="154">
        <f t="shared" si="4"/>
        <v>0</v>
      </c>
      <c r="J43" s="220">
        <f>$Q$100</f>
        <v>46227</v>
      </c>
      <c r="K43" s="138">
        <v>14</v>
      </c>
      <c r="L43" s="181" t="s">
        <v>696</v>
      </c>
      <c r="M43" s="159">
        <v>11.16</v>
      </c>
      <c r="N43" s="187">
        <v>4.7</v>
      </c>
      <c r="O43" s="180">
        <f t="shared" si="22"/>
        <v>0.47</v>
      </c>
      <c r="P43" s="180">
        <f t="shared" si="23"/>
        <v>5.17</v>
      </c>
      <c r="Q43" s="178">
        <f t="shared" si="24"/>
        <v>5.6899999999999995</v>
      </c>
      <c r="R43" s="178">
        <f t="shared" si="27"/>
        <v>6.543499999999999</v>
      </c>
      <c r="S43" s="155"/>
      <c r="T43" s="155"/>
      <c r="U43" s="159">
        <f t="shared" si="25"/>
        <v>0</v>
      </c>
      <c r="V43" s="154">
        <f t="shared" si="26"/>
        <v>0</v>
      </c>
      <c r="W43" s="273" t="str">
        <f t="shared" si="29"/>
        <v>INVENTORY PRICE DOESN'T MATCH SAGE</v>
      </c>
    </row>
    <row r="44" spans="1:23">
      <c r="A44" s="155"/>
      <c r="B44" s="153">
        <v>39</v>
      </c>
      <c r="C44" s="153" t="s">
        <v>205</v>
      </c>
      <c r="D44" s="153"/>
      <c r="E44" s="154"/>
      <c r="F44" s="154">
        <f>ROUNDUP(E44*0.15,2)</f>
        <v>0</v>
      </c>
      <c r="G44" s="154">
        <f t="shared" si="2"/>
        <v>0</v>
      </c>
      <c r="H44" s="154">
        <f t="shared" si="3"/>
        <v>0</v>
      </c>
      <c r="I44" s="154">
        <f t="shared" si="4"/>
        <v>0</v>
      </c>
      <c r="J44" s="220"/>
      <c r="W44" s="273" t="str">
        <f t="shared" si="29"/>
        <v/>
      </c>
    </row>
    <row r="45" spans="1:23">
      <c r="A45" s="155"/>
      <c r="B45" s="153">
        <v>40</v>
      </c>
      <c r="C45" s="153" t="s">
        <v>205</v>
      </c>
      <c r="D45" s="153"/>
      <c r="E45" s="154"/>
      <c r="F45" s="154">
        <f>ROUNDUP(E45*0.15,2)</f>
        <v>0</v>
      </c>
      <c r="G45" s="154">
        <f t="shared" si="2"/>
        <v>0</v>
      </c>
      <c r="H45" s="154">
        <f t="shared" si="3"/>
        <v>0</v>
      </c>
      <c r="I45" s="154">
        <f t="shared" si="4"/>
        <v>0</v>
      </c>
      <c r="J45" s="220"/>
      <c r="W45" s="273" t="str">
        <f t="shared" si="29"/>
        <v/>
      </c>
    </row>
    <row r="46" spans="1:23" ht="15" thickBot="1">
      <c r="A46" s="155"/>
      <c r="B46" s="153">
        <v>41</v>
      </c>
      <c r="C46" s="153" t="s">
        <v>215</v>
      </c>
      <c r="D46" s="153" t="s">
        <v>196</v>
      </c>
      <c r="E46" s="154">
        <f>N112</f>
        <v>1.27</v>
      </c>
      <c r="F46" s="154">
        <f>O112</f>
        <v>0.12</v>
      </c>
      <c r="G46" s="154">
        <f t="shared" si="2"/>
        <v>1.3900000000000001</v>
      </c>
      <c r="H46" s="154">
        <f t="shared" si="3"/>
        <v>1.53</v>
      </c>
      <c r="I46" s="154">
        <f t="shared" si="4"/>
        <v>0</v>
      </c>
      <c r="J46" s="220">
        <f>$Q$110</f>
        <v>44959</v>
      </c>
      <c r="L46" s="176" t="s">
        <v>699</v>
      </c>
      <c r="M46" s="176"/>
      <c r="N46" s="176"/>
      <c r="O46" s="176"/>
      <c r="P46" s="138" t="s">
        <v>713</v>
      </c>
      <c r="Q46" s="179">
        <v>43858</v>
      </c>
      <c r="R46" s="213" t="s">
        <v>909</v>
      </c>
      <c r="S46" s="138" t="s">
        <v>716</v>
      </c>
      <c r="T46" s="138" t="s">
        <v>716</v>
      </c>
      <c r="U46" s="138" t="s">
        <v>12</v>
      </c>
      <c r="W46" s="273" t="str">
        <f t="shared" si="29"/>
        <v/>
      </c>
    </row>
    <row r="47" spans="1:23">
      <c r="A47" s="155"/>
      <c r="B47" s="153">
        <v>42</v>
      </c>
      <c r="C47" s="153" t="s">
        <v>216</v>
      </c>
      <c r="D47" s="153" t="s">
        <v>196</v>
      </c>
      <c r="E47" s="154">
        <f>N113</f>
        <v>1.27</v>
      </c>
      <c r="F47" s="154">
        <f>O113</f>
        <v>0.12</v>
      </c>
      <c r="G47" s="154">
        <f t="shared" si="2"/>
        <v>1.3900000000000001</v>
      </c>
      <c r="H47" s="154">
        <f t="shared" si="3"/>
        <v>1.53</v>
      </c>
      <c r="I47" s="154">
        <f t="shared" si="4"/>
        <v>0</v>
      </c>
      <c r="J47" s="220">
        <f>$Q$110</f>
        <v>44959</v>
      </c>
      <c r="K47" s="138" t="s">
        <v>690</v>
      </c>
      <c r="L47" s="138" t="s">
        <v>692</v>
      </c>
      <c r="M47" s="138" t="s">
        <v>720</v>
      </c>
      <c r="N47" s="138" t="s">
        <v>693</v>
      </c>
      <c r="O47" s="138" t="s">
        <v>712</v>
      </c>
      <c r="P47" s="177" t="s">
        <v>711</v>
      </c>
      <c r="Q47" s="138" t="s">
        <v>694</v>
      </c>
      <c r="R47" s="214">
        <f>$R$7</f>
        <v>0.15</v>
      </c>
      <c r="S47" s="138" t="s">
        <v>715</v>
      </c>
      <c r="T47" s="138" t="s">
        <v>721</v>
      </c>
      <c r="U47" s="138" t="s">
        <v>715</v>
      </c>
      <c r="V47" s="158" t="s">
        <v>12</v>
      </c>
      <c r="W47" s="273" t="str">
        <f t="shared" si="29"/>
        <v/>
      </c>
    </row>
    <row r="48" spans="1:23">
      <c r="A48" s="155"/>
      <c r="B48" s="153">
        <v>43</v>
      </c>
      <c r="C48" s="153" t="s">
        <v>217</v>
      </c>
      <c r="D48" s="153" t="s">
        <v>196</v>
      </c>
      <c r="E48" s="154">
        <v>1.24</v>
      </c>
      <c r="F48" s="154">
        <f t="shared" ref="F48:F56" si="30">ROUNDUP(E48*0.1,2)</f>
        <v>0.13</v>
      </c>
      <c r="G48" s="154">
        <f t="shared" si="2"/>
        <v>1.37</v>
      </c>
      <c r="H48" s="154">
        <f t="shared" si="3"/>
        <v>1.51</v>
      </c>
      <c r="I48" s="154">
        <f t="shared" si="4"/>
        <v>0</v>
      </c>
      <c r="J48" s="220"/>
      <c r="L48" s="159">
        <v>24</v>
      </c>
      <c r="M48" s="159">
        <v>0.98699999999999999</v>
      </c>
      <c r="N48" s="187">
        <v>3.58</v>
      </c>
      <c r="O48" s="180">
        <f t="shared" ref="O48:O55" si="31">ROUNDDOWN(N48*0.1,2)</f>
        <v>0.35</v>
      </c>
      <c r="P48" s="180">
        <f t="shared" ref="P48:P55" si="32">N48+O48</f>
        <v>3.93</v>
      </c>
      <c r="Q48" s="178">
        <f t="shared" ref="Q48:Q55" si="33">ROUNDUP(P48*1.1,2)</f>
        <v>4.33</v>
      </c>
      <c r="R48" s="178">
        <f>Q48*(1+$R$47)</f>
        <v>4.9794999999999998</v>
      </c>
      <c r="S48" s="155"/>
      <c r="T48" s="155"/>
      <c r="U48" s="159">
        <f t="shared" ref="U48:U55" si="34">S48+(T48*M48)</f>
        <v>0</v>
      </c>
      <c r="V48" s="154">
        <f t="shared" ref="V48:V55" si="35">ROUNDUP(IF($C$2="Inventory Cost",P48*U48,Q48*U48),2)</f>
        <v>0</v>
      </c>
      <c r="W48" s="273" t="str">
        <f t="shared" si="29"/>
        <v/>
      </c>
    </row>
    <row r="49" spans="1:23">
      <c r="A49" s="155"/>
      <c r="B49" s="153">
        <v>44</v>
      </c>
      <c r="C49" s="153" t="s">
        <v>218</v>
      </c>
      <c r="D49" s="153" t="s">
        <v>196</v>
      </c>
      <c r="E49" s="154">
        <v>1.24</v>
      </c>
      <c r="F49" s="154">
        <f t="shared" si="30"/>
        <v>0.13</v>
      </c>
      <c r="G49" s="154">
        <f t="shared" si="2"/>
        <v>1.37</v>
      </c>
      <c r="H49" s="154">
        <f t="shared" si="3"/>
        <v>1.51</v>
      </c>
      <c r="I49" s="154">
        <f t="shared" si="4"/>
        <v>0</v>
      </c>
      <c r="J49" s="220"/>
      <c r="L49" s="159">
        <v>22</v>
      </c>
      <c r="M49" s="159">
        <v>1.2310000000000001</v>
      </c>
      <c r="N49" s="187">
        <v>3.56</v>
      </c>
      <c r="O49" s="180">
        <f t="shared" si="31"/>
        <v>0.35</v>
      </c>
      <c r="P49" s="180">
        <f t="shared" si="32"/>
        <v>3.91</v>
      </c>
      <c r="Q49" s="178">
        <f t="shared" si="33"/>
        <v>4.3099999999999996</v>
      </c>
      <c r="R49" s="178">
        <f t="shared" ref="R49:R55" si="36">Q49*(1+$R$47)</f>
        <v>4.9564999999999992</v>
      </c>
      <c r="S49" s="155"/>
      <c r="T49" s="155"/>
      <c r="U49" s="159">
        <f t="shared" si="34"/>
        <v>0</v>
      </c>
      <c r="V49" s="154">
        <f t="shared" si="35"/>
        <v>0</v>
      </c>
      <c r="W49" s="273" t="str">
        <f t="shared" si="29"/>
        <v/>
      </c>
    </row>
    <row r="50" spans="1:23">
      <c r="A50" s="155"/>
      <c r="B50" s="153">
        <v>45</v>
      </c>
      <c r="C50" s="153" t="s">
        <v>219</v>
      </c>
      <c r="D50" s="153" t="s">
        <v>196</v>
      </c>
      <c r="E50" s="154">
        <v>1.24</v>
      </c>
      <c r="F50" s="154">
        <f t="shared" si="30"/>
        <v>0.13</v>
      </c>
      <c r="G50" s="154">
        <f t="shared" si="2"/>
        <v>1.37</v>
      </c>
      <c r="H50" s="154">
        <f t="shared" si="3"/>
        <v>1.51</v>
      </c>
      <c r="I50" s="154">
        <f t="shared" si="4"/>
        <v>0</v>
      </c>
      <c r="J50" s="220"/>
      <c r="L50" s="159">
        <v>20</v>
      </c>
      <c r="M50" s="159">
        <v>1.4910000000000001</v>
      </c>
      <c r="N50" s="187">
        <v>3.54</v>
      </c>
      <c r="O50" s="180">
        <f t="shared" si="31"/>
        <v>0.35</v>
      </c>
      <c r="P50" s="180">
        <f t="shared" si="32"/>
        <v>3.89</v>
      </c>
      <c r="Q50" s="178">
        <f t="shared" si="33"/>
        <v>4.2799999999999994</v>
      </c>
      <c r="R50" s="178">
        <f t="shared" si="36"/>
        <v>4.9219999999999988</v>
      </c>
      <c r="S50" s="155"/>
      <c r="T50" s="155"/>
      <c r="U50" s="159">
        <f t="shared" si="34"/>
        <v>0</v>
      </c>
      <c r="V50" s="154">
        <f t="shared" si="35"/>
        <v>0</v>
      </c>
      <c r="W50" s="273" t="str">
        <f t="shared" si="29"/>
        <v/>
      </c>
    </row>
    <row r="51" spans="1:23">
      <c r="A51" s="155"/>
      <c r="B51" s="153">
        <v>46</v>
      </c>
      <c r="C51" s="153" t="s">
        <v>220</v>
      </c>
      <c r="D51" s="153" t="s">
        <v>196</v>
      </c>
      <c r="E51" s="154">
        <v>1.24</v>
      </c>
      <c r="F51" s="154">
        <f t="shared" si="30"/>
        <v>0.13</v>
      </c>
      <c r="G51" s="154">
        <f t="shared" si="2"/>
        <v>1.37</v>
      </c>
      <c r="H51" s="154">
        <f t="shared" si="3"/>
        <v>1.51</v>
      </c>
      <c r="I51" s="154">
        <f t="shared" si="4"/>
        <v>0</v>
      </c>
      <c r="J51" s="220"/>
      <c r="L51" s="159">
        <v>18</v>
      </c>
      <c r="M51" s="159">
        <v>2.016</v>
      </c>
      <c r="N51" s="187">
        <v>3.52</v>
      </c>
      <c r="O51" s="180">
        <f t="shared" si="31"/>
        <v>0.35</v>
      </c>
      <c r="P51" s="180">
        <f t="shared" si="32"/>
        <v>3.87</v>
      </c>
      <c r="Q51" s="178">
        <f t="shared" si="33"/>
        <v>4.26</v>
      </c>
      <c r="R51" s="178">
        <f t="shared" si="36"/>
        <v>4.8989999999999991</v>
      </c>
      <c r="S51" s="155"/>
      <c r="T51" s="155"/>
      <c r="U51" s="159">
        <f t="shared" si="34"/>
        <v>0</v>
      </c>
      <c r="V51" s="154">
        <f t="shared" si="35"/>
        <v>0</v>
      </c>
      <c r="W51" s="273" t="str">
        <f t="shared" si="29"/>
        <v/>
      </c>
    </row>
    <row r="52" spans="1:23">
      <c r="A52" s="155"/>
      <c r="B52" s="153">
        <v>47</v>
      </c>
      <c r="C52" s="153" t="s">
        <v>221</v>
      </c>
      <c r="D52" s="153" t="s">
        <v>196</v>
      </c>
      <c r="E52" s="154">
        <v>1.24</v>
      </c>
      <c r="F52" s="154">
        <f t="shared" si="30"/>
        <v>0.13</v>
      </c>
      <c r="G52" s="154">
        <f t="shared" si="2"/>
        <v>1.37</v>
      </c>
      <c r="H52" s="154">
        <f t="shared" si="3"/>
        <v>1.51</v>
      </c>
      <c r="I52" s="154">
        <f t="shared" si="4"/>
        <v>0</v>
      </c>
      <c r="J52" s="220"/>
      <c r="L52" s="159">
        <v>16</v>
      </c>
      <c r="M52" s="159">
        <v>2.4990000000000001</v>
      </c>
      <c r="N52" s="187">
        <v>3.48</v>
      </c>
      <c r="O52" s="180">
        <f t="shared" si="31"/>
        <v>0.34</v>
      </c>
      <c r="P52" s="180">
        <f t="shared" si="32"/>
        <v>3.82</v>
      </c>
      <c r="Q52" s="178">
        <f t="shared" si="33"/>
        <v>4.21</v>
      </c>
      <c r="R52" s="178">
        <f t="shared" si="36"/>
        <v>4.8414999999999999</v>
      </c>
      <c r="S52" s="155"/>
      <c r="T52" s="155"/>
      <c r="U52" s="159">
        <f t="shared" si="34"/>
        <v>0</v>
      </c>
      <c r="V52" s="154">
        <f t="shared" si="35"/>
        <v>0</v>
      </c>
      <c r="W52" s="273" t="str">
        <f t="shared" si="29"/>
        <v/>
      </c>
    </row>
    <row r="53" spans="1:23">
      <c r="A53" s="155"/>
      <c r="B53" s="153">
        <v>48</v>
      </c>
      <c r="C53" s="153" t="s">
        <v>222</v>
      </c>
      <c r="D53" s="153" t="s">
        <v>196</v>
      </c>
      <c r="E53" s="154">
        <v>1.24</v>
      </c>
      <c r="F53" s="154">
        <f t="shared" si="30"/>
        <v>0.13</v>
      </c>
      <c r="G53" s="154">
        <f t="shared" si="2"/>
        <v>1.37</v>
      </c>
      <c r="H53" s="154">
        <f t="shared" si="3"/>
        <v>1.51</v>
      </c>
      <c r="I53" s="154">
        <f t="shared" si="4"/>
        <v>0</v>
      </c>
      <c r="J53" s="220"/>
      <c r="L53" s="159">
        <v>14</v>
      </c>
      <c r="M53" s="159">
        <v>3.1539999999999999</v>
      </c>
      <c r="N53" s="187">
        <v>3.48</v>
      </c>
      <c r="O53" s="180">
        <f t="shared" si="31"/>
        <v>0.34</v>
      </c>
      <c r="P53" s="180">
        <f t="shared" si="32"/>
        <v>3.82</v>
      </c>
      <c r="Q53" s="178">
        <f t="shared" si="33"/>
        <v>4.21</v>
      </c>
      <c r="R53" s="178">
        <f t="shared" si="36"/>
        <v>4.8414999999999999</v>
      </c>
      <c r="S53" s="155"/>
      <c r="T53" s="155"/>
      <c r="U53" s="159">
        <f t="shared" si="34"/>
        <v>0</v>
      </c>
      <c r="V53" s="154">
        <f t="shared" si="35"/>
        <v>0</v>
      </c>
      <c r="W53" s="273" t="str">
        <f t="shared" si="29"/>
        <v/>
      </c>
    </row>
    <row r="54" spans="1:23">
      <c r="A54" s="155"/>
      <c r="B54" s="153">
        <v>49</v>
      </c>
      <c r="C54" s="153" t="s">
        <v>223</v>
      </c>
      <c r="D54" s="153" t="s">
        <v>196</v>
      </c>
      <c r="E54" s="154">
        <v>1.24</v>
      </c>
      <c r="F54" s="154">
        <f t="shared" si="30"/>
        <v>0.13</v>
      </c>
      <c r="G54" s="154">
        <f t="shared" si="2"/>
        <v>1.37</v>
      </c>
      <c r="H54" s="154">
        <f t="shared" si="3"/>
        <v>1.51</v>
      </c>
      <c r="I54" s="154">
        <f t="shared" si="4"/>
        <v>0</v>
      </c>
      <c r="J54" s="220"/>
      <c r="L54" s="159">
        <v>12</v>
      </c>
      <c r="M54" s="159">
        <v>4.4269999999999996</v>
      </c>
      <c r="N54" s="187">
        <v>2.95</v>
      </c>
      <c r="O54" s="180">
        <f t="shared" si="31"/>
        <v>0.28999999999999998</v>
      </c>
      <c r="P54" s="180">
        <f t="shared" si="32"/>
        <v>3.24</v>
      </c>
      <c r="Q54" s="178">
        <f t="shared" si="33"/>
        <v>3.57</v>
      </c>
      <c r="R54" s="178">
        <f t="shared" si="36"/>
        <v>4.1054999999999993</v>
      </c>
      <c r="S54" s="155"/>
      <c r="T54" s="155"/>
      <c r="U54" s="159">
        <f t="shared" si="34"/>
        <v>0</v>
      </c>
      <c r="V54" s="154">
        <f t="shared" si="35"/>
        <v>0</v>
      </c>
      <c r="W54" s="273" t="str">
        <f t="shared" si="29"/>
        <v/>
      </c>
    </row>
    <row r="55" spans="1:23">
      <c r="A55" s="155"/>
      <c r="B55" s="153">
        <v>50</v>
      </c>
      <c r="C55" s="153" t="s">
        <v>224</v>
      </c>
      <c r="D55" s="153" t="s">
        <v>225</v>
      </c>
      <c r="E55" s="154">
        <v>2.75</v>
      </c>
      <c r="F55" s="154">
        <f t="shared" si="30"/>
        <v>0.28000000000000003</v>
      </c>
      <c r="G55" s="154">
        <f t="shared" si="2"/>
        <v>3.0300000000000002</v>
      </c>
      <c r="H55" s="154">
        <f t="shared" si="3"/>
        <v>3.34</v>
      </c>
      <c r="I55" s="154">
        <f t="shared" si="4"/>
        <v>0</v>
      </c>
      <c r="J55" s="220"/>
      <c r="L55" s="159">
        <v>10</v>
      </c>
      <c r="M55" s="159">
        <v>5.67</v>
      </c>
      <c r="N55" s="187">
        <v>2.95</v>
      </c>
      <c r="O55" s="180">
        <f t="shared" si="31"/>
        <v>0.28999999999999998</v>
      </c>
      <c r="P55" s="180">
        <f t="shared" si="32"/>
        <v>3.24</v>
      </c>
      <c r="Q55" s="178">
        <f t="shared" si="33"/>
        <v>3.57</v>
      </c>
      <c r="R55" s="178">
        <f t="shared" si="36"/>
        <v>4.1054999999999993</v>
      </c>
      <c r="S55" s="155"/>
      <c r="T55" s="155"/>
      <c r="U55" s="159">
        <f t="shared" si="34"/>
        <v>0</v>
      </c>
      <c r="V55" s="154">
        <f t="shared" si="35"/>
        <v>0</v>
      </c>
      <c r="W55" s="273" t="str">
        <f t="shared" si="29"/>
        <v/>
      </c>
    </row>
    <row r="56" spans="1:23">
      <c r="A56" s="155"/>
      <c r="B56" s="153">
        <v>51</v>
      </c>
      <c r="C56" s="153" t="s">
        <v>226</v>
      </c>
      <c r="D56" s="153" t="s">
        <v>196</v>
      </c>
      <c r="E56" s="154">
        <v>1.24</v>
      </c>
      <c r="F56" s="154">
        <f t="shared" si="30"/>
        <v>0.13</v>
      </c>
      <c r="G56" s="154">
        <f t="shared" si="2"/>
        <v>1.37</v>
      </c>
      <c r="H56" s="154">
        <f t="shared" si="3"/>
        <v>1.51</v>
      </c>
      <c r="I56" s="154">
        <f t="shared" si="4"/>
        <v>0</v>
      </c>
      <c r="J56" s="220"/>
      <c r="W56" s="273" t="str">
        <f t="shared" si="29"/>
        <v/>
      </c>
    </row>
    <row r="57" spans="1:23">
      <c r="A57" s="155"/>
      <c r="B57" s="153">
        <v>52</v>
      </c>
      <c r="C57" s="153" t="s">
        <v>813</v>
      </c>
      <c r="D57" s="153" t="s">
        <v>196</v>
      </c>
      <c r="E57" s="154">
        <f>N35</f>
        <v>4.3980999999999995</v>
      </c>
      <c r="F57" s="154">
        <f>O35</f>
        <v>0.43</v>
      </c>
      <c r="G57" s="154">
        <f t="shared" si="2"/>
        <v>4.8280999999999992</v>
      </c>
      <c r="H57" s="154">
        <f t="shared" si="3"/>
        <v>5.3199999999999994</v>
      </c>
      <c r="I57" s="154">
        <f t="shared" si="4"/>
        <v>0</v>
      </c>
      <c r="J57" s="220">
        <f>$Q$32</f>
        <v>44959</v>
      </c>
      <c r="W57" s="273" t="str">
        <f t="shared" si="29"/>
        <v/>
      </c>
    </row>
    <row r="58" spans="1:23" ht="15" thickBot="1">
      <c r="A58" s="155"/>
      <c r="B58" s="153">
        <v>53</v>
      </c>
      <c r="C58" s="153" t="s">
        <v>814</v>
      </c>
      <c r="D58" s="153" t="s">
        <v>196</v>
      </c>
      <c r="E58" s="154">
        <f>N36</f>
        <v>4.3980999999999995</v>
      </c>
      <c r="F58" s="154">
        <f>O36</f>
        <v>0.43</v>
      </c>
      <c r="G58" s="154">
        <f t="shared" si="2"/>
        <v>4.8280999999999992</v>
      </c>
      <c r="H58" s="154">
        <f t="shared" si="3"/>
        <v>5.3199999999999994</v>
      </c>
      <c r="I58" s="154">
        <f t="shared" si="4"/>
        <v>0</v>
      </c>
      <c r="J58" s="220">
        <f>$Q$32</f>
        <v>44959</v>
      </c>
      <c r="L58" s="176" t="s">
        <v>700</v>
      </c>
      <c r="M58" s="176"/>
      <c r="N58" s="176"/>
      <c r="O58" s="176"/>
      <c r="P58" s="138" t="s">
        <v>713</v>
      </c>
      <c r="Q58" s="179">
        <v>44959</v>
      </c>
      <c r="R58" s="213" t="s">
        <v>909</v>
      </c>
      <c r="S58" s="138" t="s">
        <v>716</v>
      </c>
      <c r="T58" s="138" t="s">
        <v>716</v>
      </c>
      <c r="U58" s="138" t="s">
        <v>12</v>
      </c>
      <c r="W58" s="273" t="str">
        <f t="shared" si="29"/>
        <v/>
      </c>
    </row>
    <row r="59" spans="1:23">
      <c r="A59" s="155"/>
      <c r="B59" s="153">
        <v>54</v>
      </c>
      <c r="C59" s="153" t="s">
        <v>227</v>
      </c>
      <c r="D59" s="153" t="s">
        <v>228</v>
      </c>
      <c r="E59" s="154">
        <v>39.380000000000003</v>
      </c>
      <c r="F59" s="154">
        <f t="shared" ref="F59:F65" si="37">ROUNDUP(E59*0.15,2)</f>
        <v>5.91</v>
      </c>
      <c r="G59" s="154">
        <f t="shared" si="2"/>
        <v>45.290000000000006</v>
      </c>
      <c r="H59" s="154">
        <f t="shared" si="3"/>
        <v>49.82</v>
      </c>
      <c r="I59" s="154">
        <f t="shared" si="4"/>
        <v>0</v>
      </c>
      <c r="J59" s="220">
        <v>46066</v>
      </c>
      <c r="K59" s="138" t="s">
        <v>690</v>
      </c>
      <c r="L59" s="138" t="s">
        <v>692</v>
      </c>
      <c r="M59" s="138" t="s">
        <v>720</v>
      </c>
      <c r="N59" s="138" t="s">
        <v>693</v>
      </c>
      <c r="O59" s="138" t="s">
        <v>712</v>
      </c>
      <c r="P59" s="177" t="s">
        <v>711</v>
      </c>
      <c r="Q59" s="138" t="s">
        <v>694</v>
      </c>
      <c r="R59" s="214">
        <f>$R$7</f>
        <v>0.15</v>
      </c>
      <c r="S59" s="138" t="s">
        <v>715</v>
      </c>
      <c r="T59" s="138" t="s">
        <v>721</v>
      </c>
      <c r="U59" s="138" t="s">
        <v>715</v>
      </c>
      <c r="V59" s="158" t="s">
        <v>12</v>
      </c>
      <c r="W59" s="273" t="str">
        <f t="shared" si="29"/>
        <v/>
      </c>
    </row>
    <row r="60" spans="1:23">
      <c r="A60" s="155"/>
      <c r="B60" s="153">
        <v>55</v>
      </c>
      <c r="C60" s="153" t="s">
        <v>229</v>
      </c>
      <c r="D60" s="153" t="s">
        <v>228</v>
      </c>
      <c r="E60" s="154">
        <v>44.97</v>
      </c>
      <c r="F60" s="154">
        <f t="shared" si="37"/>
        <v>6.75</v>
      </c>
      <c r="G60" s="154">
        <f t="shared" si="2"/>
        <v>51.72</v>
      </c>
      <c r="H60" s="154">
        <f t="shared" si="3"/>
        <v>56.9</v>
      </c>
      <c r="I60" s="154">
        <f t="shared" si="4"/>
        <v>0</v>
      </c>
      <c r="J60" s="220">
        <v>46066</v>
      </c>
      <c r="K60" s="138">
        <v>27</v>
      </c>
      <c r="L60" s="159">
        <v>3.2000000000000001E-2</v>
      </c>
      <c r="M60" s="159">
        <v>0.44700000000000001</v>
      </c>
      <c r="N60" s="187">
        <v>3.0975000000000001</v>
      </c>
      <c r="O60" s="180">
        <f t="shared" ref="O60:O72" si="38">ROUNDDOWN(N60*0.1,2)</f>
        <v>0.3</v>
      </c>
      <c r="P60" s="180">
        <f t="shared" ref="P60:P72" si="39">N60+O60</f>
        <v>3.3975</v>
      </c>
      <c r="Q60" s="178">
        <f t="shared" ref="Q60:Q72" si="40">ROUNDUP(P60*1.1,2)</f>
        <v>3.7399999999999998</v>
      </c>
      <c r="R60" s="178">
        <f>Q60*(1+$R$59)</f>
        <v>4.3009999999999993</v>
      </c>
      <c r="S60" s="155"/>
      <c r="T60" s="155"/>
      <c r="U60" s="159">
        <f t="shared" ref="U60:U72" si="41">S60+(T60*M60)</f>
        <v>0</v>
      </c>
      <c r="V60" s="154">
        <f t="shared" ref="V60:V72" si="42">ROUNDUP(IF($C$2="Inventory Cost",P60*U60,Q60*U60),2)</f>
        <v>0</v>
      </c>
      <c r="W60" s="273" t="str">
        <f t="shared" si="29"/>
        <v>INVENTORY PRICE DOESN'T MATCH SAGE</v>
      </c>
    </row>
    <row r="61" spans="1:23">
      <c r="A61" s="155"/>
      <c r="B61" s="153">
        <v>56</v>
      </c>
      <c r="C61" s="153" t="s">
        <v>230</v>
      </c>
      <c r="D61" s="153" t="s">
        <v>228</v>
      </c>
      <c r="E61" s="154">
        <v>56</v>
      </c>
      <c r="F61" s="154">
        <f t="shared" si="37"/>
        <v>8.4</v>
      </c>
      <c r="G61" s="154">
        <f t="shared" si="2"/>
        <v>64.400000000000006</v>
      </c>
      <c r="H61" s="154">
        <f t="shared" si="3"/>
        <v>70.84</v>
      </c>
      <c r="I61" s="154">
        <f t="shared" si="4"/>
        <v>0</v>
      </c>
      <c r="J61" s="220">
        <v>46066</v>
      </c>
      <c r="K61" s="138">
        <v>28</v>
      </c>
      <c r="L61" s="159">
        <v>0.04</v>
      </c>
      <c r="M61" s="159">
        <v>0.55900000000000005</v>
      </c>
      <c r="N61" s="187">
        <v>3.0975000000000001</v>
      </c>
      <c r="O61" s="180">
        <f t="shared" si="38"/>
        <v>0.3</v>
      </c>
      <c r="P61" s="180">
        <f t="shared" si="39"/>
        <v>3.3975</v>
      </c>
      <c r="Q61" s="178">
        <f t="shared" si="40"/>
        <v>3.7399999999999998</v>
      </c>
      <c r="R61" s="178">
        <f t="shared" ref="R61:R72" si="43">Q61*(1+$R$59)</f>
        <v>4.3009999999999993</v>
      </c>
      <c r="S61" s="155"/>
      <c r="T61" s="155"/>
      <c r="U61" s="159">
        <f t="shared" si="41"/>
        <v>0</v>
      </c>
      <c r="V61" s="154">
        <f t="shared" si="42"/>
        <v>0</v>
      </c>
      <c r="W61" s="273" t="str">
        <f t="shared" si="29"/>
        <v>INVENTORY PRICE DOESN'T MATCH SAGE</v>
      </c>
    </row>
    <row r="62" spans="1:23">
      <c r="A62" s="155"/>
      <c r="B62" s="153">
        <v>57</v>
      </c>
      <c r="C62" s="153" t="s">
        <v>231</v>
      </c>
      <c r="D62" s="153" t="s">
        <v>228</v>
      </c>
      <c r="E62" s="154">
        <v>58</v>
      </c>
      <c r="F62" s="154">
        <f t="shared" si="37"/>
        <v>8.6999999999999993</v>
      </c>
      <c r="G62" s="154">
        <f t="shared" si="2"/>
        <v>66.7</v>
      </c>
      <c r="H62" s="154">
        <f t="shared" si="3"/>
        <v>73.37</v>
      </c>
      <c r="I62" s="154">
        <f t="shared" si="4"/>
        <v>0</v>
      </c>
      <c r="J62" s="220">
        <v>46066</v>
      </c>
      <c r="K62" s="138">
        <v>29</v>
      </c>
      <c r="L62" s="159">
        <v>0.05</v>
      </c>
      <c r="M62" s="159">
        <v>0.69799999999999995</v>
      </c>
      <c r="N62" s="187">
        <v>3.05</v>
      </c>
      <c r="O62" s="180">
        <f t="shared" si="38"/>
        <v>0.3</v>
      </c>
      <c r="P62" s="180">
        <f t="shared" si="39"/>
        <v>3.3499999999999996</v>
      </c>
      <c r="Q62" s="178">
        <f t="shared" si="40"/>
        <v>3.69</v>
      </c>
      <c r="R62" s="178">
        <f t="shared" si="43"/>
        <v>4.2435</v>
      </c>
      <c r="S62" s="155"/>
      <c r="T62" s="155"/>
      <c r="U62" s="159">
        <f t="shared" si="41"/>
        <v>0</v>
      </c>
      <c r="V62" s="154">
        <f t="shared" si="42"/>
        <v>0</v>
      </c>
      <c r="W62" s="273" t="str">
        <f t="shared" si="29"/>
        <v>INVENTORY PRICE DOESN'T MATCH SAGE</v>
      </c>
    </row>
    <row r="63" spans="1:23">
      <c r="A63" s="155"/>
      <c r="B63" s="153">
        <v>58</v>
      </c>
      <c r="C63" s="153" t="s">
        <v>232</v>
      </c>
      <c r="D63" s="153" t="s">
        <v>228</v>
      </c>
      <c r="E63" s="154">
        <v>73</v>
      </c>
      <c r="F63" s="154">
        <f t="shared" si="37"/>
        <v>10.95</v>
      </c>
      <c r="G63" s="154">
        <f t="shared" si="2"/>
        <v>83.95</v>
      </c>
      <c r="H63" s="154">
        <f t="shared" si="3"/>
        <v>92.350000000000009</v>
      </c>
      <c r="I63" s="154">
        <f t="shared" si="4"/>
        <v>0</v>
      </c>
      <c r="J63" s="220">
        <v>46066</v>
      </c>
      <c r="K63" s="138">
        <v>30</v>
      </c>
      <c r="L63" s="159">
        <v>6.3E-2</v>
      </c>
      <c r="M63" s="159">
        <v>0.88</v>
      </c>
      <c r="N63" s="187">
        <v>3.05</v>
      </c>
      <c r="O63" s="180">
        <f t="shared" si="38"/>
        <v>0.3</v>
      </c>
      <c r="P63" s="180">
        <f t="shared" si="39"/>
        <v>3.3499999999999996</v>
      </c>
      <c r="Q63" s="178">
        <f t="shared" si="40"/>
        <v>3.69</v>
      </c>
      <c r="R63" s="178">
        <f t="shared" si="43"/>
        <v>4.2435</v>
      </c>
      <c r="S63" s="155"/>
      <c r="T63" s="155"/>
      <c r="U63" s="159">
        <f t="shared" si="41"/>
        <v>0</v>
      </c>
      <c r="V63" s="154">
        <f t="shared" si="42"/>
        <v>0</v>
      </c>
      <c r="W63" s="273" t="str">
        <f t="shared" si="29"/>
        <v>INVENTORY PRICE DOESN'T MATCH SAGE</v>
      </c>
    </row>
    <row r="64" spans="1:23">
      <c r="A64" s="155"/>
      <c r="B64" s="153">
        <v>59</v>
      </c>
      <c r="C64" s="153" t="s">
        <v>233</v>
      </c>
      <c r="D64" s="153" t="s">
        <v>228</v>
      </c>
      <c r="E64" s="154">
        <v>83</v>
      </c>
      <c r="F64" s="154">
        <f t="shared" si="37"/>
        <v>12.45</v>
      </c>
      <c r="G64" s="154">
        <f t="shared" si="2"/>
        <v>95.45</v>
      </c>
      <c r="H64" s="154">
        <f t="shared" si="3"/>
        <v>105</v>
      </c>
      <c r="I64" s="154">
        <f t="shared" si="4"/>
        <v>0</v>
      </c>
      <c r="J64" s="220">
        <v>46066</v>
      </c>
      <c r="K64" s="138">
        <v>31</v>
      </c>
      <c r="L64" s="159">
        <v>0.08</v>
      </c>
      <c r="M64" s="159">
        <v>1.1160000000000001</v>
      </c>
      <c r="N64" s="187">
        <v>3</v>
      </c>
      <c r="O64" s="180">
        <f t="shared" si="38"/>
        <v>0.3</v>
      </c>
      <c r="P64" s="180">
        <f t="shared" si="39"/>
        <v>3.3</v>
      </c>
      <c r="Q64" s="178">
        <f t="shared" si="40"/>
        <v>3.63</v>
      </c>
      <c r="R64" s="178">
        <f t="shared" si="43"/>
        <v>4.1744999999999992</v>
      </c>
      <c r="S64" s="155"/>
      <c r="T64" s="155"/>
      <c r="U64" s="159">
        <f t="shared" si="41"/>
        <v>0</v>
      </c>
      <c r="V64" s="154">
        <f t="shared" si="42"/>
        <v>0</v>
      </c>
      <c r="W64" s="273" t="str">
        <f t="shared" si="29"/>
        <v>INVENTORY PRICE DOESN'T MATCH SAGE</v>
      </c>
    </row>
    <row r="65" spans="1:23">
      <c r="A65" s="155"/>
      <c r="B65" s="153">
        <v>60</v>
      </c>
      <c r="C65" s="153" t="s">
        <v>234</v>
      </c>
      <c r="D65" s="153" t="s">
        <v>228</v>
      </c>
      <c r="E65" s="154">
        <v>102</v>
      </c>
      <c r="F65" s="154">
        <f t="shared" si="37"/>
        <v>15.3</v>
      </c>
      <c r="G65" s="154">
        <f t="shared" si="2"/>
        <v>117.3</v>
      </c>
      <c r="H65" s="154">
        <f t="shared" si="3"/>
        <v>129.03</v>
      </c>
      <c r="I65" s="154">
        <f t="shared" si="4"/>
        <v>0</v>
      </c>
      <c r="J65" s="220">
        <v>46066</v>
      </c>
      <c r="L65" s="159">
        <v>0.1</v>
      </c>
      <c r="M65" s="159">
        <v>1.397</v>
      </c>
      <c r="N65" s="187">
        <v>2.9</v>
      </c>
      <c r="O65" s="180">
        <f t="shared" si="38"/>
        <v>0.28999999999999998</v>
      </c>
      <c r="P65" s="180">
        <f t="shared" si="39"/>
        <v>3.19</v>
      </c>
      <c r="Q65" s="178">
        <f t="shared" si="40"/>
        <v>3.51</v>
      </c>
      <c r="R65" s="178">
        <f t="shared" si="43"/>
        <v>4.0364999999999993</v>
      </c>
      <c r="S65" s="155"/>
      <c r="T65" s="155"/>
      <c r="U65" s="159">
        <f t="shared" si="41"/>
        <v>0</v>
      </c>
      <c r="V65" s="154">
        <f t="shared" si="42"/>
        <v>0</v>
      </c>
      <c r="W65" s="273" t="str">
        <f t="shared" si="29"/>
        <v/>
      </c>
    </row>
    <row r="66" spans="1:23">
      <c r="A66" s="155"/>
      <c r="B66" s="153">
        <v>61</v>
      </c>
      <c r="C66" s="153" t="s">
        <v>815</v>
      </c>
      <c r="D66" s="153" t="s">
        <v>196</v>
      </c>
      <c r="E66" s="154">
        <f>N37</f>
        <v>4.3980999999999995</v>
      </c>
      <c r="F66" s="154">
        <f>O37</f>
        <v>0.43</v>
      </c>
      <c r="G66" s="154">
        <f t="shared" si="2"/>
        <v>4.8280999999999992</v>
      </c>
      <c r="H66" s="154">
        <f t="shared" si="3"/>
        <v>5.3199999999999994</v>
      </c>
      <c r="I66" s="154">
        <f t="shared" si="4"/>
        <v>0</v>
      </c>
      <c r="J66" s="220">
        <f>$Q$32</f>
        <v>44959</v>
      </c>
      <c r="L66" s="159">
        <v>0.125</v>
      </c>
      <c r="M66" s="159">
        <v>1.746</v>
      </c>
      <c r="N66" s="187">
        <v>2.9</v>
      </c>
      <c r="O66" s="180">
        <f t="shared" si="38"/>
        <v>0.28999999999999998</v>
      </c>
      <c r="P66" s="180">
        <f t="shared" si="39"/>
        <v>3.19</v>
      </c>
      <c r="Q66" s="178">
        <f t="shared" si="40"/>
        <v>3.51</v>
      </c>
      <c r="R66" s="178">
        <f t="shared" si="43"/>
        <v>4.0364999999999993</v>
      </c>
      <c r="S66" s="155"/>
      <c r="T66" s="155"/>
      <c r="U66" s="159">
        <f t="shared" si="41"/>
        <v>0</v>
      </c>
      <c r="V66" s="154">
        <f t="shared" si="42"/>
        <v>0</v>
      </c>
      <c r="W66" s="273" t="str">
        <f t="shared" si="29"/>
        <v/>
      </c>
    </row>
    <row r="67" spans="1:23">
      <c r="A67" s="155"/>
      <c r="B67" s="153">
        <v>62</v>
      </c>
      <c r="C67" s="153" t="s">
        <v>235</v>
      </c>
      <c r="D67" s="153" t="s">
        <v>228</v>
      </c>
      <c r="E67" s="154">
        <v>143</v>
      </c>
      <c r="F67" s="154">
        <f t="shared" ref="F67:F94" si="44">ROUNDUP(E67*0.15,2)</f>
        <v>21.45</v>
      </c>
      <c r="G67" s="154">
        <f t="shared" si="2"/>
        <v>164.45</v>
      </c>
      <c r="H67" s="154">
        <f t="shared" si="3"/>
        <v>180.89999999999998</v>
      </c>
      <c r="I67" s="154">
        <f t="shared" si="4"/>
        <v>0</v>
      </c>
      <c r="J67" s="220">
        <v>46066</v>
      </c>
      <c r="L67" s="159">
        <v>0.188</v>
      </c>
      <c r="M67" s="159">
        <v>2.6579999999999999</v>
      </c>
      <c r="N67" s="187">
        <v>3.855</v>
      </c>
      <c r="O67" s="180">
        <f t="shared" si="38"/>
        <v>0.38</v>
      </c>
      <c r="P67" s="180">
        <f t="shared" si="39"/>
        <v>4.2350000000000003</v>
      </c>
      <c r="Q67" s="178">
        <f t="shared" si="40"/>
        <v>4.66</v>
      </c>
      <c r="R67" s="178">
        <f t="shared" si="43"/>
        <v>5.359</v>
      </c>
      <c r="S67" s="155"/>
      <c r="T67" s="155"/>
      <c r="U67" s="159">
        <f t="shared" si="41"/>
        <v>0</v>
      </c>
      <c r="V67" s="154">
        <f t="shared" si="42"/>
        <v>0</v>
      </c>
      <c r="W67" s="273" t="str">
        <f t="shared" si="29"/>
        <v/>
      </c>
    </row>
    <row r="68" spans="1:23">
      <c r="A68" s="155"/>
      <c r="B68" s="153">
        <v>63</v>
      </c>
      <c r="C68" s="153" t="s">
        <v>236</v>
      </c>
      <c r="D68" s="153" t="s">
        <v>228</v>
      </c>
      <c r="E68" s="154">
        <v>1.82</v>
      </c>
      <c r="F68" s="154">
        <f t="shared" si="44"/>
        <v>0.28000000000000003</v>
      </c>
      <c r="G68" s="154">
        <f t="shared" si="2"/>
        <v>2.1</v>
      </c>
      <c r="H68" s="154">
        <f t="shared" si="3"/>
        <v>2.31</v>
      </c>
      <c r="I68" s="154">
        <f t="shared" si="4"/>
        <v>0</v>
      </c>
      <c r="J68" s="220"/>
      <c r="L68" s="159">
        <v>0.25</v>
      </c>
      <c r="M68" s="159">
        <v>3.492</v>
      </c>
      <c r="N68" s="187">
        <v>3.77</v>
      </c>
      <c r="O68" s="180">
        <f t="shared" si="38"/>
        <v>0.37</v>
      </c>
      <c r="P68" s="180">
        <f t="shared" si="39"/>
        <v>4.1399999999999997</v>
      </c>
      <c r="Q68" s="178">
        <f t="shared" si="40"/>
        <v>4.5599999999999996</v>
      </c>
      <c r="R68" s="178">
        <f t="shared" si="43"/>
        <v>5.2439999999999989</v>
      </c>
      <c r="S68" s="155"/>
      <c r="T68" s="155"/>
      <c r="U68" s="159">
        <f t="shared" si="41"/>
        <v>0</v>
      </c>
      <c r="V68" s="154">
        <f t="shared" si="42"/>
        <v>0</v>
      </c>
      <c r="W68" s="273" t="str">
        <f t="shared" si="29"/>
        <v/>
      </c>
    </row>
    <row r="69" spans="1:23">
      <c r="A69" s="155"/>
      <c r="B69" s="153">
        <v>64</v>
      </c>
      <c r="C69" s="153" t="s">
        <v>237</v>
      </c>
      <c r="D69" s="153" t="s">
        <v>228</v>
      </c>
      <c r="E69" s="154">
        <v>2.63</v>
      </c>
      <c r="F69" s="154">
        <f t="shared" si="44"/>
        <v>0.4</v>
      </c>
      <c r="G69" s="154">
        <f t="shared" si="2"/>
        <v>3.03</v>
      </c>
      <c r="H69" s="154">
        <f t="shared" si="3"/>
        <v>3.34</v>
      </c>
      <c r="I69" s="154">
        <f t="shared" si="4"/>
        <v>0</v>
      </c>
      <c r="J69" s="220"/>
      <c r="L69" s="159">
        <v>0.375</v>
      </c>
      <c r="M69" s="159">
        <v>5.24</v>
      </c>
      <c r="N69" s="187">
        <v>4.3600000000000003</v>
      </c>
      <c r="O69" s="180">
        <f t="shared" si="38"/>
        <v>0.43</v>
      </c>
      <c r="P69" s="180">
        <f t="shared" si="39"/>
        <v>4.79</v>
      </c>
      <c r="Q69" s="178">
        <f t="shared" si="40"/>
        <v>5.27</v>
      </c>
      <c r="R69" s="178">
        <f t="shared" si="43"/>
        <v>6.0604999999999993</v>
      </c>
      <c r="S69" s="155"/>
      <c r="T69" s="155"/>
      <c r="U69" s="159">
        <f t="shared" si="41"/>
        <v>0</v>
      </c>
      <c r="V69" s="154">
        <f t="shared" si="42"/>
        <v>0</v>
      </c>
      <c r="W69" s="273" t="str">
        <f t="shared" si="29"/>
        <v/>
      </c>
    </row>
    <row r="70" spans="1:23">
      <c r="A70" s="155"/>
      <c r="B70" s="153">
        <v>65</v>
      </c>
      <c r="C70" s="153" t="s">
        <v>238</v>
      </c>
      <c r="D70" s="153" t="s">
        <v>228</v>
      </c>
      <c r="E70" s="154">
        <v>5.08</v>
      </c>
      <c r="F70" s="154">
        <f t="shared" si="44"/>
        <v>0.77</v>
      </c>
      <c r="G70" s="154">
        <f t="shared" ref="G70:G133" si="45">E70+F70</f>
        <v>5.85</v>
      </c>
      <c r="H70" s="154">
        <f t="shared" ref="H70:H133" si="46">ROUNDUP(($E70+F70)*1.1,2)</f>
        <v>6.4399999999999995</v>
      </c>
      <c r="I70" s="154">
        <f t="shared" ref="I70:I133" si="47">IF($C$2="Inventory Cost",A70*G70,A70*H70)</f>
        <v>0</v>
      </c>
      <c r="J70" s="220"/>
      <c r="L70" s="159" t="s">
        <v>754</v>
      </c>
      <c r="M70" s="159">
        <v>1.01</v>
      </c>
      <c r="N70" s="187">
        <v>3.5</v>
      </c>
      <c r="O70" s="180">
        <f t="shared" si="38"/>
        <v>0.35</v>
      </c>
      <c r="P70" s="180">
        <f t="shared" si="39"/>
        <v>3.85</v>
      </c>
      <c r="Q70" s="178">
        <f t="shared" si="40"/>
        <v>4.24</v>
      </c>
      <c r="R70" s="178">
        <f t="shared" si="43"/>
        <v>4.8759999999999994</v>
      </c>
      <c r="S70" s="155"/>
      <c r="T70" s="155"/>
      <c r="U70" s="159">
        <f t="shared" si="41"/>
        <v>0</v>
      </c>
      <c r="V70" s="154">
        <f t="shared" si="42"/>
        <v>0</v>
      </c>
      <c r="W70" s="273" t="str">
        <f t="shared" si="29"/>
        <v/>
      </c>
    </row>
    <row r="71" spans="1:23">
      <c r="A71" s="155"/>
      <c r="B71" s="153">
        <v>66</v>
      </c>
      <c r="C71" s="153" t="s">
        <v>239</v>
      </c>
      <c r="D71" s="153" t="s">
        <v>228</v>
      </c>
      <c r="E71" s="154">
        <v>1.1499999999999999</v>
      </c>
      <c r="F71" s="154">
        <f t="shared" si="44"/>
        <v>0.18000000000000002</v>
      </c>
      <c r="G71" s="154">
        <f t="shared" si="45"/>
        <v>1.3299999999999998</v>
      </c>
      <c r="H71" s="154">
        <f t="shared" si="46"/>
        <v>1.47</v>
      </c>
      <c r="I71" s="154">
        <f t="shared" si="47"/>
        <v>0</v>
      </c>
      <c r="J71" s="220"/>
      <c r="L71" s="159" t="s">
        <v>755</v>
      </c>
      <c r="M71" s="159">
        <v>1.782</v>
      </c>
      <c r="N71" s="187">
        <v>3.4</v>
      </c>
      <c r="O71" s="180">
        <f t="shared" si="38"/>
        <v>0.34</v>
      </c>
      <c r="P71" s="180">
        <f t="shared" si="39"/>
        <v>3.7399999999999998</v>
      </c>
      <c r="Q71" s="178">
        <f t="shared" si="40"/>
        <v>4.12</v>
      </c>
      <c r="R71" s="178">
        <f t="shared" si="43"/>
        <v>4.7379999999999995</v>
      </c>
      <c r="S71" s="155"/>
      <c r="T71" s="155"/>
      <c r="U71" s="159">
        <f t="shared" si="41"/>
        <v>0</v>
      </c>
      <c r="V71" s="154">
        <f t="shared" si="42"/>
        <v>0</v>
      </c>
      <c r="W71" s="273" t="str">
        <f t="shared" si="29"/>
        <v/>
      </c>
    </row>
    <row r="72" spans="1:23">
      <c r="A72" s="155"/>
      <c r="B72" s="153">
        <v>67</v>
      </c>
      <c r="C72" s="153" t="s">
        <v>240</v>
      </c>
      <c r="D72" s="153" t="s">
        <v>228</v>
      </c>
      <c r="E72" s="154">
        <v>1.17</v>
      </c>
      <c r="F72" s="154">
        <f t="shared" si="44"/>
        <v>0.18000000000000002</v>
      </c>
      <c r="G72" s="154">
        <f t="shared" si="45"/>
        <v>1.3499999999999999</v>
      </c>
      <c r="H72" s="154">
        <f t="shared" si="46"/>
        <v>1.49</v>
      </c>
      <c r="I72" s="154">
        <f t="shared" si="47"/>
        <v>0</v>
      </c>
      <c r="J72" s="220"/>
      <c r="L72" s="159" t="s">
        <v>756</v>
      </c>
      <c r="M72" s="159"/>
      <c r="N72" s="187">
        <v>4.04</v>
      </c>
      <c r="O72" s="180">
        <f t="shared" si="38"/>
        <v>0.4</v>
      </c>
      <c r="P72" s="180">
        <f t="shared" si="39"/>
        <v>4.4400000000000004</v>
      </c>
      <c r="Q72" s="178">
        <f t="shared" si="40"/>
        <v>4.8899999999999997</v>
      </c>
      <c r="R72" s="178">
        <f t="shared" si="43"/>
        <v>5.6234999999999991</v>
      </c>
      <c r="S72" s="155"/>
      <c r="T72" s="155"/>
      <c r="U72" s="159">
        <f t="shared" si="41"/>
        <v>0</v>
      </c>
      <c r="V72" s="154">
        <f t="shared" si="42"/>
        <v>0</v>
      </c>
      <c r="W72" s="273" t="str">
        <f t="shared" ref="W72:W103" si="48">IF(ISNUMBER(K72),IF(VLOOKUP(K72,$B$6:$E$1302,4,FALSE)=P72,"","INVENTORY PRICE DOESN'T MATCH SAGE"),"")</f>
        <v/>
      </c>
    </row>
    <row r="73" spans="1:23">
      <c r="A73" s="155"/>
      <c r="B73" s="153">
        <v>68</v>
      </c>
      <c r="C73" s="153" t="s">
        <v>241</v>
      </c>
      <c r="D73" s="153" t="s">
        <v>228</v>
      </c>
      <c r="E73" s="154">
        <v>229</v>
      </c>
      <c r="F73" s="154">
        <f t="shared" si="44"/>
        <v>34.35</v>
      </c>
      <c r="G73" s="154">
        <f t="shared" si="45"/>
        <v>263.35000000000002</v>
      </c>
      <c r="H73" s="154">
        <f t="shared" si="46"/>
        <v>289.69</v>
      </c>
      <c r="I73" s="154">
        <f t="shared" si="47"/>
        <v>0</v>
      </c>
      <c r="J73" s="220">
        <v>44476</v>
      </c>
      <c r="L73" s="182"/>
      <c r="M73" s="182"/>
      <c r="N73" s="183"/>
      <c r="O73" s="183"/>
      <c r="P73" s="183"/>
      <c r="Q73" s="173"/>
      <c r="R73" s="173"/>
      <c r="W73" s="273" t="str">
        <f t="shared" si="48"/>
        <v/>
      </c>
    </row>
    <row r="74" spans="1:23">
      <c r="A74" s="155"/>
      <c r="B74" s="153">
        <v>69</v>
      </c>
      <c r="C74" s="153" t="s">
        <v>242</v>
      </c>
      <c r="D74" s="153" t="s">
        <v>243</v>
      </c>
      <c r="E74" s="154">
        <v>18.43</v>
      </c>
      <c r="F74" s="154">
        <f t="shared" si="44"/>
        <v>2.7699999999999996</v>
      </c>
      <c r="G74" s="154">
        <f t="shared" si="45"/>
        <v>21.2</v>
      </c>
      <c r="H74" s="154">
        <f t="shared" si="46"/>
        <v>23.32</v>
      </c>
      <c r="I74" s="154">
        <f t="shared" si="47"/>
        <v>0</v>
      </c>
      <c r="J74" s="220">
        <v>44476</v>
      </c>
      <c r="W74" s="273" t="str">
        <f t="shared" si="48"/>
        <v/>
      </c>
    </row>
    <row r="75" spans="1:23" ht="15" thickBot="1">
      <c r="A75" s="155"/>
      <c r="B75" s="153">
        <v>70</v>
      </c>
      <c r="C75" s="153" t="s">
        <v>244</v>
      </c>
      <c r="D75" s="153" t="s">
        <v>228</v>
      </c>
      <c r="E75" s="154">
        <v>11.4</v>
      </c>
      <c r="F75" s="154">
        <f t="shared" si="44"/>
        <v>1.71</v>
      </c>
      <c r="G75" s="154">
        <f t="shared" si="45"/>
        <v>13.11</v>
      </c>
      <c r="H75" s="154">
        <f t="shared" si="46"/>
        <v>14.43</v>
      </c>
      <c r="I75" s="154">
        <f t="shared" si="47"/>
        <v>0</v>
      </c>
      <c r="J75" s="220">
        <v>46066</v>
      </c>
      <c r="L75" s="176" t="s">
        <v>701</v>
      </c>
      <c r="M75" s="176"/>
      <c r="N75" s="176"/>
      <c r="O75" s="176"/>
      <c r="P75" s="138" t="s">
        <v>713</v>
      </c>
      <c r="Q75" s="179">
        <v>46239</v>
      </c>
      <c r="R75" s="213" t="s">
        <v>909</v>
      </c>
      <c r="S75" s="138" t="s">
        <v>716</v>
      </c>
      <c r="T75" s="138" t="s">
        <v>716</v>
      </c>
      <c r="U75" s="138" t="s">
        <v>12</v>
      </c>
      <c r="W75" s="273" t="str">
        <f t="shared" si="48"/>
        <v/>
      </c>
    </row>
    <row r="76" spans="1:23">
      <c r="A76" s="155"/>
      <c r="B76" s="153">
        <v>71</v>
      </c>
      <c r="C76" s="153" t="s">
        <v>245</v>
      </c>
      <c r="D76" s="153" t="s">
        <v>246</v>
      </c>
      <c r="E76" s="154">
        <v>0.25</v>
      </c>
      <c r="F76" s="154">
        <f t="shared" si="44"/>
        <v>0.04</v>
      </c>
      <c r="G76" s="154">
        <f t="shared" si="45"/>
        <v>0.28999999999999998</v>
      </c>
      <c r="H76" s="154">
        <f t="shared" si="46"/>
        <v>0.32</v>
      </c>
      <c r="I76" s="154">
        <f t="shared" si="47"/>
        <v>0</v>
      </c>
      <c r="J76" s="220">
        <v>46066</v>
      </c>
      <c r="K76" s="138" t="s">
        <v>690</v>
      </c>
      <c r="L76" s="138" t="s">
        <v>692</v>
      </c>
      <c r="M76" s="138" t="s">
        <v>720</v>
      </c>
      <c r="N76" s="138" t="s">
        <v>693</v>
      </c>
      <c r="O76" s="138" t="s">
        <v>712</v>
      </c>
      <c r="P76" s="177" t="s">
        <v>711</v>
      </c>
      <c r="Q76" s="138" t="s">
        <v>694</v>
      </c>
      <c r="R76" s="214">
        <f>$R$7</f>
        <v>0.15</v>
      </c>
      <c r="S76" s="138" t="s">
        <v>715</v>
      </c>
      <c r="T76" s="138" t="s">
        <v>721</v>
      </c>
      <c r="U76" s="138" t="s">
        <v>715</v>
      </c>
      <c r="V76" s="158" t="s">
        <v>12</v>
      </c>
      <c r="W76" s="273" t="str">
        <f t="shared" si="48"/>
        <v/>
      </c>
    </row>
    <row r="77" spans="1:23">
      <c r="A77" s="155"/>
      <c r="B77" s="153">
        <v>72</v>
      </c>
      <c r="C77" s="153" t="s">
        <v>247</v>
      </c>
      <c r="D77" s="153" t="s">
        <v>246</v>
      </c>
      <c r="E77" s="154">
        <v>0.33</v>
      </c>
      <c r="F77" s="154">
        <f t="shared" si="44"/>
        <v>0.05</v>
      </c>
      <c r="G77" s="154">
        <f t="shared" si="45"/>
        <v>0.38</v>
      </c>
      <c r="H77" s="154">
        <f t="shared" si="46"/>
        <v>0.42</v>
      </c>
      <c r="I77" s="154">
        <f t="shared" si="47"/>
        <v>0</v>
      </c>
      <c r="J77" s="220">
        <v>46066</v>
      </c>
      <c r="K77" s="138">
        <v>1</v>
      </c>
      <c r="L77" s="159">
        <v>26</v>
      </c>
      <c r="M77" s="159">
        <v>0.90600000000000003</v>
      </c>
      <c r="N77" s="187">
        <v>1</v>
      </c>
      <c r="O77" s="180">
        <v>0.05</v>
      </c>
      <c r="P77" s="180">
        <f t="shared" ref="P77:P85" si="49">N77+O77</f>
        <v>1.05</v>
      </c>
      <c r="Q77" s="178">
        <f>ROUNDUP(P77*1.1,2)</f>
        <v>1.1599999999999999</v>
      </c>
      <c r="R77" s="178">
        <f>Q77*(1+$R$76)</f>
        <v>1.3339999999999999</v>
      </c>
      <c r="S77" s="155"/>
      <c r="T77" s="155"/>
      <c r="U77" s="159">
        <f t="shared" ref="U77:U85" si="50">S77+(T77*M77)</f>
        <v>0</v>
      </c>
      <c r="V77" s="154">
        <f t="shared" ref="V77:V85" si="51">ROUNDUP(IF($C$2="Inventory Cost",P77*U77,Q77*U77),2)</f>
        <v>0</v>
      </c>
      <c r="W77" s="273" t="str">
        <f t="shared" si="48"/>
        <v>INVENTORY PRICE DOESN'T MATCH SAGE</v>
      </c>
    </row>
    <row r="78" spans="1:23">
      <c r="A78" s="155"/>
      <c r="B78" s="153">
        <v>73</v>
      </c>
      <c r="C78" s="153" t="s">
        <v>248</v>
      </c>
      <c r="D78" s="153" t="s">
        <v>246</v>
      </c>
      <c r="E78" s="154">
        <v>0.66</v>
      </c>
      <c r="F78" s="154">
        <f t="shared" si="44"/>
        <v>9.9999999999999992E-2</v>
      </c>
      <c r="G78" s="154">
        <f t="shared" si="45"/>
        <v>0.76</v>
      </c>
      <c r="H78" s="154">
        <f t="shared" si="46"/>
        <v>0.84</v>
      </c>
      <c r="I78" s="154">
        <f t="shared" si="47"/>
        <v>0</v>
      </c>
      <c r="J78" s="220">
        <v>46066</v>
      </c>
      <c r="K78" s="138">
        <v>2</v>
      </c>
      <c r="L78" s="159">
        <v>24</v>
      </c>
      <c r="M78" s="159">
        <v>1.1559999999999999</v>
      </c>
      <c r="N78" s="187">
        <v>1</v>
      </c>
      <c r="O78" s="180">
        <v>0.05</v>
      </c>
      <c r="P78" s="180">
        <f t="shared" si="49"/>
        <v>1.05</v>
      </c>
      <c r="Q78" s="178">
        <f t="shared" ref="Q78:Q85" si="52">ROUNDUP(P78*1.1,2)</f>
        <v>1.1599999999999999</v>
      </c>
      <c r="R78" s="178">
        <f t="shared" ref="R78:R85" si="53">Q78*(1+$R$76)</f>
        <v>1.3339999999999999</v>
      </c>
      <c r="S78" s="155"/>
      <c r="T78" s="155"/>
      <c r="U78" s="159">
        <f t="shared" si="50"/>
        <v>0</v>
      </c>
      <c r="V78" s="154">
        <f t="shared" si="51"/>
        <v>0</v>
      </c>
      <c r="W78" s="273" t="str">
        <f t="shared" si="48"/>
        <v>INVENTORY PRICE DOESN'T MATCH SAGE</v>
      </c>
    </row>
    <row r="79" spans="1:23">
      <c r="A79" s="155"/>
      <c r="B79" s="153">
        <v>74</v>
      </c>
      <c r="C79" s="153" t="s">
        <v>249</v>
      </c>
      <c r="D79" s="153" t="s">
        <v>246</v>
      </c>
      <c r="E79" s="154">
        <v>1.68</v>
      </c>
      <c r="F79" s="154">
        <f t="shared" si="44"/>
        <v>0.26</v>
      </c>
      <c r="G79" s="154">
        <f t="shared" si="45"/>
        <v>1.94</v>
      </c>
      <c r="H79" s="154">
        <f t="shared" si="46"/>
        <v>2.1399999999999997</v>
      </c>
      <c r="I79" s="154">
        <f t="shared" si="47"/>
        <v>0</v>
      </c>
      <c r="J79" s="220">
        <v>46066</v>
      </c>
      <c r="K79" s="138">
        <v>3</v>
      </c>
      <c r="L79" s="159">
        <v>22</v>
      </c>
      <c r="M79" s="159">
        <v>1.4059999999999999</v>
      </c>
      <c r="N79" s="187">
        <v>1</v>
      </c>
      <c r="O79" s="180">
        <v>0.05</v>
      </c>
      <c r="P79" s="180">
        <f t="shared" si="49"/>
        <v>1.05</v>
      </c>
      <c r="Q79" s="178">
        <f t="shared" si="52"/>
        <v>1.1599999999999999</v>
      </c>
      <c r="R79" s="178">
        <f t="shared" si="53"/>
        <v>1.3339999999999999</v>
      </c>
      <c r="S79" s="155"/>
      <c r="T79" s="155"/>
      <c r="U79" s="159">
        <f t="shared" si="50"/>
        <v>0</v>
      </c>
      <c r="V79" s="154">
        <f t="shared" si="51"/>
        <v>0</v>
      </c>
      <c r="W79" s="273" t="str">
        <f t="shared" si="48"/>
        <v>INVENTORY PRICE DOESN'T MATCH SAGE</v>
      </c>
    </row>
    <row r="80" spans="1:23">
      <c r="A80" s="155"/>
      <c r="B80" s="153">
        <v>75</v>
      </c>
      <c r="C80" s="153" t="s">
        <v>250</v>
      </c>
      <c r="D80" s="153" t="s">
        <v>246</v>
      </c>
      <c r="E80" s="154">
        <v>2.5299999999999998</v>
      </c>
      <c r="F80" s="154">
        <f t="shared" si="44"/>
        <v>0.38</v>
      </c>
      <c r="G80" s="154">
        <f t="shared" si="45"/>
        <v>2.9099999999999997</v>
      </c>
      <c r="H80" s="154">
        <f t="shared" si="46"/>
        <v>3.21</v>
      </c>
      <c r="I80" s="154">
        <f t="shared" si="47"/>
        <v>0</v>
      </c>
      <c r="J80" s="220">
        <v>44949</v>
      </c>
      <c r="K80" s="138">
        <v>4</v>
      </c>
      <c r="L80" s="159">
        <v>20</v>
      </c>
      <c r="M80" s="159">
        <v>1.6559999999999999</v>
      </c>
      <c r="N80" s="187">
        <v>1</v>
      </c>
      <c r="O80" s="180">
        <v>0.05</v>
      </c>
      <c r="P80" s="180">
        <f t="shared" si="49"/>
        <v>1.05</v>
      </c>
      <c r="Q80" s="178">
        <f t="shared" si="52"/>
        <v>1.1599999999999999</v>
      </c>
      <c r="R80" s="178">
        <f t="shared" si="53"/>
        <v>1.3339999999999999</v>
      </c>
      <c r="S80" s="155"/>
      <c r="T80" s="155"/>
      <c r="U80" s="159">
        <f t="shared" si="50"/>
        <v>0</v>
      </c>
      <c r="V80" s="154">
        <f t="shared" si="51"/>
        <v>0</v>
      </c>
      <c r="W80" s="273" t="str">
        <f t="shared" si="48"/>
        <v>INVENTORY PRICE DOESN'T MATCH SAGE</v>
      </c>
    </row>
    <row r="81" spans="1:23">
      <c r="A81" s="155"/>
      <c r="B81" s="153">
        <v>76</v>
      </c>
      <c r="C81" s="153" t="s">
        <v>251</v>
      </c>
      <c r="D81" s="153" t="s">
        <v>228</v>
      </c>
      <c r="E81" s="154">
        <v>0.31</v>
      </c>
      <c r="F81" s="154">
        <f t="shared" si="44"/>
        <v>0.05</v>
      </c>
      <c r="G81" s="154">
        <f t="shared" si="45"/>
        <v>0.36</v>
      </c>
      <c r="H81" s="154">
        <f t="shared" si="46"/>
        <v>0.4</v>
      </c>
      <c r="I81" s="154">
        <f t="shared" si="47"/>
        <v>0</v>
      </c>
      <c r="J81" s="220">
        <v>44949</v>
      </c>
      <c r="K81" s="138">
        <v>5</v>
      </c>
      <c r="L81" s="159">
        <v>18</v>
      </c>
      <c r="M81" s="159">
        <v>2.1560000000000001</v>
      </c>
      <c r="N81" s="187">
        <v>1</v>
      </c>
      <c r="O81" s="180">
        <v>0.05</v>
      </c>
      <c r="P81" s="180">
        <f t="shared" si="49"/>
        <v>1.05</v>
      </c>
      <c r="Q81" s="178">
        <f t="shared" si="52"/>
        <v>1.1599999999999999</v>
      </c>
      <c r="R81" s="178">
        <f t="shared" si="53"/>
        <v>1.3339999999999999</v>
      </c>
      <c r="S81" s="155"/>
      <c r="T81" s="155"/>
      <c r="U81" s="159">
        <f t="shared" si="50"/>
        <v>0</v>
      </c>
      <c r="V81" s="154">
        <f t="shared" si="51"/>
        <v>0</v>
      </c>
      <c r="W81" s="273" t="str">
        <f t="shared" si="48"/>
        <v>INVENTORY PRICE DOESN'T MATCH SAGE</v>
      </c>
    </row>
    <row r="82" spans="1:23">
      <c r="A82" s="155"/>
      <c r="B82" s="153">
        <v>77</v>
      </c>
      <c r="C82" s="153" t="s">
        <v>252</v>
      </c>
      <c r="D82" s="153" t="s">
        <v>228</v>
      </c>
      <c r="E82" s="154">
        <v>0.33</v>
      </c>
      <c r="F82" s="154">
        <f t="shared" si="44"/>
        <v>0.05</v>
      </c>
      <c r="G82" s="154">
        <f t="shared" si="45"/>
        <v>0.38</v>
      </c>
      <c r="H82" s="154">
        <f t="shared" si="46"/>
        <v>0.42</v>
      </c>
      <c r="I82" s="154">
        <f t="shared" si="47"/>
        <v>0</v>
      </c>
      <c r="J82" s="220">
        <v>44949</v>
      </c>
      <c r="K82" s="138">
        <v>6</v>
      </c>
      <c r="L82" s="159">
        <v>16</v>
      </c>
      <c r="M82" s="159">
        <v>2.6560000000000001</v>
      </c>
      <c r="N82" s="187">
        <v>1</v>
      </c>
      <c r="O82" s="180">
        <v>0.05</v>
      </c>
      <c r="P82" s="180">
        <f t="shared" si="49"/>
        <v>1.05</v>
      </c>
      <c r="Q82" s="178">
        <f t="shared" si="52"/>
        <v>1.1599999999999999</v>
      </c>
      <c r="R82" s="178">
        <f t="shared" si="53"/>
        <v>1.3339999999999999</v>
      </c>
      <c r="S82" s="155"/>
      <c r="T82" s="155"/>
      <c r="U82" s="159">
        <f t="shared" si="50"/>
        <v>0</v>
      </c>
      <c r="V82" s="154">
        <f t="shared" si="51"/>
        <v>0</v>
      </c>
      <c r="W82" s="273" t="str">
        <f t="shared" si="48"/>
        <v>INVENTORY PRICE DOESN'T MATCH SAGE</v>
      </c>
    </row>
    <row r="83" spans="1:23">
      <c r="A83" s="155"/>
      <c r="B83" s="153">
        <v>78</v>
      </c>
      <c r="C83" s="153" t="s">
        <v>253</v>
      </c>
      <c r="D83" s="153" t="s">
        <v>228</v>
      </c>
      <c r="E83" s="154">
        <v>0.81</v>
      </c>
      <c r="F83" s="154">
        <f t="shared" si="44"/>
        <v>0.13</v>
      </c>
      <c r="G83" s="154">
        <f t="shared" si="45"/>
        <v>0.94000000000000006</v>
      </c>
      <c r="H83" s="154">
        <f t="shared" si="46"/>
        <v>1.04</v>
      </c>
      <c r="I83" s="154">
        <f t="shared" si="47"/>
        <v>0</v>
      </c>
      <c r="J83" s="220">
        <v>44949</v>
      </c>
      <c r="K83" s="138">
        <v>7</v>
      </c>
      <c r="L83" s="159">
        <v>14</v>
      </c>
      <c r="M83" s="159">
        <v>3.2810000000000001</v>
      </c>
      <c r="N83" s="187">
        <v>1</v>
      </c>
      <c r="O83" s="180">
        <v>0.05</v>
      </c>
      <c r="P83" s="180">
        <f t="shared" si="49"/>
        <v>1.05</v>
      </c>
      <c r="Q83" s="178">
        <f t="shared" si="52"/>
        <v>1.1599999999999999</v>
      </c>
      <c r="R83" s="178">
        <f t="shared" si="53"/>
        <v>1.3339999999999999</v>
      </c>
      <c r="S83" s="155"/>
      <c r="T83" s="155"/>
      <c r="U83" s="159">
        <f t="shared" si="50"/>
        <v>0</v>
      </c>
      <c r="V83" s="154">
        <f t="shared" si="51"/>
        <v>0</v>
      </c>
      <c r="W83" s="273" t="str">
        <f t="shared" si="48"/>
        <v>INVENTORY PRICE DOESN'T MATCH SAGE</v>
      </c>
    </row>
    <row r="84" spans="1:23">
      <c r="A84" s="155"/>
      <c r="B84" s="153">
        <v>79</v>
      </c>
      <c r="C84" s="153" t="s">
        <v>254</v>
      </c>
      <c r="D84" s="153" t="s">
        <v>228</v>
      </c>
      <c r="E84" s="154">
        <v>1.1299999999999999</v>
      </c>
      <c r="F84" s="154">
        <f t="shared" si="44"/>
        <v>0.17</v>
      </c>
      <c r="G84" s="154">
        <f t="shared" si="45"/>
        <v>1.2999999999999998</v>
      </c>
      <c r="H84" s="154">
        <f t="shared" si="46"/>
        <v>1.43</v>
      </c>
      <c r="I84" s="154">
        <f t="shared" si="47"/>
        <v>0</v>
      </c>
      <c r="J84" s="220">
        <v>44476</v>
      </c>
      <c r="K84" s="138">
        <v>8</v>
      </c>
      <c r="L84" s="159">
        <v>12</v>
      </c>
      <c r="M84" s="159">
        <v>4.5309999999999997</v>
      </c>
      <c r="N84" s="187">
        <v>1</v>
      </c>
      <c r="O84" s="180">
        <v>0.05</v>
      </c>
      <c r="P84" s="180">
        <f t="shared" si="49"/>
        <v>1.05</v>
      </c>
      <c r="Q84" s="178">
        <f t="shared" si="52"/>
        <v>1.1599999999999999</v>
      </c>
      <c r="R84" s="178">
        <f t="shared" si="53"/>
        <v>1.3339999999999999</v>
      </c>
      <c r="S84" s="155"/>
      <c r="T84" s="155"/>
      <c r="U84" s="159">
        <f t="shared" si="50"/>
        <v>0</v>
      </c>
      <c r="V84" s="154">
        <f t="shared" si="51"/>
        <v>0</v>
      </c>
      <c r="W84" s="273" t="str">
        <f t="shared" si="48"/>
        <v>INVENTORY PRICE DOESN'T MATCH SAGE</v>
      </c>
    </row>
    <row r="85" spans="1:23">
      <c r="A85" s="155"/>
      <c r="B85" s="153">
        <v>80</v>
      </c>
      <c r="C85" s="153" t="s">
        <v>255</v>
      </c>
      <c r="D85" s="153" t="s">
        <v>228</v>
      </c>
      <c r="E85" s="154">
        <v>2.42</v>
      </c>
      <c r="F85" s="154">
        <f t="shared" si="44"/>
        <v>0.37</v>
      </c>
      <c r="G85" s="154">
        <f t="shared" si="45"/>
        <v>2.79</v>
      </c>
      <c r="H85" s="154">
        <f t="shared" si="46"/>
        <v>3.07</v>
      </c>
      <c r="I85" s="154">
        <f t="shared" si="47"/>
        <v>0</v>
      </c>
      <c r="J85" s="220">
        <v>44476</v>
      </c>
      <c r="K85" s="138">
        <v>9</v>
      </c>
      <c r="L85" s="159">
        <v>10</v>
      </c>
      <c r="M85" s="159">
        <v>5.7809999999999997</v>
      </c>
      <c r="N85" s="187">
        <v>1</v>
      </c>
      <c r="O85" s="180">
        <v>0.05</v>
      </c>
      <c r="P85" s="180">
        <f t="shared" si="49"/>
        <v>1.05</v>
      </c>
      <c r="Q85" s="178">
        <f t="shared" si="52"/>
        <v>1.1599999999999999</v>
      </c>
      <c r="R85" s="178">
        <f t="shared" si="53"/>
        <v>1.3339999999999999</v>
      </c>
      <c r="S85" s="155"/>
      <c r="T85" s="155"/>
      <c r="U85" s="159">
        <f t="shared" si="50"/>
        <v>0</v>
      </c>
      <c r="V85" s="154">
        <f t="shared" si="51"/>
        <v>0</v>
      </c>
      <c r="W85" s="273" t="str">
        <f t="shared" si="48"/>
        <v>INVENTORY PRICE DOESN'T MATCH SAGE</v>
      </c>
    </row>
    <row r="86" spans="1:23">
      <c r="A86" s="155"/>
      <c r="B86" s="153">
        <v>81</v>
      </c>
      <c r="C86" s="153" t="s">
        <v>256</v>
      </c>
      <c r="D86" s="153" t="s">
        <v>228</v>
      </c>
      <c r="E86" s="154">
        <v>0.28000000000000003</v>
      </c>
      <c r="F86" s="154">
        <f t="shared" si="44"/>
        <v>0.05</v>
      </c>
      <c r="G86" s="154">
        <f t="shared" si="45"/>
        <v>0.33</v>
      </c>
      <c r="H86" s="154">
        <f t="shared" si="46"/>
        <v>0.37</v>
      </c>
      <c r="I86" s="154">
        <f t="shared" si="47"/>
        <v>0</v>
      </c>
      <c r="J86" s="220"/>
      <c r="W86" s="273" t="str">
        <f t="shared" si="48"/>
        <v/>
      </c>
    </row>
    <row r="87" spans="1:23">
      <c r="A87" s="155"/>
      <c r="B87" s="153">
        <v>82</v>
      </c>
      <c r="C87" s="153" t="s">
        <v>758</v>
      </c>
      <c r="D87" s="153" t="s">
        <v>228</v>
      </c>
      <c r="E87" s="154">
        <v>0.9</v>
      </c>
      <c r="F87" s="154">
        <f t="shared" si="44"/>
        <v>0.14000000000000001</v>
      </c>
      <c r="G87" s="154">
        <f t="shared" si="45"/>
        <v>1.04</v>
      </c>
      <c r="H87" s="154">
        <f t="shared" si="46"/>
        <v>1.1499999999999999</v>
      </c>
      <c r="I87" s="154">
        <f t="shared" si="47"/>
        <v>0</v>
      </c>
      <c r="J87" s="220">
        <v>46066</v>
      </c>
      <c r="W87" s="273" t="str">
        <f t="shared" si="48"/>
        <v/>
      </c>
    </row>
    <row r="88" spans="1:23" ht="15" thickBot="1">
      <c r="A88" s="155"/>
      <c r="B88" s="153">
        <v>83</v>
      </c>
      <c r="C88" s="153" t="s">
        <v>759</v>
      </c>
      <c r="D88" s="153" t="s">
        <v>228</v>
      </c>
      <c r="E88" s="154">
        <v>0.9</v>
      </c>
      <c r="F88" s="154">
        <f t="shared" si="44"/>
        <v>0.14000000000000001</v>
      </c>
      <c r="G88" s="154">
        <f t="shared" si="45"/>
        <v>1.04</v>
      </c>
      <c r="H88" s="154">
        <f t="shared" si="46"/>
        <v>1.1499999999999999</v>
      </c>
      <c r="I88" s="154">
        <f t="shared" si="47"/>
        <v>0</v>
      </c>
      <c r="J88" s="220">
        <v>46066</v>
      </c>
      <c r="L88" s="176" t="s">
        <v>722</v>
      </c>
      <c r="M88" s="176"/>
      <c r="N88" s="176"/>
      <c r="O88" s="176"/>
      <c r="P88" s="138" t="s">
        <v>713</v>
      </c>
      <c r="Q88" s="179">
        <v>46239</v>
      </c>
      <c r="R88" s="213" t="s">
        <v>909</v>
      </c>
      <c r="S88" s="138" t="s">
        <v>716</v>
      </c>
      <c r="T88" s="138" t="s">
        <v>716</v>
      </c>
      <c r="U88" s="138" t="s">
        <v>12</v>
      </c>
      <c r="W88" s="273" t="str">
        <f t="shared" si="48"/>
        <v/>
      </c>
    </row>
    <row r="89" spans="1:23">
      <c r="A89" s="155"/>
      <c r="B89" s="153">
        <v>84</v>
      </c>
      <c r="C89" s="153" t="s">
        <v>760</v>
      </c>
      <c r="D89" s="153" t="s">
        <v>228</v>
      </c>
      <c r="E89" s="154">
        <v>3.84</v>
      </c>
      <c r="F89" s="154">
        <f t="shared" si="44"/>
        <v>0.57999999999999996</v>
      </c>
      <c r="G89" s="154">
        <f t="shared" si="45"/>
        <v>4.42</v>
      </c>
      <c r="H89" s="154">
        <f t="shared" si="46"/>
        <v>4.87</v>
      </c>
      <c r="I89" s="154">
        <f t="shared" si="47"/>
        <v>0</v>
      </c>
      <c r="J89" s="220">
        <v>44949</v>
      </c>
      <c r="K89" s="138" t="s">
        <v>690</v>
      </c>
      <c r="L89" s="138" t="s">
        <v>692</v>
      </c>
      <c r="M89" s="138" t="s">
        <v>720</v>
      </c>
      <c r="N89" s="138" t="s">
        <v>693</v>
      </c>
      <c r="O89" s="138" t="s">
        <v>712</v>
      </c>
      <c r="P89" s="177" t="s">
        <v>711</v>
      </c>
      <c r="Q89" s="138" t="s">
        <v>694</v>
      </c>
      <c r="R89" s="214">
        <v>0</v>
      </c>
      <c r="S89" s="138" t="s">
        <v>715</v>
      </c>
      <c r="T89" s="138" t="s">
        <v>721</v>
      </c>
      <c r="U89" s="138" t="s">
        <v>715</v>
      </c>
      <c r="V89" s="158" t="s">
        <v>12</v>
      </c>
      <c r="W89" s="273" t="str">
        <f t="shared" si="48"/>
        <v/>
      </c>
    </row>
    <row r="90" spans="1:23">
      <c r="A90" s="155"/>
      <c r="B90" s="153">
        <v>85</v>
      </c>
      <c r="C90" s="153" t="s">
        <v>761</v>
      </c>
      <c r="D90" s="153" t="s">
        <v>228</v>
      </c>
      <c r="E90" s="154">
        <v>1.84</v>
      </c>
      <c r="F90" s="154">
        <f t="shared" si="44"/>
        <v>0.28000000000000003</v>
      </c>
      <c r="G90" s="154">
        <f t="shared" si="45"/>
        <v>2.12</v>
      </c>
      <c r="H90" s="154">
        <f t="shared" si="46"/>
        <v>2.34</v>
      </c>
      <c r="I90" s="154">
        <f t="shared" si="47"/>
        <v>0</v>
      </c>
      <c r="J90" s="220">
        <v>46066</v>
      </c>
      <c r="L90" s="159">
        <v>26</v>
      </c>
      <c r="M90" s="159">
        <v>0.90600000000000003</v>
      </c>
      <c r="N90" s="187">
        <v>1</v>
      </c>
      <c r="O90" s="180">
        <v>0.05</v>
      </c>
      <c r="P90" s="180">
        <f t="shared" ref="P90:P96" si="54">N90+O90</f>
        <v>1.05</v>
      </c>
      <c r="Q90" s="178">
        <f t="shared" ref="Q90:Q96" si="55">ROUNDUP(P90*1.1,2)</f>
        <v>1.1599999999999999</v>
      </c>
      <c r="R90" s="178">
        <f>Q90*(1+$R$89)</f>
        <v>1.1599999999999999</v>
      </c>
      <c r="S90" s="155"/>
      <c r="T90" s="155"/>
      <c r="U90" s="159">
        <f t="shared" ref="U90:U97" si="56">S90+(T90*M90)</f>
        <v>0</v>
      </c>
      <c r="V90" s="154">
        <f t="shared" ref="V90:V97" si="57">ROUNDUP(IF($C$2="Inventory Cost",P90*U90,Q90*U90),2)</f>
        <v>0</v>
      </c>
      <c r="W90" s="273" t="str">
        <f t="shared" si="48"/>
        <v/>
      </c>
    </row>
    <row r="91" spans="1:23">
      <c r="A91" s="155"/>
      <c r="B91" s="153">
        <v>86</v>
      </c>
      <c r="C91" s="153" t="s">
        <v>762</v>
      </c>
      <c r="D91" s="153" t="s">
        <v>228</v>
      </c>
      <c r="E91" s="154">
        <v>4.46</v>
      </c>
      <c r="F91" s="154">
        <f t="shared" si="44"/>
        <v>0.67</v>
      </c>
      <c r="G91" s="154">
        <f t="shared" si="45"/>
        <v>5.13</v>
      </c>
      <c r="H91" s="154">
        <f t="shared" si="46"/>
        <v>5.6499999999999995</v>
      </c>
      <c r="I91" s="154">
        <f t="shared" si="47"/>
        <v>0</v>
      </c>
      <c r="J91" s="220">
        <v>46066</v>
      </c>
      <c r="L91" s="159">
        <v>24</v>
      </c>
      <c r="M91" s="159">
        <v>1.1559999999999999</v>
      </c>
      <c r="N91" s="187">
        <v>1</v>
      </c>
      <c r="O91" s="180">
        <v>0.05</v>
      </c>
      <c r="P91" s="180">
        <f t="shared" si="54"/>
        <v>1.05</v>
      </c>
      <c r="Q91" s="178">
        <f t="shared" si="55"/>
        <v>1.1599999999999999</v>
      </c>
      <c r="R91" s="178">
        <f t="shared" ref="R91:R96" si="58">Q91*(1+$R$89)</f>
        <v>1.1599999999999999</v>
      </c>
      <c r="S91" s="155"/>
      <c r="T91" s="155"/>
      <c r="U91" s="159">
        <f t="shared" si="56"/>
        <v>0</v>
      </c>
      <c r="V91" s="154">
        <f t="shared" si="57"/>
        <v>0</v>
      </c>
      <c r="W91" s="273" t="str">
        <f t="shared" si="48"/>
        <v/>
      </c>
    </row>
    <row r="92" spans="1:23">
      <c r="A92" s="155"/>
      <c r="B92" s="153">
        <v>87</v>
      </c>
      <c r="C92" s="153" t="s">
        <v>763</v>
      </c>
      <c r="D92" s="153" t="s">
        <v>460</v>
      </c>
      <c r="E92" s="154">
        <v>11.15</v>
      </c>
      <c r="F92" s="154">
        <f t="shared" si="44"/>
        <v>1.68</v>
      </c>
      <c r="G92" s="154">
        <f t="shared" si="45"/>
        <v>12.83</v>
      </c>
      <c r="H92" s="154">
        <f t="shared" si="46"/>
        <v>14.12</v>
      </c>
      <c r="I92" s="154">
        <f t="shared" si="47"/>
        <v>0</v>
      </c>
      <c r="J92" s="220">
        <v>46066</v>
      </c>
      <c r="L92" s="159">
        <v>22</v>
      </c>
      <c r="M92" s="159">
        <v>1.4059999999999999</v>
      </c>
      <c r="N92" s="187">
        <v>1</v>
      </c>
      <c r="O92" s="180">
        <v>0.05</v>
      </c>
      <c r="P92" s="180">
        <f t="shared" si="54"/>
        <v>1.05</v>
      </c>
      <c r="Q92" s="178">
        <f t="shared" si="55"/>
        <v>1.1599999999999999</v>
      </c>
      <c r="R92" s="178">
        <f t="shared" si="58"/>
        <v>1.1599999999999999</v>
      </c>
      <c r="S92" s="155"/>
      <c r="T92" s="155"/>
      <c r="U92" s="159">
        <f t="shared" si="56"/>
        <v>0</v>
      </c>
      <c r="V92" s="154">
        <f t="shared" si="57"/>
        <v>0</v>
      </c>
      <c r="W92" s="273" t="str">
        <f t="shared" si="48"/>
        <v/>
      </c>
    </row>
    <row r="93" spans="1:23">
      <c r="A93" s="155"/>
      <c r="B93" s="153">
        <v>88</v>
      </c>
      <c r="C93" s="153" t="s">
        <v>764</v>
      </c>
      <c r="D93" s="153" t="s">
        <v>460</v>
      </c>
      <c r="E93" s="154">
        <v>39.01</v>
      </c>
      <c r="F93" s="154">
        <f t="shared" si="44"/>
        <v>5.8599999999999994</v>
      </c>
      <c r="G93" s="154">
        <f t="shared" si="45"/>
        <v>44.87</v>
      </c>
      <c r="H93" s="154">
        <f t="shared" si="46"/>
        <v>49.36</v>
      </c>
      <c r="I93" s="154">
        <f t="shared" si="47"/>
        <v>0</v>
      </c>
      <c r="J93" s="220">
        <v>44476</v>
      </c>
      <c r="L93" s="159">
        <v>20</v>
      </c>
      <c r="M93" s="159">
        <v>1.6559999999999999</v>
      </c>
      <c r="N93" s="187">
        <v>1</v>
      </c>
      <c r="O93" s="180">
        <v>0.05</v>
      </c>
      <c r="P93" s="180">
        <f t="shared" si="54"/>
        <v>1.05</v>
      </c>
      <c r="Q93" s="178">
        <f t="shared" si="55"/>
        <v>1.1599999999999999</v>
      </c>
      <c r="R93" s="178">
        <f t="shared" si="58"/>
        <v>1.1599999999999999</v>
      </c>
      <c r="S93" s="155"/>
      <c r="T93" s="155"/>
      <c r="U93" s="159">
        <f t="shared" si="56"/>
        <v>0</v>
      </c>
      <c r="V93" s="154">
        <f t="shared" si="57"/>
        <v>0</v>
      </c>
      <c r="W93" s="273" t="str">
        <f t="shared" si="48"/>
        <v/>
      </c>
    </row>
    <row r="94" spans="1:23">
      <c r="A94" s="155"/>
      <c r="B94" s="153">
        <v>89</v>
      </c>
      <c r="C94" s="153" t="s">
        <v>765</v>
      </c>
      <c r="D94" s="153" t="s">
        <v>460</v>
      </c>
      <c r="E94" s="154">
        <v>13.41</v>
      </c>
      <c r="F94" s="154">
        <f t="shared" si="44"/>
        <v>2.0199999999999996</v>
      </c>
      <c r="G94" s="154">
        <f t="shared" si="45"/>
        <v>15.43</v>
      </c>
      <c r="H94" s="154">
        <f t="shared" si="46"/>
        <v>16.98</v>
      </c>
      <c r="I94" s="154">
        <f t="shared" si="47"/>
        <v>0</v>
      </c>
      <c r="J94" s="220"/>
      <c r="L94" s="159">
        <v>18</v>
      </c>
      <c r="M94" s="159">
        <v>2.1560000000000001</v>
      </c>
      <c r="N94" s="187">
        <v>1</v>
      </c>
      <c r="O94" s="180">
        <v>0.05</v>
      </c>
      <c r="P94" s="180">
        <f t="shared" si="54"/>
        <v>1.05</v>
      </c>
      <c r="Q94" s="178">
        <f t="shared" si="55"/>
        <v>1.1599999999999999</v>
      </c>
      <c r="R94" s="178">
        <f t="shared" si="58"/>
        <v>1.1599999999999999</v>
      </c>
      <c r="S94" s="155"/>
      <c r="T94" s="155"/>
      <c r="U94" s="159">
        <f t="shared" si="56"/>
        <v>0</v>
      </c>
      <c r="V94" s="154">
        <f t="shared" si="57"/>
        <v>0</v>
      </c>
      <c r="W94" s="273" t="str">
        <f t="shared" si="48"/>
        <v/>
      </c>
    </row>
    <row r="95" spans="1:23">
      <c r="A95" s="155"/>
      <c r="B95" s="153">
        <v>90</v>
      </c>
      <c r="C95" s="153" t="s">
        <v>816</v>
      </c>
      <c r="D95" s="153" t="s">
        <v>196</v>
      </c>
      <c r="E95" s="154">
        <f t="shared" ref="E95:F98" si="59">N38</f>
        <v>4.3980999999999995</v>
      </c>
      <c r="F95" s="154">
        <f t="shared" si="59"/>
        <v>0.43</v>
      </c>
      <c r="G95" s="154">
        <f t="shared" si="45"/>
        <v>4.8280999999999992</v>
      </c>
      <c r="H95" s="154">
        <f t="shared" si="46"/>
        <v>5.3199999999999994</v>
      </c>
      <c r="I95" s="154">
        <f t="shared" si="47"/>
        <v>0</v>
      </c>
      <c r="J95" s="220">
        <f>$Q$32</f>
        <v>44959</v>
      </c>
      <c r="L95" s="159">
        <v>16</v>
      </c>
      <c r="M95" s="159">
        <v>2.6560000000000001</v>
      </c>
      <c r="N95" s="187">
        <v>1</v>
      </c>
      <c r="O95" s="180">
        <v>0.05</v>
      </c>
      <c r="P95" s="180">
        <f t="shared" si="54"/>
        <v>1.05</v>
      </c>
      <c r="Q95" s="178">
        <f t="shared" si="55"/>
        <v>1.1599999999999999</v>
      </c>
      <c r="R95" s="178">
        <f t="shared" si="58"/>
        <v>1.1599999999999999</v>
      </c>
      <c r="S95" s="155"/>
      <c r="T95" s="155"/>
      <c r="U95" s="159">
        <f t="shared" si="56"/>
        <v>0</v>
      </c>
      <c r="V95" s="154">
        <f t="shared" si="57"/>
        <v>0</v>
      </c>
      <c r="W95" s="273" t="str">
        <f t="shared" si="48"/>
        <v/>
      </c>
    </row>
    <row r="96" spans="1:23">
      <c r="A96" s="155"/>
      <c r="B96" s="153">
        <v>91</v>
      </c>
      <c r="C96" s="153" t="s">
        <v>817</v>
      </c>
      <c r="D96" s="153" t="s">
        <v>196</v>
      </c>
      <c r="E96" s="154">
        <f t="shared" si="59"/>
        <v>4.7</v>
      </c>
      <c r="F96" s="154">
        <f t="shared" si="59"/>
        <v>0.47</v>
      </c>
      <c r="G96" s="154">
        <f t="shared" si="45"/>
        <v>5.17</v>
      </c>
      <c r="H96" s="154">
        <f t="shared" si="46"/>
        <v>5.6899999999999995</v>
      </c>
      <c r="I96" s="154">
        <f t="shared" si="47"/>
        <v>0</v>
      </c>
      <c r="J96" s="220">
        <f>$Q$32</f>
        <v>44959</v>
      </c>
      <c r="L96" s="159" t="s">
        <v>854</v>
      </c>
      <c r="M96" s="159">
        <v>4.5309999999999997</v>
      </c>
      <c r="N96" s="187">
        <v>1</v>
      </c>
      <c r="O96" s="180">
        <v>0.05</v>
      </c>
      <c r="P96" s="180">
        <f t="shared" si="54"/>
        <v>1.05</v>
      </c>
      <c r="Q96" s="178">
        <f t="shared" si="55"/>
        <v>1.1599999999999999</v>
      </c>
      <c r="R96" s="178">
        <f t="shared" si="58"/>
        <v>1.1599999999999999</v>
      </c>
      <c r="S96" s="155"/>
      <c r="T96" s="155"/>
      <c r="U96" s="159">
        <f t="shared" si="56"/>
        <v>0</v>
      </c>
      <c r="V96" s="154">
        <f t="shared" si="57"/>
        <v>0</v>
      </c>
      <c r="W96" s="273" t="str">
        <f t="shared" si="48"/>
        <v/>
      </c>
    </row>
    <row r="97" spans="1:23">
      <c r="A97" s="155"/>
      <c r="B97" s="153">
        <v>92</v>
      </c>
      <c r="C97" s="153" t="s">
        <v>818</v>
      </c>
      <c r="D97" s="153" t="s">
        <v>196</v>
      </c>
      <c r="E97" s="154">
        <f t="shared" si="59"/>
        <v>4.7</v>
      </c>
      <c r="F97" s="154">
        <f t="shared" si="59"/>
        <v>0.47</v>
      </c>
      <c r="G97" s="154">
        <f t="shared" si="45"/>
        <v>5.17</v>
      </c>
      <c r="H97" s="154">
        <f t="shared" si="46"/>
        <v>5.6899999999999995</v>
      </c>
      <c r="I97" s="154">
        <f t="shared" si="47"/>
        <v>0</v>
      </c>
      <c r="J97" s="220">
        <f>$Q$32</f>
        <v>44959</v>
      </c>
      <c r="L97" s="159"/>
      <c r="M97" s="159"/>
      <c r="N97" s="178"/>
      <c r="O97" s="180"/>
      <c r="P97" s="180"/>
      <c r="Q97" s="178"/>
      <c r="R97" s="178"/>
      <c r="S97" s="155"/>
      <c r="T97" s="155"/>
      <c r="U97" s="159">
        <f t="shared" si="56"/>
        <v>0</v>
      </c>
      <c r="V97" s="154">
        <f t="shared" si="57"/>
        <v>0</v>
      </c>
      <c r="W97" s="273" t="str">
        <f t="shared" si="48"/>
        <v/>
      </c>
    </row>
    <row r="98" spans="1:23">
      <c r="A98" s="155"/>
      <c r="B98" s="153">
        <v>93</v>
      </c>
      <c r="C98" s="153" t="s">
        <v>819</v>
      </c>
      <c r="D98" s="153" t="s">
        <v>196</v>
      </c>
      <c r="E98" s="154">
        <f t="shared" si="59"/>
        <v>4.7</v>
      </c>
      <c r="F98" s="154">
        <f t="shared" si="59"/>
        <v>0.47</v>
      </c>
      <c r="G98" s="154">
        <f t="shared" si="45"/>
        <v>5.17</v>
      </c>
      <c r="H98" s="154">
        <f t="shared" si="46"/>
        <v>5.6899999999999995</v>
      </c>
      <c r="I98" s="154">
        <f t="shared" si="47"/>
        <v>0</v>
      </c>
      <c r="J98" s="220">
        <f>$Q$32</f>
        <v>44959</v>
      </c>
      <c r="W98" s="273" t="str">
        <f t="shared" si="48"/>
        <v/>
      </c>
    </row>
    <row r="99" spans="1:23">
      <c r="A99" s="155"/>
      <c r="B99" s="153">
        <v>94</v>
      </c>
      <c r="C99" s="153" t="s">
        <v>257</v>
      </c>
      <c r="D99" s="153" t="s">
        <v>228</v>
      </c>
      <c r="E99" s="154">
        <v>0.67</v>
      </c>
      <c r="F99" s="154">
        <f>ROUNDUP(E99*0.15,2)</f>
        <v>0.11</v>
      </c>
      <c r="G99" s="154">
        <f t="shared" si="45"/>
        <v>0.78</v>
      </c>
      <c r="H99" s="154">
        <f t="shared" si="46"/>
        <v>0.86</v>
      </c>
      <c r="I99" s="154">
        <f t="shared" si="47"/>
        <v>0</v>
      </c>
      <c r="J99" s="220"/>
      <c r="W99" s="273" t="str">
        <f t="shared" si="48"/>
        <v/>
      </c>
    </row>
    <row r="100" spans="1:23" ht="15" thickBot="1">
      <c r="A100" s="155"/>
      <c r="B100" s="153">
        <v>95</v>
      </c>
      <c r="C100" s="153" t="s">
        <v>258</v>
      </c>
      <c r="D100" s="153" t="s">
        <v>228</v>
      </c>
      <c r="E100" s="154">
        <v>0.3</v>
      </c>
      <c r="F100" s="154">
        <f>ROUNDUP(E100*0.15,2)</f>
        <v>0.05</v>
      </c>
      <c r="G100" s="154">
        <f t="shared" si="45"/>
        <v>0.35</v>
      </c>
      <c r="H100" s="154">
        <f t="shared" si="46"/>
        <v>0.39</v>
      </c>
      <c r="I100" s="154">
        <f t="shared" si="47"/>
        <v>0</v>
      </c>
      <c r="J100" s="220">
        <v>46066</v>
      </c>
      <c r="L100" s="176" t="s">
        <v>702</v>
      </c>
      <c r="M100" s="176"/>
      <c r="N100" s="176"/>
      <c r="O100" s="176"/>
      <c r="P100" s="138" t="s">
        <v>713</v>
      </c>
      <c r="Q100" s="179">
        <v>46227</v>
      </c>
      <c r="R100" s="213" t="s">
        <v>909</v>
      </c>
      <c r="S100" s="138" t="s">
        <v>716</v>
      </c>
      <c r="T100" s="138" t="s">
        <v>716</v>
      </c>
      <c r="U100" s="138" t="s">
        <v>12</v>
      </c>
      <c r="W100" s="273" t="str">
        <f t="shared" si="48"/>
        <v/>
      </c>
    </row>
    <row r="101" spans="1:23">
      <c r="A101" s="155"/>
      <c r="B101" s="153">
        <v>96</v>
      </c>
      <c r="C101" s="153" t="s">
        <v>205</v>
      </c>
      <c r="D101" s="153"/>
      <c r="E101" s="154"/>
      <c r="F101" s="154">
        <f>ROUNDUP(E101*0.15,2)</f>
        <v>0</v>
      </c>
      <c r="G101" s="154">
        <f t="shared" si="45"/>
        <v>0</v>
      </c>
      <c r="H101" s="154">
        <f t="shared" si="46"/>
        <v>0</v>
      </c>
      <c r="I101" s="154">
        <f t="shared" si="47"/>
        <v>0</v>
      </c>
      <c r="J101" s="220"/>
      <c r="K101" s="138" t="s">
        <v>690</v>
      </c>
      <c r="L101" s="138" t="s">
        <v>692</v>
      </c>
      <c r="M101" s="138" t="s">
        <v>720</v>
      </c>
      <c r="N101" s="138" t="s">
        <v>693</v>
      </c>
      <c r="O101" s="138" t="s">
        <v>712</v>
      </c>
      <c r="P101" s="177" t="s">
        <v>711</v>
      </c>
      <c r="Q101" s="138" t="s">
        <v>694</v>
      </c>
      <c r="R101" s="214">
        <f>$R$7</f>
        <v>0.15</v>
      </c>
      <c r="S101" s="138" t="s">
        <v>715</v>
      </c>
      <c r="T101" s="138" t="s">
        <v>721</v>
      </c>
      <c r="U101" s="138" t="s">
        <v>715</v>
      </c>
      <c r="V101" s="158" t="s">
        <v>12</v>
      </c>
      <c r="W101" s="273" t="str">
        <f t="shared" si="48"/>
        <v/>
      </c>
    </row>
    <row r="102" spans="1:23">
      <c r="A102" s="155"/>
      <c r="B102" s="153">
        <v>97</v>
      </c>
      <c r="C102" s="153" t="s">
        <v>259</v>
      </c>
      <c r="D102" s="153" t="s">
        <v>246</v>
      </c>
      <c r="E102" s="154">
        <v>0.55000000000000004</v>
      </c>
      <c r="F102" s="154">
        <f>ROUNDUP(E102*0.1,2)</f>
        <v>6.0000000000000005E-2</v>
      </c>
      <c r="G102" s="154">
        <f t="shared" si="45"/>
        <v>0.6100000000000001</v>
      </c>
      <c r="H102" s="154">
        <f t="shared" si="46"/>
        <v>0.68</v>
      </c>
      <c r="I102" s="154">
        <f t="shared" si="47"/>
        <v>0</v>
      </c>
      <c r="J102" s="220"/>
      <c r="K102" s="138">
        <v>35</v>
      </c>
      <c r="L102" s="159">
        <v>16</v>
      </c>
      <c r="M102" s="159">
        <v>2.5</v>
      </c>
      <c r="N102" s="187">
        <v>1</v>
      </c>
      <c r="O102" s="180">
        <f t="shared" ref="O102:O107" si="60">ROUNDDOWN(N102*0.1,2)</f>
        <v>0.1</v>
      </c>
      <c r="P102" s="180">
        <f t="shared" ref="P102:P107" si="61">N102+O102</f>
        <v>1.1000000000000001</v>
      </c>
      <c r="Q102" s="178">
        <f t="shared" ref="Q102:Q107" si="62">ROUNDUP(P102*1.1,2)</f>
        <v>1.21</v>
      </c>
      <c r="R102" s="178">
        <f t="shared" ref="R102:R107" si="63">Q102*(1+$R$101)</f>
        <v>1.3915</v>
      </c>
      <c r="S102" s="155"/>
      <c r="T102" s="155"/>
      <c r="U102" s="159">
        <f t="shared" ref="U102:U107" si="64">S102+(T102*M102)</f>
        <v>0</v>
      </c>
      <c r="V102" s="154">
        <f t="shared" ref="V102:V107" si="65">ROUNDUP(IF($C$2="Inventory Cost",P102*U102,Q102*U102),2)</f>
        <v>0</v>
      </c>
      <c r="W102" s="273" t="str">
        <f t="shared" si="48"/>
        <v>INVENTORY PRICE DOESN'T MATCH SAGE</v>
      </c>
    </row>
    <row r="103" spans="1:23">
      <c r="A103" s="155"/>
      <c r="B103" s="153">
        <v>98</v>
      </c>
      <c r="C103" s="153" t="s">
        <v>260</v>
      </c>
      <c r="D103" s="153" t="s">
        <v>246</v>
      </c>
      <c r="E103" s="154">
        <v>0.65</v>
      </c>
      <c r="F103" s="154">
        <f>ROUNDUP(E103*0.1,2)</f>
        <v>6.9999999999999993E-2</v>
      </c>
      <c r="G103" s="154">
        <f t="shared" si="45"/>
        <v>0.72</v>
      </c>
      <c r="H103" s="154">
        <f t="shared" si="46"/>
        <v>0.8</v>
      </c>
      <c r="I103" s="154">
        <f t="shared" si="47"/>
        <v>0</v>
      </c>
      <c r="J103" s="220"/>
      <c r="K103" s="138">
        <v>36</v>
      </c>
      <c r="L103" s="159">
        <v>14</v>
      </c>
      <c r="M103" s="159">
        <v>3.125</v>
      </c>
      <c r="N103" s="187">
        <v>1</v>
      </c>
      <c r="O103" s="180">
        <f t="shared" si="60"/>
        <v>0.1</v>
      </c>
      <c r="P103" s="180">
        <f t="shared" si="61"/>
        <v>1.1000000000000001</v>
      </c>
      <c r="Q103" s="178">
        <f t="shared" si="62"/>
        <v>1.21</v>
      </c>
      <c r="R103" s="178">
        <f t="shared" si="63"/>
        <v>1.3915</v>
      </c>
      <c r="S103" s="155"/>
      <c r="T103" s="155"/>
      <c r="U103" s="159">
        <f t="shared" si="64"/>
        <v>0</v>
      </c>
      <c r="V103" s="154">
        <f t="shared" si="65"/>
        <v>0</v>
      </c>
      <c r="W103" s="273" t="str">
        <f t="shared" si="48"/>
        <v>INVENTORY PRICE DOESN'T MATCH SAGE</v>
      </c>
    </row>
    <row r="104" spans="1:23">
      <c r="A104" s="155"/>
      <c r="B104" s="153">
        <v>99</v>
      </c>
      <c r="C104" s="153" t="s">
        <v>261</v>
      </c>
      <c r="D104" s="153" t="s">
        <v>246</v>
      </c>
      <c r="E104" s="154">
        <v>0.55000000000000004</v>
      </c>
      <c r="F104" s="154">
        <f>ROUND(O136*$M136,2)</f>
        <v>0.06</v>
      </c>
      <c r="G104" s="154">
        <f t="shared" si="45"/>
        <v>0.6100000000000001</v>
      </c>
      <c r="H104" s="154">
        <f t="shared" si="46"/>
        <v>0.68</v>
      </c>
      <c r="I104" s="154">
        <f t="shared" si="47"/>
        <v>0</v>
      </c>
      <c r="J104" s="220">
        <f>$Q$134</f>
        <v>44629</v>
      </c>
      <c r="K104" s="138">
        <v>37</v>
      </c>
      <c r="L104" s="159">
        <v>12</v>
      </c>
      <c r="M104" s="159">
        <v>4.375</v>
      </c>
      <c r="N104" s="187">
        <v>1</v>
      </c>
      <c r="O104" s="180">
        <f t="shared" si="60"/>
        <v>0.1</v>
      </c>
      <c r="P104" s="180">
        <f t="shared" si="61"/>
        <v>1.1000000000000001</v>
      </c>
      <c r="Q104" s="178">
        <f t="shared" si="62"/>
        <v>1.21</v>
      </c>
      <c r="R104" s="178">
        <f t="shared" si="63"/>
        <v>1.3915</v>
      </c>
      <c r="S104" s="155"/>
      <c r="T104" s="155"/>
      <c r="U104" s="159">
        <f t="shared" si="64"/>
        <v>0</v>
      </c>
      <c r="V104" s="154">
        <f t="shared" si="65"/>
        <v>0</v>
      </c>
      <c r="W104" s="273" t="str">
        <f t="shared" ref="W104:W131" si="66">IF(ISNUMBER(K104),IF(VLOOKUP(K104,$B$6:$E$1302,4,FALSE)=P104,"","INVENTORY PRICE DOESN'T MATCH SAGE"),"")</f>
        <v>INVENTORY PRICE DOESN'T MATCH SAGE</v>
      </c>
    </row>
    <row r="105" spans="1:23">
      <c r="A105" s="155"/>
      <c r="B105" s="153">
        <v>100</v>
      </c>
      <c r="C105" s="153" t="s">
        <v>262</v>
      </c>
      <c r="D105" s="153" t="s">
        <v>246</v>
      </c>
      <c r="E105" s="154">
        <v>0.75</v>
      </c>
      <c r="F105" s="154">
        <f>ROUNDUP(E105*0.1,2)</f>
        <v>0.08</v>
      </c>
      <c r="G105" s="154">
        <f t="shared" si="45"/>
        <v>0.83</v>
      </c>
      <c r="H105" s="154">
        <f t="shared" si="46"/>
        <v>0.92</v>
      </c>
      <c r="I105" s="154">
        <f t="shared" si="47"/>
        <v>0</v>
      </c>
      <c r="J105" s="220"/>
      <c r="K105" s="138">
        <v>38</v>
      </c>
      <c r="L105" s="159">
        <v>10</v>
      </c>
      <c r="M105" s="159">
        <v>5.625</v>
      </c>
      <c r="N105" s="187">
        <v>1</v>
      </c>
      <c r="O105" s="180">
        <f t="shared" si="60"/>
        <v>0.1</v>
      </c>
      <c r="P105" s="180">
        <f t="shared" si="61"/>
        <v>1.1000000000000001</v>
      </c>
      <c r="Q105" s="178">
        <f t="shared" si="62"/>
        <v>1.21</v>
      </c>
      <c r="R105" s="178">
        <f t="shared" si="63"/>
        <v>1.3915</v>
      </c>
      <c r="S105" s="155"/>
      <c r="T105" s="155"/>
      <c r="U105" s="159">
        <f t="shared" si="64"/>
        <v>0</v>
      </c>
      <c r="V105" s="154">
        <f t="shared" si="65"/>
        <v>0</v>
      </c>
      <c r="W105" s="273" t="str">
        <f t="shared" si="66"/>
        <v>INVENTORY PRICE DOESN'T MATCH SAGE</v>
      </c>
    </row>
    <row r="106" spans="1:23">
      <c r="A106" s="155"/>
      <c r="B106" s="153">
        <v>101</v>
      </c>
      <c r="C106" s="153" t="s">
        <v>263</v>
      </c>
      <c r="D106" s="153" t="s">
        <v>246</v>
      </c>
      <c r="E106" s="154">
        <f>ROUND(N137*$M137,2)</f>
        <v>1.05</v>
      </c>
      <c r="F106" s="154">
        <f>ROUND(O137*$M137,2)</f>
        <v>0.1</v>
      </c>
      <c r="G106" s="154">
        <f t="shared" si="45"/>
        <v>1.1500000000000001</v>
      </c>
      <c r="H106" s="154">
        <f t="shared" si="46"/>
        <v>1.27</v>
      </c>
      <c r="I106" s="154">
        <f t="shared" si="47"/>
        <v>0</v>
      </c>
      <c r="J106" s="220">
        <f>$Q$134</f>
        <v>44629</v>
      </c>
      <c r="L106" s="159" t="s">
        <v>1132</v>
      </c>
      <c r="M106" s="159">
        <v>2</v>
      </c>
      <c r="N106" s="187">
        <v>1.25</v>
      </c>
      <c r="O106" s="180">
        <f t="shared" si="60"/>
        <v>0.12</v>
      </c>
      <c r="P106" s="180">
        <f t="shared" si="61"/>
        <v>1.37</v>
      </c>
      <c r="Q106" s="178">
        <f t="shared" si="62"/>
        <v>1.51</v>
      </c>
      <c r="R106" s="178">
        <f t="shared" si="63"/>
        <v>1.7364999999999999</v>
      </c>
      <c r="S106" s="155"/>
      <c r="T106" s="155"/>
      <c r="U106" s="159">
        <f t="shared" si="64"/>
        <v>0</v>
      </c>
      <c r="V106" s="154">
        <f t="shared" si="65"/>
        <v>0</v>
      </c>
      <c r="W106" s="273" t="str">
        <f t="shared" si="66"/>
        <v/>
      </c>
    </row>
    <row r="107" spans="1:23">
      <c r="A107" s="155"/>
      <c r="B107" s="153">
        <v>102</v>
      </c>
      <c r="C107" s="153" t="s">
        <v>264</v>
      </c>
      <c r="D107" s="153" t="s">
        <v>246</v>
      </c>
      <c r="E107" s="154">
        <f>ROUND(N138*$M138,2)</f>
        <v>1.53</v>
      </c>
      <c r="F107" s="154">
        <f>ROUND(O138*$M138,2)</f>
        <v>0.14000000000000001</v>
      </c>
      <c r="G107" s="154">
        <f t="shared" si="45"/>
        <v>1.67</v>
      </c>
      <c r="H107" s="154">
        <f t="shared" si="46"/>
        <v>1.84</v>
      </c>
      <c r="I107" s="154">
        <f t="shared" si="47"/>
        <v>0</v>
      </c>
      <c r="J107" s="220">
        <f>$Q$134</f>
        <v>44629</v>
      </c>
      <c r="L107" s="159" t="s">
        <v>723</v>
      </c>
      <c r="M107" s="159">
        <v>7.65</v>
      </c>
      <c r="N107" s="188">
        <v>3.25</v>
      </c>
      <c r="O107" s="180">
        <f t="shared" si="60"/>
        <v>0.32</v>
      </c>
      <c r="P107" s="180">
        <f t="shared" si="61"/>
        <v>3.57</v>
      </c>
      <c r="Q107" s="178">
        <f t="shared" si="62"/>
        <v>3.9299999999999997</v>
      </c>
      <c r="R107" s="178">
        <f t="shared" si="63"/>
        <v>4.519499999999999</v>
      </c>
      <c r="S107" s="155"/>
      <c r="T107" s="155"/>
      <c r="U107" s="159">
        <f t="shared" si="64"/>
        <v>0</v>
      </c>
      <c r="V107" s="154">
        <f t="shared" si="65"/>
        <v>0</v>
      </c>
      <c r="W107" s="273" t="str">
        <f t="shared" si="66"/>
        <v/>
      </c>
    </row>
    <row r="108" spans="1:23">
      <c r="A108" s="155"/>
      <c r="B108" s="153">
        <v>103</v>
      </c>
      <c r="C108" s="153" t="s">
        <v>265</v>
      </c>
      <c r="D108" s="153" t="s">
        <v>246</v>
      </c>
      <c r="E108" s="154">
        <v>1.49</v>
      </c>
      <c r="F108" s="154">
        <f>ROUNDUP(E108*0.1,2)</f>
        <v>0.15000000000000002</v>
      </c>
      <c r="G108" s="154">
        <f t="shared" si="45"/>
        <v>1.6400000000000001</v>
      </c>
      <c r="H108" s="154">
        <f t="shared" si="46"/>
        <v>1.81</v>
      </c>
      <c r="I108" s="154">
        <f t="shared" si="47"/>
        <v>0</v>
      </c>
      <c r="J108" s="220"/>
      <c r="W108" s="273" t="str">
        <f t="shared" si="66"/>
        <v/>
      </c>
    </row>
    <row r="109" spans="1:23">
      <c r="A109" s="155"/>
      <c r="B109" s="153">
        <v>104</v>
      </c>
      <c r="C109" s="153" t="s">
        <v>266</v>
      </c>
      <c r="D109" s="153" t="s">
        <v>246</v>
      </c>
      <c r="E109" s="154">
        <f t="shared" ref="E109:F111" si="67">ROUND(N139*$M139,2)</f>
        <v>1.4</v>
      </c>
      <c r="F109" s="154">
        <f t="shared" si="67"/>
        <v>0.13</v>
      </c>
      <c r="G109" s="154">
        <f t="shared" si="45"/>
        <v>1.5299999999999998</v>
      </c>
      <c r="H109" s="154">
        <f t="shared" si="46"/>
        <v>1.69</v>
      </c>
      <c r="I109" s="154">
        <f t="shared" si="47"/>
        <v>0</v>
      </c>
      <c r="J109" s="220">
        <f>$Q$134</f>
        <v>44629</v>
      </c>
      <c r="W109" s="273" t="str">
        <f t="shared" si="66"/>
        <v/>
      </c>
    </row>
    <row r="110" spans="1:23" ht="15" thickBot="1">
      <c r="A110" s="155"/>
      <c r="B110" s="153">
        <v>105</v>
      </c>
      <c r="C110" s="153" t="s">
        <v>267</v>
      </c>
      <c r="D110" s="153" t="s">
        <v>246</v>
      </c>
      <c r="E110" s="154">
        <f t="shared" si="67"/>
        <v>2.0699999999999998</v>
      </c>
      <c r="F110" s="154">
        <f t="shared" si="67"/>
        <v>0.2</v>
      </c>
      <c r="G110" s="154">
        <f t="shared" si="45"/>
        <v>2.27</v>
      </c>
      <c r="H110" s="154">
        <f t="shared" si="46"/>
        <v>2.5</v>
      </c>
      <c r="I110" s="154">
        <f t="shared" si="47"/>
        <v>0</v>
      </c>
      <c r="J110" s="220">
        <f>$Q$134</f>
        <v>44629</v>
      </c>
      <c r="L110" s="176" t="s">
        <v>724</v>
      </c>
      <c r="M110" s="176"/>
      <c r="N110" s="176"/>
      <c r="O110" s="176"/>
      <c r="P110" s="138" t="s">
        <v>713</v>
      </c>
      <c r="Q110" s="179">
        <v>44959</v>
      </c>
      <c r="R110" s="213" t="s">
        <v>909</v>
      </c>
      <c r="S110" s="138" t="s">
        <v>716</v>
      </c>
      <c r="T110" s="138" t="s">
        <v>716</v>
      </c>
      <c r="U110" s="138" t="s">
        <v>12</v>
      </c>
      <c r="W110" s="273" t="str">
        <f t="shared" si="66"/>
        <v/>
      </c>
    </row>
    <row r="111" spans="1:23">
      <c r="A111" s="155"/>
      <c r="B111" s="153">
        <v>106</v>
      </c>
      <c r="C111" s="153" t="s">
        <v>268</v>
      </c>
      <c r="D111" s="153" t="s">
        <v>246</v>
      </c>
      <c r="E111" s="154">
        <f t="shared" si="67"/>
        <v>2.71</v>
      </c>
      <c r="F111" s="154">
        <f t="shared" si="67"/>
        <v>0.26</v>
      </c>
      <c r="G111" s="154">
        <f t="shared" si="45"/>
        <v>2.9699999999999998</v>
      </c>
      <c r="H111" s="154">
        <f t="shared" si="46"/>
        <v>3.2699999999999996</v>
      </c>
      <c r="I111" s="154">
        <f t="shared" si="47"/>
        <v>0</v>
      </c>
      <c r="J111" s="220">
        <f>$Q$134</f>
        <v>44629</v>
      </c>
      <c r="K111" s="138" t="s">
        <v>690</v>
      </c>
      <c r="L111" s="138" t="s">
        <v>692</v>
      </c>
      <c r="M111" s="138" t="s">
        <v>720</v>
      </c>
      <c r="N111" s="138" t="s">
        <v>693</v>
      </c>
      <c r="O111" s="138" t="s">
        <v>712</v>
      </c>
      <c r="P111" s="177" t="s">
        <v>711</v>
      </c>
      <c r="Q111" s="138" t="s">
        <v>694</v>
      </c>
      <c r="R111" s="214">
        <v>0</v>
      </c>
      <c r="S111" s="138" t="s">
        <v>715</v>
      </c>
      <c r="T111" s="138" t="s">
        <v>721</v>
      </c>
      <c r="U111" s="138" t="s">
        <v>715</v>
      </c>
      <c r="V111" s="158" t="s">
        <v>12</v>
      </c>
      <c r="W111" s="273" t="str">
        <f t="shared" si="66"/>
        <v/>
      </c>
    </row>
    <row r="112" spans="1:23">
      <c r="A112" s="155"/>
      <c r="B112" s="153">
        <v>107</v>
      </c>
      <c r="C112" s="153" t="s">
        <v>269</v>
      </c>
      <c r="D112" s="153" t="s">
        <v>246</v>
      </c>
      <c r="E112" s="154">
        <v>3.37</v>
      </c>
      <c r="F112" s="154">
        <f>ROUNDUP(E112*0.1,2)</f>
        <v>0.34</v>
      </c>
      <c r="G112" s="154">
        <f t="shared" si="45"/>
        <v>3.71</v>
      </c>
      <c r="H112" s="154">
        <f t="shared" si="46"/>
        <v>4.09</v>
      </c>
      <c r="I112" s="154">
        <f t="shared" si="47"/>
        <v>0</v>
      </c>
      <c r="J112" s="220"/>
      <c r="K112" s="138">
        <v>41</v>
      </c>
      <c r="L112" s="184" t="s">
        <v>703</v>
      </c>
      <c r="M112" s="159">
        <v>7.65</v>
      </c>
      <c r="N112" s="187">
        <v>1.27</v>
      </c>
      <c r="O112" s="180">
        <f t="shared" ref="O112:O119" si="68">ROUNDDOWN(N112*0.1,2)</f>
        <v>0.12</v>
      </c>
      <c r="P112" s="180">
        <f t="shared" ref="P112:P119" si="69">N112+O112</f>
        <v>1.3900000000000001</v>
      </c>
      <c r="Q112" s="178">
        <f t="shared" ref="Q112:Q119" si="70">ROUNDUP(P112*1.1,2)</f>
        <v>1.53</v>
      </c>
      <c r="R112" s="178">
        <f>Q112*(1+$R$111)</f>
        <v>1.53</v>
      </c>
      <c r="S112" s="155"/>
      <c r="T112" s="155"/>
      <c r="U112" s="159">
        <f t="shared" ref="U112:U119" si="71">S112+(T112*M112)</f>
        <v>0</v>
      </c>
      <c r="V112" s="154">
        <f t="shared" ref="V112:V119" si="72">ROUNDUP(IF($C$2="Inventory Cost",P112*U112,Q112*U112),2)</f>
        <v>0</v>
      </c>
      <c r="W112" s="273" t="str">
        <f t="shared" si="66"/>
        <v>INVENTORY PRICE DOESN'T MATCH SAGE</v>
      </c>
    </row>
    <row r="113" spans="1:23">
      <c r="A113" s="155"/>
      <c r="B113" s="153">
        <v>108</v>
      </c>
      <c r="C113" s="153" t="s">
        <v>270</v>
      </c>
      <c r="D113" s="153" t="s">
        <v>246</v>
      </c>
      <c r="E113" s="154">
        <v>2.52</v>
      </c>
      <c r="F113" s="154">
        <f>ROUNDUP(E113*0.1,2)</f>
        <v>0.26</v>
      </c>
      <c r="G113" s="154">
        <f t="shared" si="45"/>
        <v>2.7800000000000002</v>
      </c>
      <c r="H113" s="154">
        <f t="shared" si="46"/>
        <v>3.0599999999999996</v>
      </c>
      <c r="I113" s="154">
        <f t="shared" si="47"/>
        <v>0</v>
      </c>
      <c r="J113" s="220"/>
      <c r="K113" s="138">
        <v>42</v>
      </c>
      <c r="L113" s="159" t="s">
        <v>704</v>
      </c>
      <c r="M113" s="159">
        <v>10.210000000000001</v>
      </c>
      <c r="N113" s="187">
        <v>1.27</v>
      </c>
      <c r="O113" s="180">
        <f t="shared" si="68"/>
        <v>0.12</v>
      </c>
      <c r="P113" s="180">
        <f t="shared" si="69"/>
        <v>1.3900000000000001</v>
      </c>
      <c r="Q113" s="178">
        <f t="shared" si="70"/>
        <v>1.53</v>
      </c>
      <c r="R113" s="178">
        <f t="shared" ref="R113:R119" si="73">Q113*(1+$R$111)</f>
        <v>1.53</v>
      </c>
      <c r="S113" s="155"/>
      <c r="T113" s="155"/>
      <c r="U113" s="159">
        <f t="shared" si="71"/>
        <v>0</v>
      </c>
      <c r="V113" s="154">
        <f t="shared" si="72"/>
        <v>0</v>
      </c>
      <c r="W113" s="273" t="str">
        <f t="shared" si="66"/>
        <v>INVENTORY PRICE DOESN'T MATCH SAGE</v>
      </c>
    </row>
    <row r="114" spans="1:23">
      <c r="A114" s="155"/>
      <c r="B114" s="153">
        <v>109</v>
      </c>
      <c r="C114" s="153" t="s">
        <v>205</v>
      </c>
      <c r="D114" s="153"/>
      <c r="E114" s="154"/>
      <c r="F114" s="154">
        <f>ROUNDUP(E114*0.1,2)</f>
        <v>0</v>
      </c>
      <c r="G114" s="154">
        <f t="shared" si="45"/>
        <v>0</v>
      </c>
      <c r="H114" s="154">
        <f t="shared" si="46"/>
        <v>0</v>
      </c>
      <c r="I114" s="154">
        <f t="shared" si="47"/>
        <v>0</v>
      </c>
      <c r="J114" s="220"/>
      <c r="L114" s="159" t="s">
        <v>705</v>
      </c>
      <c r="M114" s="159">
        <v>12.76</v>
      </c>
      <c r="N114" s="187">
        <v>1.27</v>
      </c>
      <c r="O114" s="180">
        <f t="shared" si="68"/>
        <v>0.12</v>
      </c>
      <c r="P114" s="180">
        <f t="shared" si="69"/>
        <v>1.3900000000000001</v>
      </c>
      <c r="Q114" s="178">
        <f t="shared" si="70"/>
        <v>1.53</v>
      </c>
      <c r="R114" s="178">
        <f t="shared" si="73"/>
        <v>1.53</v>
      </c>
      <c r="S114" s="155"/>
      <c r="T114" s="155"/>
      <c r="U114" s="159">
        <f t="shared" si="71"/>
        <v>0</v>
      </c>
      <c r="V114" s="154">
        <f t="shared" si="72"/>
        <v>0</v>
      </c>
      <c r="W114" s="273" t="str">
        <f t="shared" si="66"/>
        <v/>
      </c>
    </row>
    <row r="115" spans="1:23">
      <c r="A115" s="155"/>
      <c r="B115" s="153">
        <v>110</v>
      </c>
      <c r="C115" s="153" t="s">
        <v>271</v>
      </c>
      <c r="D115" s="153" t="s">
        <v>246</v>
      </c>
      <c r="E115" s="154">
        <f>ROUND(N142*$M142,2)</f>
        <v>3.15</v>
      </c>
      <c r="F115" s="154">
        <f>ROUND(O142*$M142,2)</f>
        <v>0.3</v>
      </c>
      <c r="G115" s="154">
        <f t="shared" si="45"/>
        <v>3.4499999999999997</v>
      </c>
      <c r="H115" s="154">
        <f t="shared" si="46"/>
        <v>3.8</v>
      </c>
      <c r="I115" s="154">
        <f t="shared" si="47"/>
        <v>0</v>
      </c>
      <c r="J115" s="220">
        <f>$Q$134</f>
        <v>44629</v>
      </c>
      <c r="L115" s="159" t="s">
        <v>706</v>
      </c>
      <c r="M115" s="159">
        <v>15.43</v>
      </c>
      <c r="N115" s="187">
        <v>1.22</v>
      </c>
      <c r="O115" s="180">
        <f t="shared" si="68"/>
        <v>0.12</v>
      </c>
      <c r="P115" s="180">
        <f t="shared" si="69"/>
        <v>1.3399999999999999</v>
      </c>
      <c r="Q115" s="178">
        <f t="shared" si="70"/>
        <v>1.48</v>
      </c>
      <c r="R115" s="178">
        <f t="shared" si="73"/>
        <v>1.48</v>
      </c>
      <c r="S115" s="155"/>
      <c r="T115" s="155"/>
      <c r="U115" s="159">
        <f t="shared" si="71"/>
        <v>0</v>
      </c>
      <c r="V115" s="154">
        <f t="shared" si="72"/>
        <v>0</v>
      </c>
      <c r="W115" s="273" t="str">
        <f t="shared" si="66"/>
        <v/>
      </c>
    </row>
    <row r="116" spans="1:23">
      <c r="A116" s="155"/>
      <c r="B116" s="153">
        <v>111</v>
      </c>
      <c r="C116" s="153" t="s">
        <v>272</v>
      </c>
      <c r="D116" s="153" t="s">
        <v>246</v>
      </c>
      <c r="E116" s="154">
        <f>ROUND(N143*$M143,2)</f>
        <v>4.17</v>
      </c>
      <c r="F116" s="154">
        <f>ROUND(O143*$M143,2)</f>
        <v>0.39</v>
      </c>
      <c r="G116" s="154">
        <f t="shared" si="45"/>
        <v>4.5599999999999996</v>
      </c>
      <c r="H116" s="154">
        <f t="shared" si="46"/>
        <v>5.0199999999999996</v>
      </c>
      <c r="I116" s="154">
        <f t="shared" si="47"/>
        <v>0</v>
      </c>
      <c r="J116" s="220">
        <f>$Q$134</f>
        <v>44629</v>
      </c>
      <c r="L116" s="159" t="s">
        <v>707</v>
      </c>
      <c r="M116" s="159">
        <v>20.420000000000002</v>
      </c>
      <c r="N116" s="187">
        <v>1.22</v>
      </c>
      <c r="O116" s="180">
        <f t="shared" si="68"/>
        <v>0.12</v>
      </c>
      <c r="P116" s="180">
        <f t="shared" si="69"/>
        <v>1.3399999999999999</v>
      </c>
      <c r="Q116" s="178">
        <f t="shared" si="70"/>
        <v>1.48</v>
      </c>
      <c r="R116" s="178">
        <f t="shared" si="73"/>
        <v>1.48</v>
      </c>
      <c r="S116" s="155"/>
      <c r="T116" s="155"/>
      <c r="U116" s="159">
        <f t="shared" si="71"/>
        <v>0</v>
      </c>
      <c r="V116" s="154">
        <f t="shared" si="72"/>
        <v>0</v>
      </c>
      <c r="W116" s="273" t="str">
        <f t="shared" si="66"/>
        <v/>
      </c>
    </row>
    <row r="117" spans="1:23">
      <c r="A117" s="155"/>
      <c r="B117" s="153">
        <v>112</v>
      </c>
      <c r="C117" s="153" t="s">
        <v>273</v>
      </c>
      <c r="D117" s="153" t="s">
        <v>246</v>
      </c>
      <c r="E117" s="154">
        <v>4.3499999999999996</v>
      </c>
      <c r="F117" s="154">
        <f>ROUNDUP(E117*0.1,2)</f>
        <v>0.44</v>
      </c>
      <c r="G117" s="154">
        <f t="shared" si="45"/>
        <v>4.79</v>
      </c>
      <c r="H117" s="154">
        <f t="shared" si="46"/>
        <v>5.27</v>
      </c>
      <c r="I117" s="154">
        <f t="shared" si="47"/>
        <v>0</v>
      </c>
      <c r="J117" s="220"/>
      <c r="L117" s="159" t="s">
        <v>708</v>
      </c>
      <c r="M117" s="159">
        <v>25.53</v>
      </c>
      <c r="N117" s="187">
        <v>1.2</v>
      </c>
      <c r="O117" s="180">
        <f t="shared" si="68"/>
        <v>0.12</v>
      </c>
      <c r="P117" s="180">
        <f t="shared" si="69"/>
        <v>1.3199999999999998</v>
      </c>
      <c r="Q117" s="178">
        <f t="shared" si="70"/>
        <v>1.46</v>
      </c>
      <c r="R117" s="178">
        <f t="shared" si="73"/>
        <v>1.46</v>
      </c>
      <c r="S117" s="155"/>
      <c r="T117" s="155"/>
      <c r="U117" s="159">
        <f t="shared" si="71"/>
        <v>0</v>
      </c>
      <c r="V117" s="154">
        <f t="shared" si="72"/>
        <v>0</v>
      </c>
      <c r="W117" s="273" t="str">
        <f t="shared" si="66"/>
        <v/>
      </c>
    </row>
    <row r="118" spans="1:23">
      <c r="A118" s="155"/>
      <c r="B118" s="153">
        <v>113</v>
      </c>
      <c r="C118" s="181" t="s">
        <v>923</v>
      </c>
      <c r="D118" s="153" t="s">
        <v>246</v>
      </c>
      <c r="E118" s="154">
        <f>ROUND(N144*$M144,2)</f>
        <v>5.54</v>
      </c>
      <c r="F118" s="154">
        <f>ROUND(O144*$M144,2)</f>
        <v>0.53</v>
      </c>
      <c r="G118" s="154">
        <f t="shared" si="45"/>
        <v>6.07</v>
      </c>
      <c r="H118" s="154">
        <f t="shared" si="46"/>
        <v>6.68</v>
      </c>
      <c r="I118" s="154">
        <f t="shared" si="47"/>
        <v>0</v>
      </c>
      <c r="J118" s="220">
        <f>$Q$134</f>
        <v>44629</v>
      </c>
      <c r="L118" s="159" t="s">
        <v>709</v>
      </c>
      <c r="M118" s="159">
        <v>30.63</v>
      </c>
      <c r="N118" s="187">
        <v>1.2</v>
      </c>
      <c r="O118" s="180">
        <f t="shared" si="68"/>
        <v>0.12</v>
      </c>
      <c r="P118" s="180">
        <f t="shared" si="69"/>
        <v>1.3199999999999998</v>
      </c>
      <c r="Q118" s="178">
        <f t="shared" si="70"/>
        <v>1.46</v>
      </c>
      <c r="R118" s="178">
        <f t="shared" si="73"/>
        <v>1.46</v>
      </c>
      <c r="S118" s="155"/>
      <c r="T118" s="155"/>
      <c r="U118" s="159">
        <f t="shared" si="71"/>
        <v>0</v>
      </c>
      <c r="V118" s="154">
        <f t="shared" si="72"/>
        <v>0</v>
      </c>
      <c r="W118" s="273" t="str">
        <f t="shared" si="66"/>
        <v/>
      </c>
    </row>
    <row r="119" spans="1:23">
      <c r="A119" s="155"/>
      <c r="B119" s="153">
        <v>114</v>
      </c>
      <c r="C119" s="153" t="s">
        <v>274</v>
      </c>
      <c r="D119" s="153" t="s">
        <v>246</v>
      </c>
      <c r="E119" s="154">
        <v>6.05</v>
      </c>
      <c r="F119" s="154">
        <f>ROUNDUP(E119*0.1,2)</f>
        <v>0.61</v>
      </c>
      <c r="G119" s="154">
        <f t="shared" si="45"/>
        <v>6.66</v>
      </c>
      <c r="H119" s="154">
        <f t="shared" si="46"/>
        <v>7.33</v>
      </c>
      <c r="I119" s="154">
        <f t="shared" si="47"/>
        <v>0</v>
      </c>
      <c r="J119" s="220"/>
      <c r="L119" s="159" t="s">
        <v>710</v>
      </c>
      <c r="M119" s="159">
        <v>40.840000000000003</v>
      </c>
      <c r="N119" s="187">
        <v>1.32</v>
      </c>
      <c r="O119" s="180">
        <f t="shared" si="68"/>
        <v>0.13</v>
      </c>
      <c r="P119" s="180">
        <f t="shared" si="69"/>
        <v>1.4500000000000002</v>
      </c>
      <c r="Q119" s="178">
        <f t="shared" si="70"/>
        <v>1.6</v>
      </c>
      <c r="R119" s="178">
        <f t="shared" si="73"/>
        <v>1.6</v>
      </c>
      <c r="S119" s="155"/>
      <c r="T119" s="155"/>
      <c r="U119" s="159">
        <f t="shared" si="71"/>
        <v>0</v>
      </c>
      <c r="V119" s="154">
        <f t="shared" si="72"/>
        <v>0</v>
      </c>
      <c r="W119" s="273" t="str">
        <f t="shared" si="66"/>
        <v/>
      </c>
    </row>
    <row r="120" spans="1:23">
      <c r="A120" s="155"/>
      <c r="B120" s="153">
        <v>115</v>
      </c>
      <c r="C120" s="181" t="s">
        <v>924</v>
      </c>
      <c r="D120" s="153" t="s">
        <v>246</v>
      </c>
      <c r="E120" s="154">
        <f>ROUND(N145*$M145,2)</f>
        <v>10.75</v>
      </c>
      <c r="F120" s="154">
        <f>ROUND(O145*$M145,2)</f>
        <v>1.02</v>
      </c>
      <c r="G120" s="154">
        <f t="shared" si="45"/>
        <v>11.77</v>
      </c>
      <c r="H120" s="154">
        <f t="shared" si="46"/>
        <v>12.95</v>
      </c>
      <c r="I120" s="154">
        <f t="shared" si="47"/>
        <v>0</v>
      </c>
      <c r="J120" s="220">
        <f>$Q$134</f>
        <v>44629</v>
      </c>
      <c r="W120" s="273" t="str">
        <f t="shared" si="66"/>
        <v/>
      </c>
    </row>
    <row r="121" spans="1:23">
      <c r="A121" s="155"/>
      <c r="B121" s="153">
        <v>116</v>
      </c>
      <c r="C121" s="181" t="s">
        <v>925</v>
      </c>
      <c r="D121" s="153" t="s">
        <v>246</v>
      </c>
      <c r="E121" s="154">
        <f>ROUND(N146*$M146,2)</f>
        <v>12.52</v>
      </c>
      <c r="F121" s="154">
        <f>ROUND(O146*$M146,2)</f>
        <v>1.19</v>
      </c>
      <c r="G121" s="154">
        <f t="shared" si="45"/>
        <v>13.709999999999999</v>
      </c>
      <c r="H121" s="154">
        <f t="shared" si="46"/>
        <v>15.09</v>
      </c>
      <c r="I121" s="154">
        <f t="shared" si="47"/>
        <v>0</v>
      </c>
      <c r="J121" s="220">
        <f>$Q$134</f>
        <v>44629</v>
      </c>
      <c r="W121" s="273" t="str">
        <f t="shared" si="66"/>
        <v/>
      </c>
    </row>
    <row r="122" spans="1:23" ht="15" thickBot="1">
      <c r="A122" s="155"/>
      <c r="B122" s="153">
        <v>117</v>
      </c>
      <c r="C122" s="153" t="s">
        <v>980</v>
      </c>
      <c r="D122" s="153" t="s">
        <v>246</v>
      </c>
      <c r="E122" s="154">
        <f t="shared" ref="E122:F124" si="74">ROUND(N225*$M225,2)</f>
        <v>1</v>
      </c>
      <c r="F122" s="154">
        <f t="shared" si="74"/>
        <v>0.1</v>
      </c>
      <c r="G122" s="154">
        <f t="shared" si="45"/>
        <v>1.1000000000000001</v>
      </c>
      <c r="H122" s="154">
        <f t="shared" si="46"/>
        <v>1.21</v>
      </c>
      <c r="I122" s="154">
        <f t="shared" si="47"/>
        <v>0</v>
      </c>
      <c r="J122" s="220">
        <f>$Q$223</f>
        <v>44629</v>
      </c>
      <c r="L122" s="176" t="s">
        <v>757</v>
      </c>
      <c r="M122" s="176"/>
      <c r="N122" s="176"/>
      <c r="O122" s="176"/>
      <c r="P122" s="138" t="s">
        <v>713</v>
      </c>
      <c r="Q122" s="179">
        <v>44511</v>
      </c>
      <c r="R122" s="213" t="s">
        <v>909</v>
      </c>
      <c r="S122" s="138" t="s">
        <v>716</v>
      </c>
      <c r="T122" s="138" t="s">
        <v>716</v>
      </c>
      <c r="U122" s="138" t="s">
        <v>12</v>
      </c>
      <c r="W122" s="273" t="str">
        <f t="shared" si="66"/>
        <v/>
      </c>
    </row>
    <row r="123" spans="1:23">
      <c r="A123" s="155"/>
      <c r="B123" s="153">
        <v>118</v>
      </c>
      <c r="C123" s="153" t="s">
        <v>981</v>
      </c>
      <c r="D123" s="153" t="s">
        <v>246</v>
      </c>
      <c r="E123" s="154">
        <f t="shared" si="74"/>
        <v>1.5</v>
      </c>
      <c r="F123" s="154">
        <f t="shared" si="74"/>
        <v>0.15</v>
      </c>
      <c r="G123" s="154">
        <f t="shared" si="45"/>
        <v>1.65</v>
      </c>
      <c r="H123" s="154">
        <f t="shared" si="46"/>
        <v>1.82</v>
      </c>
      <c r="I123" s="154">
        <f t="shared" si="47"/>
        <v>0</v>
      </c>
      <c r="J123" s="220">
        <f>$Q$223</f>
        <v>44629</v>
      </c>
      <c r="K123" s="138" t="s">
        <v>690</v>
      </c>
      <c r="L123" s="138" t="s">
        <v>692</v>
      </c>
      <c r="M123" s="138" t="s">
        <v>720</v>
      </c>
      <c r="N123" s="138" t="s">
        <v>693</v>
      </c>
      <c r="O123" s="138" t="s">
        <v>712</v>
      </c>
      <c r="P123" s="177" t="s">
        <v>711</v>
      </c>
      <c r="Q123" s="138" t="s">
        <v>694</v>
      </c>
      <c r="R123" s="214">
        <v>0</v>
      </c>
      <c r="S123" s="138" t="s">
        <v>715</v>
      </c>
      <c r="T123" s="138" t="s">
        <v>721</v>
      </c>
      <c r="U123" s="138" t="s">
        <v>715</v>
      </c>
      <c r="V123" s="158" t="s">
        <v>12</v>
      </c>
      <c r="W123" s="273" t="str">
        <f t="shared" si="66"/>
        <v/>
      </c>
    </row>
    <row r="124" spans="1:23">
      <c r="A124" s="155"/>
      <c r="B124" s="153">
        <v>119</v>
      </c>
      <c r="C124" s="153" t="s">
        <v>982</v>
      </c>
      <c r="D124" s="153" t="s">
        <v>246</v>
      </c>
      <c r="E124" s="154">
        <f t="shared" si="74"/>
        <v>2.25</v>
      </c>
      <c r="F124" s="154">
        <f t="shared" si="74"/>
        <v>0.22</v>
      </c>
      <c r="G124" s="154">
        <f t="shared" si="45"/>
        <v>2.4700000000000002</v>
      </c>
      <c r="H124" s="154">
        <f t="shared" si="46"/>
        <v>2.7199999999999998</v>
      </c>
      <c r="I124" s="154">
        <f t="shared" si="47"/>
        <v>0</v>
      </c>
      <c r="J124" s="220">
        <f>$Q$223</f>
        <v>44629</v>
      </c>
      <c r="L124" s="159" t="s">
        <v>703</v>
      </c>
      <c r="M124" s="189">
        <v>8.58</v>
      </c>
      <c r="N124" s="178">
        <v>4.26</v>
      </c>
      <c r="O124" s="180">
        <f t="shared" ref="O124:O131" si="75">ROUNDDOWN(N124*0.1,2)</f>
        <v>0.42</v>
      </c>
      <c r="P124" s="180">
        <f t="shared" ref="P124:P131" si="76">N124+O124</f>
        <v>4.68</v>
      </c>
      <c r="Q124" s="178">
        <f t="shared" ref="Q124:Q131" si="77">ROUNDUP(P124*1.1,2)</f>
        <v>5.1499999999999995</v>
      </c>
      <c r="R124" s="178">
        <f>Q124*(1+$R$123)</f>
        <v>5.1499999999999995</v>
      </c>
      <c r="S124" s="155"/>
      <c r="T124" s="155"/>
      <c r="U124" s="159">
        <f t="shared" ref="U124:U131" si="78">S124+(T124*M124)</f>
        <v>0</v>
      </c>
      <c r="V124" s="154">
        <f t="shared" ref="V124:V131" si="79">ROUNDUP(IF($C$2="Inventory Cost",P124*U124,Q124*U124),2)</f>
        <v>0</v>
      </c>
      <c r="W124" s="273" t="str">
        <f t="shared" si="66"/>
        <v/>
      </c>
    </row>
    <row r="125" spans="1:23">
      <c r="A125" s="155"/>
      <c r="B125" s="153">
        <v>120</v>
      </c>
      <c r="C125" s="153" t="s">
        <v>275</v>
      </c>
      <c r="D125" s="153" t="s">
        <v>246</v>
      </c>
      <c r="E125" s="154">
        <v>0.6</v>
      </c>
      <c r="F125" s="154">
        <f>ROUNDUP(E125*0.1,2)</f>
        <v>0.06</v>
      </c>
      <c r="G125" s="154">
        <f t="shared" si="45"/>
        <v>0.65999999999999992</v>
      </c>
      <c r="H125" s="154">
        <f t="shared" si="46"/>
        <v>0.73</v>
      </c>
      <c r="I125" s="154">
        <f t="shared" si="47"/>
        <v>0</v>
      </c>
      <c r="J125" s="220"/>
      <c r="L125" s="159" t="s">
        <v>704</v>
      </c>
      <c r="M125" s="189">
        <v>11.16</v>
      </c>
      <c r="N125" s="178">
        <v>4.26</v>
      </c>
      <c r="O125" s="180">
        <f t="shared" si="75"/>
        <v>0.42</v>
      </c>
      <c r="P125" s="180">
        <f t="shared" si="76"/>
        <v>4.68</v>
      </c>
      <c r="Q125" s="178">
        <f t="shared" si="77"/>
        <v>5.1499999999999995</v>
      </c>
      <c r="R125" s="178">
        <f t="shared" ref="R125:R131" si="80">Q125*(1+$R$123)</f>
        <v>5.1499999999999995</v>
      </c>
      <c r="S125" s="155"/>
      <c r="T125" s="155"/>
      <c r="U125" s="159">
        <f t="shared" si="78"/>
        <v>0</v>
      </c>
      <c r="V125" s="154">
        <f t="shared" si="79"/>
        <v>0</v>
      </c>
      <c r="W125" s="273" t="str">
        <f t="shared" si="66"/>
        <v/>
      </c>
    </row>
    <row r="126" spans="1:23">
      <c r="A126" s="155"/>
      <c r="B126" s="153">
        <v>121</v>
      </c>
      <c r="C126" s="153" t="s">
        <v>983</v>
      </c>
      <c r="D126" s="153" t="s">
        <v>246</v>
      </c>
      <c r="E126" s="154">
        <f>ROUND(N230*$M230,2)</f>
        <v>4</v>
      </c>
      <c r="F126" s="154">
        <f>ROUND(O230*$M230,2)</f>
        <v>0.39</v>
      </c>
      <c r="G126" s="154">
        <f t="shared" si="45"/>
        <v>4.3899999999999997</v>
      </c>
      <c r="H126" s="154">
        <f t="shared" si="46"/>
        <v>4.83</v>
      </c>
      <c r="I126" s="154">
        <f t="shared" si="47"/>
        <v>0</v>
      </c>
      <c r="J126" s="220">
        <f>$Q$223</f>
        <v>44629</v>
      </c>
      <c r="L126" s="159" t="s">
        <v>705</v>
      </c>
      <c r="M126" s="189">
        <v>14.3</v>
      </c>
      <c r="N126" s="178">
        <v>4.26</v>
      </c>
      <c r="O126" s="180">
        <f t="shared" si="75"/>
        <v>0.42</v>
      </c>
      <c r="P126" s="180">
        <f t="shared" si="76"/>
        <v>4.68</v>
      </c>
      <c r="Q126" s="178">
        <f t="shared" si="77"/>
        <v>5.1499999999999995</v>
      </c>
      <c r="R126" s="178">
        <f t="shared" si="80"/>
        <v>5.1499999999999995</v>
      </c>
      <c r="S126" s="155"/>
      <c r="T126" s="155"/>
      <c r="U126" s="159">
        <f t="shared" si="78"/>
        <v>0</v>
      </c>
      <c r="V126" s="154">
        <f t="shared" si="79"/>
        <v>0</v>
      </c>
      <c r="W126" s="273" t="str">
        <f t="shared" si="66"/>
        <v/>
      </c>
    </row>
    <row r="127" spans="1:23">
      <c r="A127" s="155"/>
      <c r="B127" s="153">
        <v>122</v>
      </c>
      <c r="C127" s="153" t="s">
        <v>984</v>
      </c>
      <c r="D127" s="153" t="s">
        <v>246</v>
      </c>
      <c r="E127" s="154">
        <f>ROUND(N231*$M231,2)</f>
        <v>9.2200000000000006</v>
      </c>
      <c r="F127" s="154">
        <f>ROUND(O231*$M231,2)</f>
        <v>0.9</v>
      </c>
      <c r="G127" s="154">
        <f t="shared" si="45"/>
        <v>10.120000000000001</v>
      </c>
      <c r="H127" s="154">
        <f t="shared" si="46"/>
        <v>11.14</v>
      </c>
      <c r="I127" s="154">
        <f t="shared" si="47"/>
        <v>0</v>
      </c>
      <c r="J127" s="220">
        <f>$Q$223</f>
        <v>44629</v>
      </c>
      <c r="L127" s="159" t="s">
        <v>706</v>
      </c>
      <c r="M127" s="189">
        <v>16.5</v>
      </c>
      <c r="N127" s="178">
        <v>4.26</v>
      </c>
      <c r="O127" s="180">
        <f t="shared" si="75"/>
        <v>0.42</v>
      </c>
      <c r="P127" s="180">
        <f t="shared" si="76"/>
        <v>4.68</v>
      </c>
      <c r="Q127" s="178">
        <f t="shared" si="77"/>
        <v>5.1499999999999995</v>
      </c>
      <c r="R127" s="178">
        <f t="shared" si="80"/>
        <v>5.1499999999999995</v>
      </c>
      <c r="S127" s="155"/>
      <c r="T127" s="155"/>
      <c r="U127" s="159">
        <f t="shared" si="78"/>
        <v>0</v>
      </c>
      <c r="V127" s="154">
        <f t="shared" si="79"/>
        <v>0</v>
      </c>
      <c r="W127" s="273" t="str">
        <f t="shared" si="66"/>
        <v/>
      </c>
    </row>
    <row r="128" spans="1:23">
      <c r="A128" s="155"/>
      <c r="B128" s="153">
        <v>123</v>
      </c>
      <c r="C128" s="153" t="s">
        <v>205</v>
      </c>
      <c r="D128" s="153"/>
      <c r="E128" s="154"/>
      <c r="F128" s="154">
        <f>ROUNDUP(E128*0.15,2)</f>
        <v>0</v>
      </c>
      <c r="G128" s="154">
        <f t="shared" si="45"/>
        <v>0</v>
      </c>
      <c r="H128" s="154">
        <f t="shared" si="46"/>
        <v>0</v>
      </c>
      <c r="I128" s="154">
        <f t="shared" si="47"/>
        <v>0</v>
      </c>
      <c r="J128" s="220"/>
      <c r="L128" s="159" t="s">
        <v>707</v>
      </c>
      <c r="M128" s="189">
        <v>21.66</v>
      </c>
      <c r="N128" s="178">
        <v>4.26</v>
      </c>
      <c r="O128" s="180">
        <f t="shared" si="75"/>
        <v>0.42</v>
      </c>
      <c r="P128" s="180">
        <f t="shared" si="76"/>
        <v>4.68</v>
      </c>
      <c r="Q128" s="178">
        <f t="shared" si="77"/>
        <v>5.1499999999999995</v>
      </c>
      <c r="R128" s="178">
        <f t="shared" si="80"/>
        <v>5.1499999999999995</v>
      </c>
      <c r="S128" s="155"/>
      <c r="T128" s="155"/>
      <c r="U128" s="159">
        <f t="shared" si="78"/>
        <v>0</v>
      </c>
      <c r="V128" s="154">
        <f t="shared" si="79"/>
        <v>0</v>
      </c>
      <c r="W128" s="273" t="str">
        <f t="shared" si="66"/>
        <v/>
      </c>
    </row>
    <row r="129" spans="1:23">
      <c r="A129" s="155"/>
      <c r="B129" s="153">
        <v>124</v>
      </c>
      <c r="C129" s="153" t="s">
        <v>276</v>
      </c>
      <c r="D129" s="153" t="s">
        <v>246</v>
      </c>
      <c r="E129" s="154">
        <f>ROUND(N228*$M228,2)</f>
        <v>2</v>
      </c>
      <c r="F129" s="154">
        <f>ROUND(O228*$M228,2)</f>
        <v>0.2</v>
      </c>
      <c r="G129" s="154">
        <f t="shared" si="45"/>
        <v>2.2000000000000002</v>
      </c>
      <c r="H129" s="154">
        <f t="shared" si="46"/>
        <v>2.42</v>
      </c>
      <c r="I129" s="154">
        <f t="shared" si="47"/>
        <v>0</v>
      </c>
      <c r="J129" s="220">
        <f>$Q$223</f>
        <v>44629</v>
      </c>
      <c r="L129" s="159" t="s">
        <v>708</v>
      </c>
      <c r="M129" s="189">
        <v>28.6</v>
      </c>
      <c r="N129" s="178">
        <v>4.26</v>
      </c>
      <c r="O129" s="180">
        <f t="shared" si="75"/>
        <v>0.42</v>
      </c>
      <c r="P129" s="180">
        <f t="shared" si="76"/>
        <v>4.68</v>
      </c>
      <c r="Q129" s="178">
        <f t="shared" si="77"/>
        <v>5.1499999999999995</v>
      </c>
      <c r="R129" s="178">
        <f t="shared" si="80"/>
        <v>5.1499999999999995</v>
      </c>
      <c r="S129" s="155"/>
      <c r="T129" s="155"/>
      <c r="U129" s="159">
        <f t="shared" si="78"/>
        <v>0</v>
      </c>
      <c r="V129" s="154">
        <f t="shared" si="79"/>
        <v>0</v>
      </c>
      <c r="W129" s="273" t="str">
        <f t="shared" si="66"/>
        <v/>
      </c>
    </row>
    <row r="130" spans="1:23">
      <c r="A130" s="155"/>
      <c r="B130" s="153">
        <v>125</v>
      </c>
      <c r="C130" s="153" t="s">
        <v>205</v>
      </c>
      <c r="D130" s="153"/>
      <c r="E130" s="154"/>
      <c r="F130" s="154">
        <f>ROUNDUP(E130*0.15,2)</f>
        <v>0</v>
      </c>
      <c r="G130" s="154">
        <f t="shared" si="45"/>
        <v>0</v>
      </c>
      <c r="H130" s="154">
        <f t="shared" si="46"/>
        <v>0</v>
      </c>
      <c r="I130" s="154">
        <f t="shared" si="47"/>
        <v>0</v>
      </c>
      <c r="J130" s="220"/>
      <c r="L130" s="159" t="s">
        <v>709</v>
      </c>
      <c r="M130" s="189">
        <v>33.49</v>
      </c>
      <c r="N130" s="178">
        <v>4.26</v>
      </c>
      <c r="O130" s="180">
        <f t="shared" si="75"/>
        <v>0.42</v>
      </c>
      <c r="P130" s="180">
        <f t="shared" si="76"/>
        <v>4.68</v>
      </c>
      <c r="Q130" s="178">
        <f t="shared" si="77"/>
        <v>5.1499999999999995</v>
      </c>
      <c r="R130" s="178">
        <f t="shared" si="80"/>
        <v>5.1499999999999995</v>
      </c>
      <c r="S130" s="155"/>
      <c r="T130" s="155"/>
      <c r="U130" s="159">
        <f t="shared" si="78"/>
        <v>0</v>
      </c>
      <c r="V130" s="154">
        <f t="shared" si="79"/>
        <v>0</v>
      </c>
      <c r="W130" s="273" t="str">
        <f t="shared" si="66"/>
        <v/>
      </c>
    </row>
    <row r="131" spans="1:23">
      <c r="A131" s="155"/>
      <c r="B131" s="153">
        <v>126</v>
      </c>
      <c r="C131" s="153" t="s">
        <v>277</v>
      </c>
      <c r="D131" s="153" t="s">
        <v>246</v>
      </c>
      <c r="E131" s="154">
        <f>ROUND(N229*$M229,2)</f>
        <v>3.01</v>
      </c>
      <c r="F131" s="154">
        <f>ROUND(O229*$M229,2)</f>
        <v>0.28999999999999998</v>
      </c>
      <c r="G131" s="154">
        <f t="shared" si="45"/>
        <v>3.3</v>
      </c>
      <c r="H131" s="154">
        <f t="shared" si="46"/>
        <v>3.63</v>
      </c>
      <c r="I131" s="154">
        <f t="shared" si="47"/>
        <v>0</v>
      </c>
      <c r="J131" s="220">
        <f>$Q$223</f>
        <v>44629</v>
      </c>
      <c r="L131" s="159" t="s">
        <v>710</v>
      </c>
      <c r="M131" s="189">
        <v>43.32</v>
      </c>
      <c r="N131" s="178">
        <v>4.26</v>
      </c>
      <c r="O131" s="180">
        <f t="shared" si="75"/>
        <v>0.42</v>
      </c>
      <c r="P131" s="180">
        <f t="shared" si="76"/>
        <v>4.68</v>
      </c>
      <c r="Q131" s="178">
        <f t="shared" si="77"/>
        <v>5.1499999999999995</v>
      </c>
      <c r="R131" s="178">
        <f t="shared" si="80"/>
        <v>5.1499999999999995</v>
      </c>
      <c r="S131" s="155"/>
      <c r="T131" s="155"/>
      <c r="U131" s="159">
        <f t="shared" si="78"/>
        <v>0</v>
      </c>
      <c r="V131" s="154">
        <f t="shared" si="79"/>
        <v>0</v>
      </c>
      <c r="W131" s="273" t="str">
        <f t="shared" si="66"/>
        <v/>
      </c>
    </row>
    <row r="132" spans="1:23">
      <c r="A132" s="155"/>
      <c r="B132" s="153">
        <v>127</v>
      </c>
      <c r="C132" s="153" t="s">
        <v>278</v>
      </c>
      <c r="D132" s="153" t="s">
        <v>246</v>
      </c>
      <c r="E132" s="154">
        <v>1.45</v>
      </c>
      <c r="F132" s="154">
        <f>ROUNDUP(E132*0.1,2)</f>
        <v>0.15000000000000002</v>
      </c>
      <c r="G132" s="154">
        <f t="shared" si="45"/>
        <v>1.6</v>
      </c>
      <c r="H132" s="154">
        <f t="shared" si="46"/>
        <v>1.76</v>
      </c>
      <c r="I132" s="154">
        <f t="shared" si="47"/>
        <v>0</v>
      </c>
      <c r="J132" s="220"/>
    </row>
    <row r="133" spans="1:23">
      <c r="A133" s="155"/>
      <c r="B133" s="153">
        <v>128</v>
      </c>
      <c r="C133" s="153" t="s">
        <v>279</v>
      </c>
      <c r="D133" s="153" t="s">
        <v>246</v>
      </c>
      <c r="E133" s="154">
        <v>1.45</v>
      </c>
      <c r="F133" s="154">
        <f>ROUNDUP(E133*0.1,2)</f>
        <v>0.15000000000000002</v>
      </c>
      <c r="G133" s="154">
        <f t="shared" si="45"/>
        <v>1.6</v>
      </c>
      <c r="H133" s="154">
        <f t="shared" si="46"/>
        <v>1.76</v>
      </c>
      <c r="I133" s="154">
        <f t="shared" si="47"/>
        <v>0</v>
      </c>
      <c r="J133" s="220"/>
    </row>
    <row r="134" spans="1:23" ht="15" thickBot="1">
      <c r="A134" s="155"/>
      <c r="B134" s="153">
        <v>129</v>
      </c>
      <c r="C134" s="153" t="s">
        <v>985</v>
      </c>
      <c r="D134" s="153" t="s">
        <v>246</v>
      </c>
      <c r="E134" s="154">
        <f>ROUND(N232*$M232,2)</f>
        <v>4.5</v>
      </c>
      <c r="F134" s="154">
        <f>ROUND(O232*$M232,2)</f>
        <v>0.44</v>
      </c>
      <c r="G134" s="154">
        <f t="shared" ref="G134:G197" si="81">E134+F134</f>
        <v>4.9400000000000004</v>
      </c>
      <c r="H134" s="154">
        <f t="shared" ref="H134:H197" si="82">ROUNDUP(($E134+F134)*1.1,2)</f>
        <v>5.4399999999999995</v>
      </c>
      <c r="I134" s="154">
        <f t="shared" ref="I134:I197" si="83">IF($C$2="Inventory Cost",A134*G134,A134*H134)</f>
        <v>0</v>
      </c>
      <c r="J134" s="220">
        <f>$Q$223</f>
        <v>44629</v>
      </c>
      <c r="L134" s="176" t="s">
        <v>999</v>
      </c>
      <c r="M134" s="176"/>
      <c r="N134" s="176"/>
      <c r="O134" s="176"/>
      <c r="P134" s="138" t="s">
        <v>713</v>
      </c>
      <c r="Q134" s="179">
        <v>44629</v>
      </c>
      <c r="R134" s="213"/>
      <c r="S134" s="138" t="s">
        <v>918</v>
      </c>
      <c r="T134" s="138" t="s">
        <v>919</v>
      </c>
      <c r="U134" s="138" t="s">
        <v>12</v>
      </c>
    </row>
    <row r="135" spans="1:23">
      <c r="A135" s="155"/>
      <c r="B135" s="153">
        <v>130</v>
      </c>
      <c r="C135" s="153" t="s">
        <v>280</v>
      </c>
      <c r="D135" s="153" t="s">
        <v>246</v>
      </c>
      <c r="E135" s="154">
        <f>ROUND(N233*$M233,2)</f>
        <v>5.99</v>
      </c>
      <c r="F135" s="154">
        <f>ROUND(O233*$M233,2)</f>
        <v>0.59</v>
      </c>
      <c r="G135" s="154">
        <f t="shared" si="81"/>
        <v>6.58</v>
      </c>
      <c r="H135" s="154">
        <f t="shared" si="82"/>
        <v>7.24</v>
      </c>
      <c r="I135" s="154">
        <f t="shared" si="83"/>
        <v>0</v>
      </c>
      <c r="J135" s="220">
        <f>$Q$223</f>
        <v>44629</v>
      </c>
      <c r="K135" s="138" t="s">
        <v>690</v>
      </c>
      <c r="L135" s="138" t="s">
        <v>910</v>
      </c>
      <c r="M135" s="138" t="s">
        <v>911</v>
      </c>
      <c r="N135" s="138" t="s">
        <v>693</v>
      </c>
      <c r="O135" s="138" t="s">
        <v>712</v>
      </c>
      <c r="P135" s="177" t="s">
        <v>711</v>
      </c>
      <c r="Q135" s="177" t="s">
        <v>913</v>
      </c>
      <c r="R135" s="138" t="s">
        <v>694</v>
      </c>
      <c r="S135" s="216">
        <v>20</v>
      </c>
      <c r="T135" s="138" t="s">
        <v>915</v>
      </c>
      <c r="U135" s="138" t="s">
        <v>914</v>
      </c>
      <c r="V135" s="158" t="s">
        <v>12</v>
      </c>
      <c r="W135" s="273"/>
    </row>
    <row r="136" spans="1:23">
      <c r="A136" s="155"/>
      <c r="B136" s="153">
        <v>131</v>
      </c>
      <c r="C136" s="153" t="s">
        <v>281</v>
      </c>
      <c r="D136" s="153" t="s">
        <v>246</v>
      </c>
      <c r="E136" s="154">
        <v>2.2999999999999998</v>
      </c>
      <c r="F136" s="154">
        <f>ROUNDUP(E136*0.1,2)</f>
        <v>0.23</v>
      </c>
      <c r="G136" s="154">
        <f t="shared" si="81"/>
        <v>2.5299999999999998</v>
      </c>
      <c r="H136" s="154">
        <f t="shared" si="82"/>
        <v>2.7899999999999996</v>
      </c>
      <c r="I136" s="154">
        <f t="shared" si="83"/>
        <v>0</v>
      </c>
      <c r="J136" s="220"/>
      <c r="K136" s="138">
        <v>99</v>
      </c>
      <c r="L136" s="159" t="s">
        <v>920</v>
      </c>
      <c r="M136" s="159">
        <v>0.8</v>
      </c>
      <c r="N136" s="178">
        <v>0.85</v>
      </c>
      <c r="O136" s="180">
        <f t="shared" ref="O136:O146" si="84">ROUNDDOWN(N136*0.1,2)</f>
        <v>0.08</v>
      </c>
      <c r="P136" s="180">
        <f t="shared" ref="P136:P146" si="85">N136+O136</f>
        <v>0.92999999999999994</v>
      </c>
      <c r="Q136" s="180">
        <f>ROUNDUP(P136*M136,2)</f>
        <v>0.75</v>
      </c>
      <c r="R136" s="178">
        <f t="shared" ref="R136:R146" si="86">ROUNDUP(Q136*1.1,2)</f>
        <v>0.83</v>
      </c>
      <c r="S136" s="155"/>
      <c r="T136" s="155"/>
      <c r="U136" s="159">
        <f>($S$135*S136)+T136</f>
        <v>0</v>
      </c>
      <c r="V136" s="154">
        <f t="shared" ref="V136:V146" si="87">ROUNDUP(IF($C$2="Inventory Cost",P136*U136,Q136*U136),2)</f>
        <v>0</v>
      </c>
      <c r="W136" s="273" t="str">
        <f t="shared" ref="W136:W146" si="88">IF(ISNUMBER(K136),IF(VLOOKUP(K136,$B$6:$E$1302,4,FALSE)=Q136,"","INVENTORY PRICE DOESN'T MATCH SAGE"),"")</f>
        <v>INVENTORY PRICE DOESN'T MATCH SAGE</v>
      </c>
    </row>
    <row r="137" spans="1:23">
      <c r="A137" s="155"/>
      <c r="B137" s="153">
        <v>132</v>
      </c>
      <c r="C137" s="153" t="s">
        <v>282</v>
      </c>
      <c r="D137" s="153" t="s">
        <v>246</v>
      </c>
      <c r="E137" s="154">
        <f>ROUND(N234*$M234,2)</f>
        <v>3.74</v>
      </c>
      <c r="F137" s="154">
        <f>ROUND(O234*$M234,2)</f>
        <v>0.37</v>
      </c>
      <c r="G137" s="154">
        <f t="shared" si="81"/>
        <v>4.1100000000000003</v>
      </c>
      <c r="H137" s="154">
        <f t="shared" si="82"/>
        <v>4.5299999999999994</v>
      </c>
      <c r="I137" s="154">
        <f t="shared" si="83"/>
        <v>0</v>
      </c>
      <c r="J137" s="220">
        <f>$Q$223</f>
        <v>44629</v>
      </c>
      <c r="K137" s="138">
        <v>101</v>
      </c>
      <c r="L137" s="159" t="s">
        <v>921</v>
      </c>
      <c r="M137" s="159">
        <v>1.23</v>
      </c>
      <c r="N137" s="178">
        <v>0.85</v>
      </c>
      <c r="O137" s="180">
        <f t="shared" si="84"/>
        <v>0.08</v>
      </c>
      <c r="P137" s="180">
        <f t="shared" si="85"/>
        <v>0.92999999999999994</v>
      </c>
      <c r="Q137" s="180">
        <f t="shared" ref="Q137:Q146" si="89">ROUNDUP(P137*M137,2)</f>
        <v>1.1499999999999999</v>
      </c>
      <c r="R137" s="178">
        <f t="shared" si="86"/>
        <v>1.27</v>
      </c>
      <c r="S137" s="155"/>
      <c r="T137" s="155"/>
      <c r="U137" s="159">
        <f t="shared" ref="U137:U146" si="90">($S$135*S137)+T137</f>
        <v>0</v>
      </c>
      <c r="V137" s="154">
        <f t="shared" si="87"/>
        <v>0</v>
      </c>
      <c r="W137" s="273" t="str">
        <f t="shared" si="88"/>
        <v>INVENTORY PRICE DOESN'T MATCH SAGE</v>
      </c>
    </row>
    <row r="138" spans="1:23">
      <c r="A138" s="155"/>
      <c r="B138" s="153">
        <v>133</v>
      </c>
      <c r="C138" s="153" t="s">
        <v>986</v>
      </c>
      <c r="D138" s="153" t="s">
        <v>246</v>
      </c>
      <c r="E138" s="154">
        <f>ROUND(N235*$M235,2)</f>
        <v>7.48</v>
      </c>
      <c r="F138" s="154">
        <f>ROUND(O235*$M235,2)</f>
        <v>0.75</v>
      </c>
      <c r="G138" s="154">
        <f t="shared" si="81"/>
        <v>8.23</v>
      </c>
      <c r="H138" s="154">
        <f t="shared" si="82"/>
        <v>9.06</v>
      </c>
      <c r="I138" s="154">
        <f t="shared" si="83"/>
        <v>0</v>
      </c>
      <c r="J138" s="220">
        <f>$Q$223</f>
        <v>44629</v>
      </c>
      <c r="K138" s="138">
        <v>102</v>
      </c>
      <c r="L138" s="159" t="s">
        <v>922</v>
      </c>
      <c r="M138" s="159">
        <v>1.8</v>
      </c>
      <c r="N138" s="178">
        <v>0.85</v>
      </c>
      <c r="O138" s="180">
        <f t="shared" si="84"/>
        <v>0.08</v>
      </c>
      <c r="P138" s="180">
        <f t="shared" si="85"/>
        <v>0.92999999999999994</v>
      </c>
      <c r="Q138" s="180">
        <f t="shared" si="89"/>
        <v>1.68</v>
      </c>
      <c r="R138" s="178">
        <f t="shared" si="86"/>
        <v>1.85</v>
      </c>
      <c r="S138" s="155"/>
      <c r="T138" s="155"/>
      <c r="U138" s="159">
        <f t="shared" si="90"/>
        <v>0</v>
      </c>
      <c r="V138" s="154">
        <f t="shared" si="87"/>
        <v>0</v>
      </c>
      <c r="W138" s="273" t="str">
        <f t="shared" si="88"/>
        <v>INVENTORY PRICE DOESN'T MATCH SAGE</v>
      </c>
    </row>
    <row r="139" spans="1:23">
      <c r="A139" s="155"/>
      <c r="B139" s="153">
        <v>134</v>
      </c>
      <c r="C139" s="153" t="s">
        <v>283</v>
      </c>
      <c r="D139" s="153" t="s">
        <v>246</v>
      </c>
      <c r="E139" s="154">
        <v>3.25</v>
      </c>
      <c r="F139" s="154">
        <f>ROUNDUP(E139*0.1,2)</f>
        <v>0.33</v>
      </c>
      <c r="G139" s="154">
        <f t="shared" si="81"/>
        <v>3.58</v>
      </c>
      <c r="H139" s="154">
        <f t="shared" si="82"/>
        <v>3.94</v>
      </c>
      <c r="I139" s="154">
        <f t="shared" si="83"/>
        <v>0</v>
      </c>
      <c r="J139" s="220"/>
      <c r="K139" s="138">
        <v>104</v>
      </c>
      <c r="L139" s="159" t="s">
        <v>266</v>
      </c>
      <c r="M139" s="159">
        <v>1.65</v>
      </c>
      <c r="N139" s="178">
        <v>0.85</v>
      </c>
      <c r="O139" s="180">
        <f t="shared" si="84"/>
        <v>0.08</v>
      </c>
      <c r="P139" s="180">
        <f t="shared" si="85"/>
        <v>0.92999999999999994</v>
      </c>
      <c r="Q139" s="180">
        <f t="shared" si="89"/>
        <v>1.54</v>
      </c>
      <c r="R139" s="178">
        <f t="shared" si="86"/>
        <v>1.7</v>
      </c>
      <c r="S139" s="155"/>
      <c r="T139" s="155"/>
      <c r="U139" s="159">
        <f t="shared" si="90"/>
        <v>0</v>
      </c>
      <c r="V139" s="154">
        <f t="shared" si="87"/>
        <v>0</v>
      </c>
      <c r="W139" s="273" t="str">
        <f t="shared" si="88"/>
        <v>INVENTORY PRICE DOESN'T MATCH SAGE</v>
      </c>
    </row>
    <row r="140" spans="1:23">
      <c r="A140" s="155"/>
      <c r="B140" s="153">
        <v>135</v>
      </c>
      <c r="C140" s="153" t="s">
        <v>284</v>
      </c>
      <c r="D140" s="153" t="s">
        <v>246</v>
      </c>
      <c r="E140" s="154">
        <f>ROUND(N236*$M236,2)</f>
        <v>8.42</v>
      </c>
      <c r="F140" s="154">
        <f>ROUND(O236*$M236,2)</f>
        <v>0.84</v>
      </c>
      <c r="G140" s="154">
        <f t="shared" si="81"/>
        <v>9.26</v>
      </c>
      <c r="H140" s="154">
        <f t="shared" si="82"/>
        <v>10.19</v>
      </c>
      <c r="I140" s="154">
        <f t="shared" si="83"/>
        <v>0</v>
      </c>
      <c r="J140" s="220">
        <f>$Q$223</f>
        <v>44629</v>
      </c>
      <c r="K140" s="138">
        <v>105</v>
      </c>
      <c r="L140" s="159" t="s">
        <v>267</v>
      </c>
      <c r="M140" s="159">
        <v>2.44</v>
      </c>
      <c r="N140" s="178">
        <v>0.85</v>
      </c>
      <c r="O140" s="180">
        <f t="shared" si="84"/>
        <v>0.08</v>
      </c>
      <c r="P140" s="180">
        <f t="shared" si="85"/>
        <v>0.92999999999999994</v>
      </c>
      <c r="Q140" s="180">
        <f t="shared" si="89"/>
        <v>2.2699999999999996</v>
      </c>
      <c r="R140" s="178">
        <f t="shared" si="86"/>
        <v>2.5</v>
      </c>
      <c r="S140" s="155"/>
      <c r="T140" s="155"/>
      <c r="U140" s="159">
        <f t="shared" si="90"/>
        <v>0</v>
      </c>
      <c r="V140" s="154">
        <f t="shared" si="87"/>
        <v>0</v>
      </c>
      <c r="W140" s="273" t="str">
        <f t="shared" si="88"/>
        <v>INVENTORY PRICE DOESN'T MATCH SAGE</v>
      </c>
    </row>
    <row r="141" spans="1:23">
      <c r="A141" s="155"/>
      <c r="B141" s="153">
        <v>136</v>
      </c>
      <c r="C141" s="153" t="s">
        <v>285</v>
      </c>
      <c r="D141" s="153" t="s">
        <v>246</v>
      </c>
      <c r="E141" s="154">
        <f>ROUND(N242*$M242,2)</f>
        <v>0.65</v>
      </c>
      <c r="F141" s="154">
        <f>ROUND(O242*$M242,2)</f>
        <v>0.06</v>
      </c>
      <c r="G141" s="154">
        <f t="shared" si="81"/>
        <v>0.71</v>
      </c>
      <c r="H141" s="154">
        <f t="shared" si="82"/>
        <v>0.79</v>
      </c>
      <c r="I141" s="154">
        <f t="shared" si="83"/>
        <v>0</v>
      </c>
      <c r="J141" s="220">
        <f>$Q$240</f>
        <v>44648</v>
      </c>
      <c r="K141" s="138">
        <v>106</v>
      </c>
      <c r="L141" s="159" t="s">
        <v>268</v>
      </c>
      <c r="M141" s="159">
        <v>3.19</v>
      </c>
      <c r="N141" s="178">
        <v>0.85</v>
      </c>
      <c r="O141" s="180">
        <f t="shared" si="84"/>
        <v>0.08</v>
      </c>
      <c r="P141" s="180">
        <f t="shared" si="85"/>
        <v>0.92999999999999994</v>
      </c>
      <c r="Q141" s="180">
        <f t="shared" si="89"/>
        <v>2.9699999999999998</v>
      </c>
      <c r="R141" s="178">
        <f t="shared" si="86"/>
        <v>3.2699999999999996</v>
      </c>
      <c r="S141" s="155"/>
      <c r="T141" s="155"/>
      <c r="U141" s="159">
        <f t="shared" si="90"/>
        <v>0</v>
      </c>
      <c r="V141" s="154">
        <f t="shared" si="87"/>
        <v>0</v>
      </c>
      <c r="W141" s="273" t="str">
        <f t="shared" si="88"/>
        <v>INVENTORY PRICE DOESN'T MATCH SAGE</v>
      </c>
    </row>
    <row r="142" spans="1:23">
      <c r="A142" s="155"/>
      <c r="B142" s="153">
        <v>137</v>
      </c>
      <c r="C142" s="153" t="s">
        <v>286</v>
      </c>
      <c r="D142" s="153" t="s">
        <v>246</v>
      </c>
      <c r="E142" s="154">
        <v>0.18</v>
      </c>
      <c r="F142" s="154">
        <f>ROUNDUP(E142*0.1,2)</f>
        <v>0.02</v>
      </c>
      <c r="G142" s="154">
        <f t="shared" si="81"/>
        <v>0.19999999999999998</v>
      </c>
      <c r="H142" s="154">
        <f t="shared" si="82"/>
        <v>0.22</v>
      </c>
      <c r="I142" s="154">
        <f t="shared" si="83"/>
        <v>0</v>
      </c>
      <c r="J142" s="220"/>
      <c r="K142" s="138">
        <v>110</v>
      </c>
      <c r="L142" s="159" t="s">
        <v>271</v>
      </c>
      <c r="M142" s="159">
        <v>3.71</v>
      </c>
      <c r="N142" s="178">
        <v>0.85</v>
      </c>
      <c r="O142" s="180">
        <f t="shared" si="84"/>
        <v>0.08</v>
      </c>
      <c r="P142" s="180">
        <f t="shared" si="85"/>
        <v>0.92999999999999994</v>
      </c>
      <c r="Q142" s="180">
        <f t="shared" si="89"/>
        <v>3.46</v>
      </c>
      <c r="R142" s="178">
        <f t="shared" si="86"/>
        <v>3.8099999999999996</v>
      </c>
      <c r="S142" s="155"/>
      <c r="T142" s="155"/>
      <c r="U142" s="159">
        <f t="shared" si="90"/>
        <v>0</v>
      </c>
      <c r="V142" s="154">
        <f t="shared" si="87"/>
        <v>0</v>
      </c>
      <c r="W142" s="273" t="str">
        <f t="shared" si="88"/>
        <v>INVENTORY PRICE DOESN'T MATCH SAGE</v>
      </c>
    </row>
    <row r="143" spans="1:23">
      <c r="A143" s="155"/>
      <c r="B143" s="153">
        <v>138</v>
      </c>
      <c r="C143" s="153" t="s">
        <v>287</v>
      </c>
      <c r="D143" s="153" t="s">
        <v>246</v>
      </c>
      <c r="E143" s="154">
        <v>0.36</v>
      </c>
      <c r="F143" s="154">
        <f>ROUNDUP(E143*0.1,2)</f>
        <v>0.04</v>
      </c>
      <c r="G143" s="154">
        <f t="shared" si="81"/>
        <v>0.39999999999999997</v>
      </c>
      <c r="H143" s="154">
        <f t="shared" si="82"/>
        <v>0.44</v>
      </c>
      <c r="I143" s="154">
        <f t="shared" si="83"/>
        <v>0</v>
      </c>
      <c r="J143" s="220"/>
      <c r="K143" s="138">
        <v>111</v>
      </c>
      <c r="L143" s="159" t="s">
        <v>272</v>
      </c>
      <c r="M143" s="159">
        <v>4.9000000000000004</v>
      </c>
      <c r="N143" s="178">
        <v>0.85</v>
      </c>
      <c r="O143" s="180">
        <f t="shared" si="84"/>
        <v>0.08</v>
      </c>
      <c r="P143" s="180">
        <f t="shared" si="85"/>
        <v>0.92999999999999994</v>
      </c>
      <c r="Q143" s="180">
        <f t="shared" si="89"/>
        <v>4.5599999999999996</v>
      </c>
      <c r="R143" s="178">
        <f t="shared" si="86"/>
        <v>5.0199999999999996</v>
      </c>
      <c r="S143" s="155"/>
      <c r="T143" s="155"/>
      <c r="U143" s="159">
        <f t="shared" si="90"/>
        <v>0</v>
      </c>
      <c r="V143" s="154">
        <f t="shared" si="87"/>
        <v>0</v>
      </c>
      <c r="W143" s="273" t="str">
        <f t="shared" si="88"/>
        <v>INVENTORY PRICE DOESN'T MATCH SAGE</v>
      </c>
    </row>
    <row r="144" spans="1:23">
      <c r="A144" s="155"/>
      <c r="B144" s="153">
        <v>139</v>
      </c>
      <c r="C144" s="153" t="s">
        <v>288</v>
      </c>
      <c r="D144" s="153" t="s">
        <v>246</v>
      </c>
      <c r="E144" s="154">
        <v>0.46</v>
      </c>
      <c r="F144" s="154">
        <f>ROUNDUP(E144*0.1,2)</f>
        <v>0.05</v>
      </c>
      <c r="G144" s="154">
        <f t="shared" si="81"/>
        <v>0.51</v>
      </c>
      <c r="H144" s="154">
        <f t="shared" si="82"/>
        <v>0.57000000000000006</v>
      </c>
      <c r="I144" s="154">
        <f t="shared" si="83"/>
        <v>0</v>
      </c>
      <c r="J144" s="220"/>
      <c r="K144" s="138">
        <v>113</v>
      </c>
      <c r="L144" s="181" t="s">
        <v>923</v>
      </c>
      <c r="M144" s="159">
        <v>6.6</v>
      </c>
      <c r="N144" s="178">
        <v>0.84</v>
      </c>
      <c r="O144" s="180">
        <f t="shared" si="84"/>
        <v>0.08</v>
      </c>
      <c r="P144" s="180">
        <f t="shared" si="85"/>
        <v>0.91999999999999993</v>
      </c>
      <c r="Q144" s="180">
        <f t="shared" si="89"/>
        <v>6.08</v>
      </c>
      <c r="R144" s="178">
        <f t="shared" si="86"/>
        <v>6.6899999999999995</v>
      </c>
      <c r="S144" s="155"/>
      <c r="T144" s="155"/>
      <c r="U144" s="159">
        <f t="shared" si="90"/>
        <v>0</v>
      </c>
      <c r="V144" s="154">
        <f t="shared" si="87"/>
        <v>0</v>
      </c>
      <c r="W144" s="273" t="str">
        <f t="shared" si="88"/>
        <v>INVENTORY PRICE DOESN'T MATCH SAGE</v>
      </c>
    </row>
    <row r="145" spans="1:23">
      <c r="A145" s="155"/>
      <c r="B145" s="153">
        <v>140</v>
      </c>
      <c r="C145" s="153" t="s">
        <v>289</v>
      </c>
      <c r="D145" s="153" t="s">
        <v>246</v>
      </c>
      <c r="E145" s="154">
        <v>0.91</v>
      </c>
      <c r="F145" s="154">
        <f>ROUNDUP(E145*0.1,2)</f>
        <v>9.9999999999999992E-2</v>
      </c>
      <c r="G145" s="154">
        <f t="shared" si="81"/>
        <v>1.01</v>
      </c>
      <c r="H145" s="154">
        <f t="shared" si="82"/>
        <v>1.1200000000000001</v>
      </c>
      <c r="I145" s="154">
        <f t="shared" si="83"/>
        <v>0</v>
      </c>
      <c r="J145" s="220"/>
      <c r="K145" s="138">
        <v>115</v>
      </c>
      <c r="L145" s="181" t="s">
        <v>924</v>
      </c>
      <c r="M145" s="159">
        <v>12.8</v>
      </c>
      <c r="N145" s="178">
        <v>0.84</v>
      </c>
      <c r="O145" s="180">
        <f t="shared" si="84"/>
        <v>0.08</v>
      </c>
      <c r="P145" s="180">
        <f t="shared" si="85"/>
        <v>0.91999999999999993</v>
      </c>
      <c r="Q145" s="180">
        <f t="shared" si="89"/>
        <v>11.78</v>
      </c>
      <c r="R145" s="178">
        <f t="shared" si="86"/>
        <v>12.959999999999999</v>
      </c>
      <c r="S145" s="155"/>
      <c r="T145" s="155"/>
      <c r="U145" s="159">
        <f t="shared" si="90"/>
        <v>0</v>
      </c>
      <c r="V145" s="154">
        <f t="shared" si="87"/>
        <v>0</v>
      </c>
      <c r="W145" s="273" t="str">
        <f t="shared" si="88"/>
        <v>INVENTORY PRICE DOESN'T MATCH SAGE</v>
      </c>
    </row>
    <row r="146" spans="1:23">
      <c r="A146" s="155"/>
      <c r="B146" s="153">
        <v>141</v>
      </c>
      <c r="C146" s="153" t="s">
        <v>290</v>
      </c>
      <c r="D146" s="153" t="s">
        <v>228</v>
      </c>
      <c r="E146" s="154">
        <v>7.85</v>
      </c>
      <c r="F146" s="154">
        <f t="shared" ref="F146:F209" si="91">ROUNDUP(E146*0.15,2)</f>
        <v>1.18</v>
      </c>
      <c r="G146" s="154">
        <f t="shared" si="81"/>
        <v>9.0299999999999994</v>
      </c>
      <c r="H146" s="154">
        <f t="shared" si="82"/>
        <v>9.94</v>
      </c>
      <c r="I146" s="154">
        <f t="shared" si="83"/>
        <v>0</v>
      </c>
      <c r="J146" s="220">
        <v>44949</v>
      </c>
      <c r="K146" s="138">
        <v>116</v>
      </c>
      <c r="L146" s="181" t="s">
        <v>925</v>
      </c>
      <c r="M146" s="159">
        <v>14.9</v>
      </c>
      <c r="N146" s="178">
        <v>0.84</v>
      </c>
      <c r="O146" s="180">
        <f t="shared" si="84"/>
        <v>0.08</v>
      </c>
      <c r="P146" s="180">
        <f t="shared" si="85"/>
        <v>0.91999999999999993</v>
      </c>
      <c r="Q146" s="180">
        <f t="shared" si="89"/>
        <v>13.709999999999999</v>
      </c>
      <c r="R146" s="178">
        <f t="shared" si="86"/>
        <v>15.09</v>
      </c>
      <c r="S146" s="155"/>
      <c r="T146" s="155"/>
      <c r="U146" s="159">
        <f t="shared" si="90"/>
        <v>0</v>
      </c>
      <c r="V146" s="154">
        <f t="shared" si="87"/>
        <v>0</v>
      </c>
      <c r="W146" s="273" t="str">
        <f t="shared" si="88"/>
        <v>INVENTORY PRICE DOESN'T MATCH SAGE</v>
      </c>
    </row>
    <row r="147" spans="1:23">
      <c r="A147" s="155"/>
      <c r="B147" s="153">
        <v>142</v>
      </c>
      <c r="C147" s="153" t="s">
        <v>291</v>
      </c>
      <c r="D147" s="153" t="s">
        <v>228</v>
      </c>
      <c r="E147" s="154">
        <v>9.43</v>
      </c>
      <c r="F147" s="154">
        <f t="shared" si="91"/>
        <v>1.42</v>
      </c>
      <c r="G147" s="154">
        <f t="shared" si="81"/>
        <v>10.85</v>
      </c>
      <c r="H147" s="154">
        <f t="shared" si="82"/>
        <v>11.94</v>
      </c>
      <c r="I147" s="154">
        <f t="shared" si="83"/>
        <v>0</v>
      </c>
      <c r="J147" s="220">
        <v>44949</v>
      </c>
    </row>
    <row r="148" spans="1:23">
      <c r="A148" s="155"/>
      <c r="B148" s="153">
        <v>143</v>
      </c>
      <c r="C148" s="153" t="s">
        <v>292</v>
      </c>
      <c r="D148" s="153" t="s">
        <v>228</v>
      </c>
      <c r="E148" s="154">
        <v>5.67</v>
      </c>
      <c r="F148" s="154">
        <f t="shared" si="91"/>
        <v>0.86</v>
      </c>
      <c r="G148" s="154">
        <f t="shared" si="81"/>
        <v>6.53</v>
      </c>
      <c r="H148" s="154">
        <f t="shared" si="82"/>
        <v>7.1899999999999995</v>
      </c>
      <c r="I148" s="154">
        <f t="shared" si="83"/>
        <v>0</v>
      </c>
      <c r="J148" s="220">
        <v>44949</v>
      </c>
    </row>
    <row r="149" spans="1:23" ht="15" thickBot="1">
      <c r="A149" s="155"/>
      <c r="B149" s="153">
        <v>144</v>
      </c>
      <c r="C149" s="153" t="s">
        <v>293</v>
      </c>
      <c r="D149" s="153" t="s">
        <v>228</v>
      </c>
      <c r="E149" s="154">
        <v>6.89</v>
      </c>
      <c r="F149" s="154">
        <f t="shared" si="91"/>
        <v>1.04</v>
      </c>
      <c r="G149" s="154">
        <f t="shared" si="81"/>
        <v>7.93</v>
      </c>
      <c r="H149" s="154">
        <f t="shared" si="82"/>
        <v>8.73</v>
      </c>
      <c r="I149" s="154">
        <f t="shared" si="83"/>
        <v>0</v>
      </c>
      <c r="J149" s="220">
        <v>44949</v>
      </c>
      <c r="L149" s="176" t="s">
        <v>1000</v>
      </c>
      <c r="M149" s="176"/>
      <c r="N149" s="176"/>
      <c r="O149" s="176"/>
      <c r="P149" s="138" t="s">
        <v>713</v>
      </c>
      <c r="Q149" s="179">
        <v>44628</v>
      </c>
      <c r="R149" s="213"/>
      <c r="S149" s="138" t="s">
        <v>918</v>
      </c>
      <c r="T149" s="138" t="s">
        <v>919</v>
      </c>
      <c r="U149" s="138" t="s">
        <v>12</v>
      </c>
    </row>
    <row r="150" spans="1:23">
      <c r="A150" s="155"/>
      <c r="B150" s="153">
        <v>145</v>
      </c>
      <c r="C150" s="153" t="s">
        <v>294</v>
      </c>
      <c r="D150" s="153" t="s">
        <v>228</v>
      </c>
      <c r="E150" s="154">
        <v>7.91</v>
      </c>
      <c r="F150" s="154">
        <f t="shared" si="91"/>
        <v>1.19</v>
      </c>
      <c r="G150" s="154">
        <f t="shared" si="81"/>
        <v>9.1</v>
      </c>
      <c r="H150" s="154">
        <f t="shared" si="82"/>
        <v>10.01</v>
      </c>
      <c r="I150" s="154">
        <f t="shared" si="83"/>
        <v>0</v>
      </c>
      <c r="J150" s="220">
        <v>44949</v>
      </c>
      <c r="K150" s="138" t="s">
        <v>690</v>
      </c>
      <c r="L150" s="138" t="s">
        <v>910</v>
      </c>
      <c r="M150" s="138" t="s">
        <v>911</v>
      </c>
      <c r="N150" s="138" t="s">
        <v>693</v>
      </c>
      <c r="O150" s="138" t="s">
        <v>712</v>
      </c>
      <c r="P150" s="177" t="s">
        <v>711</v>
      </c>
      <c r="Q150" s="177" t="s">
        <v>913</v>
      </c>
      <c r="R150" s="138" t="s">
        <v>694</v>
      </c>
      <c r="S150" s="216">
        <v>20</v>
      </c>
      <c r="T150" s="138" t="s">
        <v>915</v>
      </c>
      <c r="U150" s="138" t="s">
        <v>914</v>
      </c>
      <c r="V150" s="158" t="s">
        <v>12</v>
      </c>
    </row>
    <row r="151" spans="1:23">
      <c r="A151" s="155"/>
      <c r="B151" s="153">
        <v>146</v>
      </c>
      <c r="C151" s="153" t="s">
        <v>295</v>
      </c>
      <c r="D151" s="153" t="s">
        <v>228</v>
      </c>
      <c r="E151" s="154">
        <v>9.1</v>
      </c>
      <c r="F151" s="154">
        <f t="shared" si="91"/>
        <v>1.37</v>
      </c>
      <c r="G151" s="154">
        <f t="shared" si="81"/>
        <v>10.469999999999999</v>
      </c>
      <c r="H151" s="154">
        <f t="shared" si="82"/>
        <v>11.52</v>
      </c>
      <c r="I151" s="154">
        <f t="shared" si="83"/>
        <v>0</v>
      </c>
      <c r="J151" s="220">
        <v>44949</v>
      </c>
      <c r="K151" s="138">
        <v>350</v>
      </c>
      <c r="L151" s="159" t="s">
        <v>936</v>
      </c>
      <c r="M151" s="159">
        <v>0.8</v>
      </c>
      <c r="N151" s="178">
        <v>4.4000000000000004</v>
      </c>
      <c r="O151" s="180">
        <f t="shared" ref="O151:O160" si="92">ROUNDDOWN(N151*0.1,2)</f>
        <v>0.44</v>
      </c>
      <c r="P151" s="180">
        <f t="shared" ref="P151:P160" si="93">N151+O151</f>
        <v>4.8400000000000007</v>
      </c>
      <c r="Q151" s="180">
        <f t="shared" ref="Q151:Q160" si="94">ROUNDUP(P151*M151,2)</f>
        <v>3.88</v>
      </c>
      <c r="R151" s="178">
        <f t="shared" ref="R151:R160" si="95">ROUNDUP(Q151*1.1,2)</f>
        <v>4.2699999999999996</v>
      </c>
      <c r="S151" s="155"/>
      <c r="T151" s="155"/>
      <c r="U151" s="159">
        <f>($S$150*S151)+T151</f>
        <v>0</v>
      </c>
      <c r="V151" s="154">
        <f t="shared" ref="V151:V160" si="96">ROUNDUP(IF($C$2="Inventory Cost",P151*U151,Q151*U151),2)</f>
        <v>0</v>
      </c>
      <c r="W151" s="273" t="str">
        <f t="shared" ref="W151:W160" si="97">IF(ISNUMBER(K151),IF(VLOOKUP(K151,$B$6:$E$1302,4,FALSE)=Q151,"","INVENTORY PRICE DOESN'T MATCH SAGE"),"")</f>
        <v>INVENTORY PRICE DOESN'T MATCH SAGE</v>
      </c>
    </row>
    <row r="152" spans="1:23">
      <c r="A152" s="155"/>
      <c r="B152" s="153">
        <v>147</v>
      </c>
      <c r="C152" s="153" t="s">
        <v>296</v>
      </c>
      <c r="D152" s="153" t="s">
        <v>228</v>
      </c>
      <c r="E152" s="154">
        <v>10.199999999999999</v>
      </c>
      <c r="F152" s="154">
        <f t="shared" si="91"/>
        <v>1.53</v>
      </c>
      <c r="G152" s="154">
        <f t="shared" si="81"/>
        <v>11.729999999999999</v>
      </c>
      <c r="H152" s="154">
        <f t="shared" si="82"/>
        <v>12.91</v>
      </c>
      <c r="I152" s="154">
        <f t="shared" si="83"/>
        <v>0</v>
      </c>
      <c r="J152" s="220">
        <v>44949</v>
      </c>
      <c r="K152" s="138">
        <v>351</v>
      </c>
      <c r="L152" s="159" t="s">
        <v>937</v>
      </c>
      <c r="M152" s="159">
        <v>1.23</v>
      </c>
      <c r="N152" s="178">
        <v>4.4000000000000004</v>
      </c>
      <c r="O152" s="180">
        <f t="shared" si="92"/>
        <v>0.44</v>
      </c>
      <c r="P152" s="180">
        <f t="shared" si="93"/>
        <v>4.8400000000000007</v>
      </c>
      <c r="Q152" s="180">
        <f t="shared" si="94"/>
        <v>5.96</v>
      </c>
      <c r="R152" s="178">
        <f t="shared" si="95"/>
        <v>6.56</v>
      </c>
      <c r="S152" s="155"/>
      <c r="T152" s="155"/>
      <c r="U152" s="159">
        <f t="shared" ref="U152:U160" si="98">($S$150*S152)+T152</f>
        <v>0</v>
      </c>
      <c r="V152" s="154">
        <f t="shared" si="96"/>
        <v>0</v>
      </c>
      <c r="W152" s="273" t="str">
        <f t="shared" si="97"/>
        <v>INVENTORY PRICE DOESN'T MATCH SAGE</v>
      </c>
    </row>
    <row r="153" spans="1:23">
      <c r="A153" s="155"/>
      <c r="B153" s="153">
        <v>148</v>
      </c>
      <c r="C153" s="153" t="s">
        <v>297</v>
      </c>
      <c r="D153" s="153" t="s">
        <v>228</v>
      </c>
      <c r="E153" s="154">
        <v>13.82</v>
      </c>
      <c r="F153" s="154">
        <f t="shared" si="91"/>
        <v>2.0799999999999996</v>
      </c>
      <c r="G153" s="154">
        <f t="shared" si="81"/>
        <v>15.9</v>
      </c>
      <c r="H153" s="154">
        <f t="shared" si="82"/>
        <v>17.489999999999998</v>
      </c>
      <c r="I153" s="154">
        <f t="shared" si="83"/>
        <v>0</v>
      </c>
      <c r="J153" s="220">
        <v>44949</v>
      </c>
      <c r="K153" s="138">
        <v>352</v>
      </c>
      <c r="L153" s="159" t="s">
        <v>938</v>
      </c>
      <c r="M153" s="159">
        <v>1.8</v>
      </c>
      <c r="N153" s="178">
        <v>4.4000000000000004</v>
      </c>
      <c r="O153" s="180">
        <f t="shared" si="92"/>
        <v>0.44</v>
      </c>
      <c r="P153" s="180">
        <f t="shared" si="93"/>
        <v>4.8400000000000007</v>
      </c>
      <c r="Q153" s="180">
        <f t="shared" si="94"/>
        <v>8.7200000000000006</v>
      </c>
      <c r="R153" s="178">
        <f t="shared" si="95"/>
        <v>9.6</v>
      </c>
      <c r="S153" s="155"/>
      <c r="T153" s="155"/>
      <c r="U153" s="159">
        <f t="shared" si="98"/>
        <v>0</v>
      </c>
      <c r="V153" s="154">
        <f t="shared" si="96"/>
        <v>0</v>
      </c>
      <c r="W153" s="273" t="str">
        <f t="shared" si="97"/>
        <v>INVENTORY PRICE DOESN'T MATCH SAGE</v>
      </c>
    </row>
    <row r="154" spans="1:23">
      <c r="A154" s="155"/>
      <c r="B154" s="153">
        <v>149</v>
      </c>
      <c r="C154" s="153" t="s">
        <v>298</v>
      </c>
      <c r="D154" s="153" t="s">
        <v>228</v>
      </c>
      <c r="E154" s="154">
        <v>16.93</v>
      </c>
      <c r="F154" s="154">
        <f t="shared" si="91"/>
        <v>2.5399999999999996</v>
      </c>
      <c r="G154" s="154">
        <f t="shared" si="81"/>
        <v>19.47</v>
      </c>
      <c r="H154" s="154">
        <f t="shared" si="82"/>
        <v>21.42</v>
      </c>
      <c r="I154" s="154">
        <f t="shared" si="83"/>
        <v>0</v>
      </c>
      <c r="J154" s="220">
        <v>44949</v>
      </c>
      <c r="K154" s="138">
        <v>353</v>
      </c>
      <c r="L154" s="159" t="s">
        <v>939</v>
      </c>
      <c r="M154" s="159">
        <v>1.65</v>
      </c>
      <c r="N154" s="178">
        <v>3.75</v>
      </c>
      <c r="O154" s="180">
        <f t="shared" si="92"/>
        <v>0.37</v>
      </c>
      <c r="P154" s="180">
        <f t="shared" si="93"/>
        <v>4.12</v>
      </c>
      <c r="Q154" s="180">
        <f t="shared" si="94"/>
        <v>6.8</v>
      </c>
      <c r="R154" s="178">
        <f t="shared" si="95"/>
        <v>7.48</v>
      </c>
      <c r="S154" s="155"/>
      <c r="T154" s="155"/>
      <c r="U154" s="159">
        <f t="shared" si="98"/>
        <v>0</v>
      </c>
      <c r="V154" s="154">
        <f t="shared" si="96"/>
        <v>0</v>
      </c>
      <c r="W154" s="273" t="str">
        <f t="shared" si="97"/>
        <v>INVENTORY PRICE DOESN'T MATCH SAGE</v>
      </c>
    </row>
    <row r="155" spans="1:23">
      <c r="A155" s="155"/>
      <c r="B155" s="153">
        <v>150</v>
      </c>
      <c r="C155" s="153" t="s">
        <v>299</v>
      </c>
      <c r="D155" s="153" t="s">
        <v>228</v>
      </c>
      <c r="E155" s="154">
        <v>20.21</v>
      </c>
      <c r="F155" s="154">
        <f t="shared" si="91"/>
        <v>3.0399999999999996</v>
      </c>
      <c r="G155" s="154">
        <f t="shared" si="81"/>
        <v>23.25</v>
      </c>
      <c r="H155" s="154">
        <f t="shared" si="82"/>
        <v>25.580000000000002</v>
      </c>
      <c r="I155" s="154">
        <f t="shared" si="83"/>
        <v>0</v>
      </c>
      <c r="J155" s="220">
        <v>44949</v>
      </c>
      <c r="K155" s="138">
        <v>354</v>
      </c>
      <c r="L155" s="159" t="s">
        <v>940</v>
      </c>
      <c r="M155" s="159">
        <v>2.44</v>
      </c>
      <c r="N155" s="178">
        <v>4.1100000000000003</v>
      </c>
      <c r="O155" s="180">
        <f t="shared" si="92"/>
        <v>0.41</v>
      </c>
      <c r="P155" s="180">
        <f t="shared" si="93"/>
        <v>4.5200000000000005</v>
      </c>
      <c r="Q155" s="180">
        <f t="shared" si="94"/>
        <v>11.03</v>
      </c>
      <c r="R155" s="178">
        <f t="shared" si="95"/>
        <v>12.14</v>
      </c>
      <c r="S155" s="155"/>
      <c r="T155" s="155"/>
      <c r="U155" s="159">
        <f t="shared" si="98"/>
        <v>0</v>
      </c>
      <c r="V155" s="154">
        <f t="shared" si="96"/>
        <v>0</v>
      </c>
      <c r="W155" s="273" t="str">
        <f t="shared" si="97"/>
        <v>INVENTORY PRICE DOESN'T MATCH SAGE</v>
      </c>
    </row>
    <row r="156" spans="1:23">
      <c r="A156" s="155"/>
      <c r="B156" s="153">
        <v>151</v>
      </c>
      <c r="C156" s="153" t="s">
        <v>300</v>
      </c>
      <c r="D156" s="153" t="s">
        <v>228</v>
      </c>
      <c r="E156" s="154">
        <v>21.75</v>
      </c>
      <c r="F156" s="154">
        <f t="shared" si="91"/>
        <v>3.2699999999999996</v>
      </c>
      <c r="G156" s="154">
        <f t="shared" si="81"/>
        <v>25.02</v>
      </c>
      <c r="H156" s="154">
        <f t="shared" si="82"/>
        <v>27.53</v>
      </c>
      <c r="I156" s="154">
        <f t="shared" si="83"/>
        <v>0</v>
      </c>
      <c r="J156" s="220">
        <v>44949</v>
      </c>
      <c r="K156" s="138">
        <v>355</v>
      </c>
      <c r="L156" s="159" t="s">
        <v>941</v>
      </c>
      <c r="M156" s="159">
        <v>3.19</v>
      </c>
      <c r="N156" s="178">
        <v>4.4000000000000004</v>
      </c>
      <c r="O156" s="180">
        <f t="shared" si="92"/>
        <v>0.44</v>
      </c>
      <c r="P156" s="180">
        <f t="shared" si="93"/>
        <v>4.8400000000000007</v>
      </c>
      <c r="Q156" s="180">
        <f t="shared" si="94"/>
        <v>15.44</v>
      </c>
      <c r="R156" s="178">
        <f t="shared" si="95"/>
        <v>16.990000000000002</v>
      </c>
      <c r="S156" s="155"/>
      <c r="T156" s="155"/>
      <c r="U156" s="159">
        <f t="shared" si="98"/>
        <v>0</v>
      </c>
      <c r="V156" s="154">
        <f t="shared" si="96"/>
        <v>0</v>
      </c>
      <c r="W156" s="273" t="str">
        <f t="shared" si="97"/>
        <v>INVENTORY PRICE DOESN'T MATCH SAGE</v>
      </c>
    </row>
    <row r="157" spans="1:23">
      <c r="A157" s="155"/>
      <c r="B157" s="153">
        <v>152</v>
      </c>
      <c r="C157" s="153" t="s">
        <v>301</v>
      </c>
      <c r="D157" s="153" t="s">
        <v>228</v>
      </c>
      <c r="E157" s="154">
        <v>23.72</v>
      </c>
      <c r="F157" s="154">
        <f t="shared" si="91"/>
        <v>3.5599999999999996</v>
      </c>
      <c r="G157" s="154">
        <f t="shared" si="81"/>
        <v>27.279999999999998</v>
      </c>
      <c r="H157" s="154">
        <f t="shared" si="82"/>
        <v>30.01</v>
      </c>
      <c r="I157" s="154">
        <f t="shared" si="83"/>
        <v>0</v>
      </c>
      <c r="J157" s="220">
        <v>44949</v>
      </c>
      <c r="K157" s="138">
        <v>356</v>
      </c>
      <c r="L157" s="159" t="s">
        <v>942</v>
      </c>
      <c r="M157" s="159">
        <v>3.71</v>
      </c>
      <c r="N157" s="178">
        <v>4.4000000000000004</v>
      </c>
      <c r="O157" s="180">
        <f t="shared" si="92"/>
        <v>0.44</v>
      </c>
      <c r="P157" s="180">
        <f t="shared" si="93"/>
        <v>4.8400000000000007</v>
      </c>
      <c r="Q157" s="180">
        <f t="shared" si="94"/>
        <v>17.96</v>
      </c>
      <c r="R157" s="178">
        <f t="shared" si="95"/>
        <v>19.760000000000002</v>
      </c>
      <c r="S157" s="155"/>
      <c r="T157" s="155"/>
      <c r="U157" s="159">
        <f t="shared" si="98"/>
        <v>0</v>
      </c>
      <c r="V157" s="154">
        <f t="shared" si="96"/>
        <v>0</v>
      </c>
      <c r="W157" s="273" t="str">
        <f t="shared" si="97"/>
        <v>INVENTORY PRICE DOESN'T MATCH SAGE</v>
      </c>
    </row>
    <row r="158" spans="1:23">
      <c r="A158" s="155"/>
      <c r="B158" s="153">
        <v>153</v>
      </c>
      <c r="C158" s="153" t="s">
        <v>302</v>
      </c>
      <c r="D158" s="153" t="s">
        <v>228</v>
      </c>
      <c r="E158" s="154">
        <v>25.03</v>
      </c>
      <c r="F158" s="154">
        <f t="shared" si="91"/>
        <v>3.76</v>
      </c>
      <c r="G158" s="154">
        <f t="shared" si="81"/>
        <v>28.79</v>
      </c>
      <c r="H158" s="154">
        <f t="shared" si="82"/>
        <v>31.67</v>
      </c>
      <c r="I158" s="154">
        <f t="shared" si="83"/>
        <v>0</v>
      </c>
      <c r="J158" s="220">
        <v>44949</v>
      </c>
      <c r="K158" s="138">
        <v>357</v>
      </c>
      <c r="L158" s="159" t="s">
        <v>943</v>
      </c>
      <c r="M158" s="159">
        <v>4.9000000000000004</v>
      </c>
      <c r="N158" s="178">
        <v>4.4000000000000004</v>
      </c>
      <c r="O158" s="180">
        <f t="shared" si="92"/>
        <v>0.44</v>
      </c>
      <c r="P158" s="180">
        <f t="shared" si="93"/>
        <v>4.8400000000000007</v>
      </c>
      <c r="Q158" s="180">
        <f t="shared" si="94"/>
        <v>23.720000000000002</v>
      </c>
      <c r="R158" s="178">
        <f t="shared" si="95"/>
        <v>26.1</v>
      </c>
      <c r="S158" s="155"/>
      <c r="T158" s="155"/>
      <c r="U158" s="159">
        <f t="shared" si="98"/>
        <v>0</v>
      </c>
      <c r="V158" s="154">
        <f t="shared" si="96"/>
        <v>0</v>
      </c>
      <c r="W158" s="273" t="str">
        <f t="shared" si="97"/>
        <v>INVENTORY PRICE DOESN'T MATCH SAGE</v>
      </c>
    </row>
    <row r="159" spans="1:23">
      <c r="A159" s="155"/>
      <c r="B159" s="153">
        <v>154</v>
      </c>
      <c r="C159" s="153" t="s">
        <v>303</v>
      </c>
      <c r="D159" s="153" t="s">
        <v>228</v>
      </c>
      <c r="E159" s="154">
        <v>2.59</v>
      </c>
      <c r="F159" s="154">
        <f t="shared" si="91"/>
        <v>0.39</v>
      </c>
      <c r="G159" s="154">
        <f t="shared" si="81"/>
        <v>2.98</v>
      </c>
      <c r="H159" s="154">
        <f t="shared" si="82"/>
        <v>3.28</v>
      </c>
      <c r="I159" s="154">
        <f t="shared" si="83"/>
        <v>0</v>
      </c>
      <c r="J159" s="220">
        <v>44476</v>
      </c>
      <c r="K159" s="138">
        <v>358</v>
      </c>
      <c r="L159" s="159" t="s">
        <v>944</v>
      </c>
      <c r="M159" s="159">
        <v>6.6</v>
      </c>
      <c r="N159" s="178">
        <v>4.4000000000000004</v>
      </c>
      <c r="O159" s="180">
        <f t="shared" si="92"/>
        <v>0.44</v>
      </c>
      <c r="P159" s="180">
        <f t="shared" si="93"/>
        <v>4.8400000000000007</v>
      </c>
      <c r="Q159" s="180">
        <f t="shared" si="94"/>
        <v>31.950000000000003</v>
      </c>
      <c r="R159" s="178">
        <f t="shared" si="95"/>
        <v>35.15</v>
      </c>
      <c r="S159" s="155"/>
      <c r="T159" s="155"/>
      <c r="U159" s="159">
        <f t="shared" si="98"/>
        <v>0</v>
      </c>
      <c r="V159" s="154">
        <f t="shared" si="96"/>
        <v>0</v>
      </c>
      <c r="W159" s="273" t="str">
        <f t="shared" si="97"/>
        <v>INVENTORY PRICE DOESN'T MATCH SAGE</v>
      </c>
    </row>
    <row r="160" spans="1:23">
      <c r="A160" s="155"/>
      <c r="B160" s="153">
        <v>155</v>
      </c>
      <c r="C160" s="153" t="s">
        <v>304</v>
      </c>
      <c r="D160" s="153" t="s">
        <v>225</v>
      </c>
      <c r="E160" s="154">
        <v>0.38</v>
      </c>
      <c r="F160" s="154">
        <f t="shared" si="91"/>
        <v>6.0000000000000005E-2</v>
      </c>
      <c r="G160" s="154">
        <f t="shared" si="81"/>
        <v>0.44</v>
      </c>
      <c r="H160" s="154">
        <f t="shared" si="82"/>
        <v>0.49</v>
      </c>
      <c r="I160" s="154">
        <f t="shared" si="83"/>
        <v>0</v>
      </c>
      <c r="J160" s="220"/>
      <c r="K160" s="138">
        <v>359</v>
      </c>
      <c r="L160" s="159" t="s">
        <v>945</v>
      </c>
      <c r="M160" s="159">
        <v>14.9</v>
      </c>
      <c r="N160" s="178">
        <v>4.4000000000000004</v>
      </c>
      <c r="O160" s="180">
        <f t="shared" si="92"/>
        <v>0.44</v>
      </c>
      <c r="P160" s="180">
        <f t="shared" si="93"/>
        <v>4.8400000000000007</v>
      </c>
      <c r="Q160" s="180">
        <f t="shared" si="94"/>
        <v>72.12</v>
      </c>
      <c r="R160" s="178">
        <f t="shared" si="95"/>
        <v>79.34</v>
      </c>
      <c r="S160" s="155"/>
      <c r="T160" s="155"/>
      <c r="U160" s="159">
        <f t="shared" si="98"/>
        <v>0</v>
      </c>
      <c r="V160" s="154">
        <f t="shared" si="96"/>
        <v>0</v>
      </c>
      <c r="W160" s="273" t="str">
        <f t="shared" si="97"/>
        <v>INVENTORY PRICE DOESN'T MATCH SAGE</v>
      </c>
    </row>
    <row r="161" spans="1:23">
      <c r="A161" s="155"/>
      <c r="B161" s="153">
        <v>156</v>
      </c>
      <c r="C161" s="153" t="s">
        <v>305</v>
      </c>
      <c r="D161" s="153" t="s">
        <v>225</v>
      </c>
      <c r="E161" s="154">
        <v>0.75</v>
      </c>
      <c r="F161" s="154">
        <f t="shared" si="91"/>
        <v>0.12</v>
      </c>
      <c r="G161" s="154">
        <f t="shared" si="81"/>
        <v>0.87</v>
      </c>
      <c r="H161" s="154">
        <f t="shared" si="82"/>
        <v>0.96</v>
      </c>
      <c r="I161" s="154">
        <f t="shared" si="83"/>
        <v>0</v>
      </c>
      <c r="J161" s="220"/>
    </row>
    <row r="162" spans="1:23">
      <c r="A162" s="155"/>
      <c r="B162" s="153">
        <v>157</v>
      </c>
      <c r="C162" s="153" t="s">
        <v>306</v>
      </c>
      <c r="D162" s="153" t="s">
        <v>225</v>
      </c>
      <c r="E162" s="154">
        <v>2.5</v>
      </c>
      <c r="F162" s="154">
        <f t="shared" si="91"/>
        <v>0.38</v>
      </c>
      <c r="G162" s="154">
        <f t="shared" si="81"/>
        <v>2.88</v>
      </c>
      <c r="H162" s="154">
        <f t="shared" si="82"/>
        <v>3.17</v>
      </c>
      <c r="I162" s="154">
        <f t="shared" si="83"/>
        <v>0</v>
      </c>
      <c r="J162" s="220"/>
    </row>
    <row r="163" spans="1:23" ht="15" thickBot="1">
      <c r="A163" s="155"/>
      <c r="B163" s="153">
        <v>158</v>
      </c>
      <c r="C163" s="153" t="s">
        <v>307</v>
      </c>
      <c r="D163" s="153" t="s">
        <v>228</v>
      </c>
      <c r="E163" s="154">
        <v>2.79</v>
      </c>
      <c r="F163" s="154">
        <f t="shared" si="91"/>
        <v>0.42</v>
      </c>
      <c r="G163" s="154">
        <f t="shared" si="81"/>
        <v>3.21</v>
      </c>
      <c r="H163" s="154">
        <f t="shared" si="82"/>
        <v>3.5399999999999996</v>
      </c>
      <c r="I163" s="154">
        <f t="shared" si="83"/>
        <v>0</v>
      </c>
      <c r="J163" s="220"/>
      <c r="L163" s="176" t="s">
        <v>1001</v>
      </c>
      <c r="M163" s="176"/>
      <c r="N163" s="176"/>
      <c r="O163" s="176"/>
      <c r="P163" s="138" t="s">
        <v>713</v>
      </c>
      <c r="Q163" s="179">
        <v>44629</v>
      </c>
      <c r="R163" s="213"/>
      <c r="S163" s="138" t="s">
        <v>918</v>
      </c>
      <c r="T163" s="138" t="s">
        <v>919</v>
      </c>
      <c r="U163" s="138" t="s">
        <v>12</v>
      </c>
    </row>
    <row r="164" spans="1:23">
      <c r="A164" s="155"/>
      <c r="B164" s="153">
        <v>159</v>
      </c>
      <c r="C164" s="153" t="s">
        <v>308</v>
      </c>
      <c r="D164" s="153" t="s">
        <v>228</v>
      </c>
      <c r="E164" s="154">
        <v>3.47</v>
      </c>
      <c r="F164" s="154">
        <f t="shared" si="91"/>
        <v>0.53</v>
      </c>
      <c r="G164" s="154">
        <f t="shared" si="81"/>
        <v>4</v>
      </c>
      <c r="H164" s="154">
        <f t="shared" si="82"/>
        <v>4.4000000000000004</v>
      </c>
      <c r="I164" s="154">
        <f t="shared" si="83"/>
        <v>0</v>
      </c>
      <c r="J164" s="220"/>
      <c r="K164" s="138" t="s">
        <v>690</v>
      </c>
      <c r="L164" s="138" t="s">
        <v>910</v>
      </c>
      <c r="M164" s="138" t="s">
        <v>911</v>
      </c>
      <c r="N164" s="138" t="s">
        <v>693</v>
      </c>
      <c r="O164" s="138" t="s">
        <v>712</v>
      </c>
      <c r="P164" s="177" t="s">
        <v>711</v>
      </c>
      <c r="Q164" s="177" t="s">
        <v>913</v>
      </c>
      <c r="R164" s="138" t="s">
        <v>694</v>
      </c>
      <c r="S164" s="216">
        <v>20</v>
      </c>
      <c r="T164" s="138" t="s">
        <v>915</v>
      </c>
      <c r="U164" s="138" t="s">
        <v>914</v>
      </c>
      <c r="V164" s="158" t="s">
        <v>12</v>
      </c>
    </row>
    <row r="165" spans="1:23">
      <c r="A165" s="155"/>
      <c r="B165" s="153">
        <v>160</v>
      </c>
      <c r="C165" s="153" t="s">
        <v>309</v>
      </c>
      <c r="D165" s="153" t="s">
        <v>228</v>
      </c>
      <c r="E165" s="154">
        <v>3.57</v>
      </c>
      <c r="F165" s="154">
        <f t="shared" si="91"/>
        <v>0.54</v>
      </c>
      <c r="G165" s="154">
        <f t="shared" si="81"/>
        <v>4.1099999999999994</v>
      </c>
      <c r="H165" s="154">
        <f t="shared" si="82"/>
        <v>4.5299999999999994</v>
      </c>
      <c r="I165" s="154">
        <f t="shared" si="83"/>
        <v>0</v>
      </c>
      <c r="J165" s="220"/>
      <c r="K165" s="138">
        <v>360</v>
      </c>
      <c r="L165" s="159" t="s">
        <v>926</v>
      </c>
      <c r="M165" s="159">
        <v>0.28199999999999997</v>
      </c>
      <c r="N165" s="178">
        <v>4</v>
      </c>
      <c r="O165" s="180">
        <f t="shared" ref="O165:O174" si="99">ROUNDDOWN(N165*0.1,2)</f>
        <v>0.4</v>
      </c>
      <c r="P165" s="180">
        <f t="shared" ref="P165:P174" si="100">N165+O165</f>
        <v>4.4000000000000004</v>
      </c>
      <c r="Q165" s="180">
        <f t="shared" ref="Q165:Q174" si="101">ROUNDUP(P165*M165,2)</f>
        <v>1.25</v>
      </c>
      <c r="R165" s="178">
        <f t="shared" ref="R165:R174" si="102">ROUNDUP(Q165*1.1,2)</f>
        <v>1.3800000000000001</v>
      </c>
      <c r="S165" s="155"/>
      <c r="T165" s="155"/>
      <c r="U165" s="159">
        <f>($S$164*S165)+T165</f>
        <v>0</v>
      </c>
      <c r="V165" s="154">
        <f t="shared" ref="V165:V174" si="103">ROUNDUP(IF($C$2="Inventory Cost",P165*U165,Q165*U165),2)</f>
        <v>0</v>
      </c>
      <c r="W165" s="273" t="str">
        <f t="shared" ref="W165:W174" si="104">IF(ISNUMBER(K165),IF(VLOOKUP(K165,$B$6:$E$1302,4,FALSE)=Q165,"","INVENTORY PRICE DOESN'T MATCH SAGE"),"")</f>
        <v>INVENTORY PRICE DOESN'T MATCH SAGE</v>
      </c>
    </row>
    <row r="166" spans="1:23">
      <c r="A166" s="155"/>
      <c r="B166" s="153">
        <v>161</v>
      </c>
      <c r="C166" s="153" t="s">
        <v>310</v>
      </c>
      <c r="D166" s="153" t="s">
        <v>228</v>
      </c>
      <c r="E166" s="154">
        <v>9.7799999999999994</v>
      </c>
      <c r="F166" s="154">
        <f t="shared" si="91"/>
        <v>1.47</v>
      </c>
      <c r="G166" s="154">
        <f t="shared" si="81"/>
        <v>11.25</v>
      </c>
      <c r="H166" s="154">
        <f t="shared" si="82"/>
        <v>12.379999999999999</v>
      </c>
      <c r="I166" s="154">
        <f t="shared" si="83"/>
        <v>0</v>
      </c>
      <c r="J166" s="220">
        <v>44476</v>
      </c>
      <c r="K166" s="138">
        <v>361</v>
      </c>
      <c r="L166" s="159" t="s">
        <v>927</v>
      </c>
      <c r="M166" s="159">
        <v>0.43099999999999999</v>
      </c>
      <c r="N166" s="180">
        <v>4</v>
      </c>
      <c r="O166" s="180">
        <f t="shared" si="99"/>
        <v>0.4</v>
      </c>
      <c r="P166" s="180">
        <f t="shared" si="100"/>
        <v>4.4000000000000004</v>
      </c>
      <c r="Q166" s="180">
        <f t="shared" si="101"/>
        <v>1.9</v>
      </c>
      <c r="R166" s="178">
        <f t="shared" si="102"/>
        <v>2.09</v>
      </c>
      <c r="S166" s="155"/>
      <c r="T166" s="155"/>
      <c r="U166" s="159">
        <f t="shared" ref="U166:U174" si="105">($S$164*S166)+T166</f>
        <v>0</v>
      </c>
      <c r="V166" s="154">
        <f t="shared" si="103"/>
        <v>0</v>
      </c>
      <c r="W166" s="273" t="str">
        <f t="shared" si="104"/>
        <v>INVENTORY PRICE DOESN'T MATCH SAGE</v>
      </c>
    </row>
    <row r="167" spans="1:23">
      <c r="A167" s="155"/>
      <c r="B167" s="153">
        <v>162</v>
      </c>
      <c r="C167" s="153" t="s">
        <v>311</v>
      </c>
      <c r="D167" s="153" t="s">
        <v>312</v>
      </c>
      <c r="E167" s="154">
        <v>34.340000000000003</v>
      </c>
      <c r="F167" s="154">
        <f t="shared" si="91"/>
        <v>5.16</v>
      </c>
      <c r="G167" s="154">
        <f t="shared" si="81"/>
        <v>39.5</v>
      </c>
      <c r="H167" s="154">
        <f t="shared" si="82"/>
        <v>43.45</v>
      </c>
      <c r="I167" s="154">
        <f t="shared" si="83"/>
        <v>0</v>
      </c>
      <c r="J167" s="220">
        <v>46066</v>
      </c>
      <c r="K167" s="138">
        <v>362</v>
      </c>
      <c r="L167" s="159" t="s">
        <v>928</v>
      </c>
      <c r="M167" s="159">
        <v>0.63200000000000001</v>
      </c>
      <c r="N167" s="180">
        <v>3.95</v>
      </c>
      <c r="O167" s="180">
        <f t="shared" si="99"/>
        <v>0.39</v>
      </c>
      <c r="P167" s="180">
        <f t="shared" si="100"/>
        <v>4.34</v>
      </c>
      <c r="Q167" s="180">
        <f t="shared" si="101"/>
        <v>2.75</v>
      </c>
      <c r="R167" s="178">
        <f t="shared" si="102"/>
        <v>3.03</v>
      </c>
      <c r="S167" s="155"/>
      <c r="T167" s="155"/>
      <c r="U167" s="159">
        <f t="shared" si="105"/>
        <v>0</v>
      </c>
      <c r="V167" s="154">
        <f t="shared" si="103"/>
        <v>0</v>
      </c>
      <c r="W167" s="273" t="str">
        <f t="shared" si="104"/>
        <v>INVENTORY PRICE DOESN'T MATCH SAGE</v>
      </c>
    </row>
    <row r="168" spans="1:23">
      <c r="A168" s="155"/>
      <c r="B168" s="153">
        <v>163</v>
      </c>
      <c r="C168" s="153" t="s">
        <v>313</v>
      </c>
      <c r="D168" s="153" t="s">
        <v>228</v>
      </c>
      <c r="E168" s="154">
        <v>2.17</v>
      </c>
      <c r="F168" s="154">
        <f t="shared" si="91"/>
        <v>0.33</v>
      </c>
      <c r="G168" s="154">
        <f t="shared" si="81"/>
        <v>2.5</v>
      </c>
      <c r="H168" s="154">
        <f t="shared" si="82"/>
        <v>2.75</v>
      </c>
      <c r="I168" s="154">
        <f t="shared" si="83"/>
        <v>0</v>
      </c>
      <c r="J168" s="220">
        <v>44476</v>
      </c>
      <c r="K168" s="138">
        <v>363</v>
      </c>
      <c r="L168" s="159" t="s">
        <v>929</v>
      </c>
      <c r="M168" s="159">
        <v>0.58099999999999996</v>
      </c>
      <c r="N168" s="178">
        <v>3.95</v>
      </c>
      <c r="O168" s="180">
        <f t="shared" si="99"/>
        <v>0.39</v>
      </c>
      <c r="P168" s="180">
        <f t="shared" si="100"/>
        <v>4.34</v>
      </c>
      <c r="Q168" s="180">
        <f t="shared" si="101"/>
        <v>2.5299999999999998</v>
      </c>
      <c r="R168" s="178">
        <f t="shared" si="102"/>
        <v>2.7899999999999996</v>
      </c>
      <c r="S168" s="155"/>
      <c r="T168" s="155"/>
      <c r="U168" s="159">
        <f t="shared" si="105"/>
        <v>0</v>
      </c>
      <c r="V168" s="154">
        <f t="shared" si="103"/>
        <v>0</v>
      </c>
      <c r="W168" s="273" t="str">
        <f t="shared" si="104"/>
        <v>INVENTORY PRICE DOESN'T MATCH SAGE</v>
      </c>
    </row>
    <row r="169" spans="1:23">
      <c r="A169" s="155"/>
      <c r="B169" s="153">
        <v>164</v>
      </c>
      <c r="C169" s="153" t="s">
        <v>314</v>
      </c>
      <c r="D169" s="153" t="s">
        <v>228</v>
      </c>
      <c r="E169" s="154">
        <v>3.79</v>
      </c>
      <c r="F169" s="154">
        <f t="shared" si="91"/>
        <v>0.57000000000000006</v>
      </c>
      <c r="G169" s="154">
        <f t="shared" si="81"/>
        <v>4.3600000000000003</v>
      </c>
      <c r="H169" s="154">
        <f t="shared" si="82"/>
        <v>4.8</v>
      </c>
      <c r="I169" s="154">
        <f t="shared" si="83"/>
        <v>0</v>
      </c>
      <c r="J169" s="220"/>
      <c r="K169" s="138">
        <v>364</v>
      </c>
      <c r="L169" s="159" t="s">
        <v>930</v>
      </c>
      <c r="M169" s="159">
        <v>0.86799999999999999</v>
      </c>
      <c r="N169" s="178">
        <v>3.95</v>
      </c>
      <c r="O169" s="180">
        <f t="shared" si="99"/>
        <v>0.39</v>
      </c>
      <c r="P169" s="180">
        <f t="shared" si="100"/>
        <v>4.34</v>
      </c>
      <c r="Q169" s="180">
        <f t="shared" si="101"/>
        <v>3.7699999999999996</v>
      </c>
      <c r="R169" s="178">
        <f t="shared" si="102"/>
        <v>4.1499999999999995</v>
      </c>
      <c r="S169" s="155"/>
      <c r="T169" s="155"/>
      <c r="U169" s="159">
        <f t="shared" si="105"/>
        <v>0</v>
      </c>
      <c r="V169" s="154">
        <f t="shared" si="103"/>
        <v>0</v>
      </c>
      <c r="W169" s="273" t="str">
        <f t="shared" si="104"/>
        <v>INVENTORY PRICE DOESN'T MATCH SAGE</v>
      </c>
    </row>
    <row r="170" spans="1:23">
      <c r="A170" s="155"/>
      <c r="B170" s="153">
        <v>165</v>
      </c>
      <c r="C170" s="153" t="s">
        <v>315</v>
      </c>
      <c r="D170" s="153" t="s">
        <v>228</v>
      </c>
      <c r="E170" s="154">
        <v>3.79</v>
      </c>
      <c r="F170" s="154">
        <f t="shared" si="91"/>
        <v>0.57000000000000006</v>
      </c>
      <c r="G170" s="154">
        <f t="shared" si="81"/>
        <v>4.3600000000000003</v>
      </c>
      <c r="H170" s="154">
        <f t="shared" si="82"/>
        <v>4.8</v>
      </c>
      <c r="I170" s="154">
        <f t="shared" si="83"/>
        <v>0</v>
      </c>
      <c r="J170" s="220">
        <v>44476</v>
      </c>
      <c r="K170" s="138">
        <v>365</v>
      </c>
      <c r="L170" s="159" t="s">
        <v>931</v>
      </c>
      <c r="M170" s="159">
        <v>1.133</v>
      </c>
      <c r="N170" s="178">
        <v>3.95</v>
      </c>
      <c r="O170" s="180">
        <f t="shared" si="99"/>
        <v>0.39</v>
      </c>
      <c r="P170" s="180">
        <f t="shared" si="100"/>
        <v>4.34</v>
      </c>
      <c r="Q170" s="180">
        <f t="shared" si="101"/>
        <v>4.92</v>
      </c>
      <c r="R170" s="178">
        <f t="shared" si="102"/>
        <v>5.42</v>
      </c>
      <c r="S170" s="155"/>
      <c r="T170" s="155"/>
      <c r="U170" s="159">
        <f t="shared" si="105"/>
        <v>0</v>
      </c>
      <c r="V170" s="154">
        <f t="shared" si="103"/>
        <v>0</v>
      </c>
      <c r="W170" s="273" t="str">
        <f t="shared" si="104"/>
        <v>INVENTORY PRICE DOESN'T MATCH SAGE</v>
      </c>
    </row>
    <row r="171" spans="1:23">
      <c r="A171" s="155"/>
      <c r="B171" s="153">
        <v>166</v>
      </c>
      <c r="C171" s="153" t="s">
        <v>316</v>
      </c>
      <c r="D171" s="153" t="s">
        <v>228</v>
      </c>
      <c r="E171" s="154">
        <v>0.04</v>
      </c>
      <c r="F171" s="154">
        <f t="shared" si="91"/>
        <v>0.01</v>
      </c>
      <c r="G171" s="154">
        <f t="shared" si="81"/>
        <v>0.05</v>
      </c>
      <c r="H171" s="154">
        <f t="shared" si="82"/>
        <v>6.0000000000000005E-2</v>
      </c>
      <c r="I171" s="154">
        <f t="shared" si="83"/>
        <v>0</v>
      </c>
      <c r="J171" s="220"/>
      <c r="K171" s="138">
        <v>366</v>
      </c>
      <c r="L171" s="159" t="s">
        <v>932</v>
      </c>
      <c r="M171" s="159">
        <v>1.28</v>
      </c>
      <c r="N171" s="178">
        <v>3.95</v>
      </c>
      <c r="O171" s="180">
        <f t="shared" si="99"/>
        <v>0.39</v>
      </c>
      <c r="P171" s="180">
        <f t="shared" si="100"/>
        <v>4.34</v>
      </c>
      <c r="Q171" s="180">
        <f t="shared" si="101"/>
        <v>5.56</v>
      </c>
      <c r="R171" s="178">
        <f t="shared" si="102"/>
        <v>6.12</v>
      </c>
      <c r="S171" s="155"/>
      <c r="T171" s="155"/>
      <c r="U171" s="159">
        <f t="shared" si="105"/>
        <v>0</v>
      </c>
      <c r="V171" s="154">
        <f t="shared" si="103"/>
        <v>0</v>
      </c>
      <c r="W171" s="273" t="str">
        <f t="shared" si="104"/>
        <v>INVENTORY PRICE DOESN'T MATCH SAGE</v>
      </c>
    </row>
    <row r="172" spans="1:23">
      <c r="A172" s="155"/>
      <c r="B172" s="153">
        <v>167</v>
      </c>
      <c r="C172" s="153" t="s">
        <v>317</v>
      </c>
      <c r="D172" s="153" t="s">
        <v>228</v>
      </c>
      <c r="E172" s="154">
        <v>0.08</v>
      </c>
      <c r="F172" s="154">
        <f t="shared" si="91"/>
        <v>0.02</v>
      </c>
      <c r="G172" s="154">
        <f t="shared" si="81"/>
        <v>0.1</v>
      </c>
      <c r="H172" s="154">
        <f t="shared" si="82"/>
        <v>0.11</v>
      </c>
      <c r="I172" s="154">
        <f t="shared" si="83"/>
        <v>0</v>
      </c>
      <c r="J172" s="220">
        <v>46066</v>
      </c>
      <c r="K172" s="138">
        <v>367</v>
      </c>
      <c r="L172" s="159" t="s">
        <v>933</v>
      </c>
      <c r="M172" s="159">
        <v>1.7170000000000001</v>
      </c>
      <c r="N172" s="178">
        <v>3.95</v>
      </c>
      <c r="O172" s="180">
        <f t="shared" si="99"/>
        <v>0.39</v>
      </c>
      <c r="P172" s="180">
        <f t="shared" si="100"/>
        <v>4.34</v>
      </c>
      <c r="Q172" s="180">
        <f t="shared" si="101"/>
        <v>7.46</v>
      </c>
      <c r="R172" s="178">
        <f t="shared" si="102"/>
        <v>8.2099999999999991</v>
      </c>
      <c r="S172" s="155"/>
      <c r="T172" s="155"/>
      <c r="U172" s="159">
        <f t="shared" si="105"/>
        <v>0</v>
      </c>
      <c r="V172" s="154">
        <f t="shared" si="103"/>
        <v>0</v>
      </c>
      <c r="W172" s="273" t="str">
        <f t="shared" si="104"/>
        <v>INVENTORY PRICE DOESN'T MATCH SAGE</v>
      </c>
    </row>
    <row r="173" spans="1:23">
      <c r="A173" s="155"/>
      <c r="B173" s="153">
        <v>168</v>
      </c>
      <c r="C173" s="153" t="s">
        <v>318</v>
      </c>
      <c r="D173" s="153" t="s">
        <v>228</v>
      </c>
      <c r="E173" s="154">
        <v>0.08</v>
      </c>
      <c r="F173" s="154">
        <f t="shared" si="91"/>
        <v>0.02</v>
      </c>
      <c r="G173" s="154">
        <f t="shared" si="81"/>
        <v>0.1</v>
      </c>
      <c r="H173" s="154">
        <f t="shared" si="82"/>
        <v>0.11</v>
      </c>
      <c r="I173" s="154">
        <f t="shared" si="83"/>
        <v>0</v>
      </c>
      <c r="J173" s="220">
        <v>46066</v>
      </c>
      <c r="K173" s="138">
        <v>368</v>
      </c>
      <c r="L173" s="181" t="s">
        <v>934</v>
      </c>
      <c r="M173" s="181" t="s">
        <v>916</v>
      </c>
      <c r="N173" s="178">
        <v>3.95</v>
      </c>
      <c r="O173" s="180">
        <f t="shared" si="99"/>
        <v>0.39</v>
      </c>
      <c r="P173" s="180">
        <f t="shared" si="100"/>
        <v>4.34</v>
      </c>
      <c r="Q173" s="180">
        <f t="shared" si="101"/>
        <v>10.11</v>
      </c>
      <c r="R173" s="178">
        <f t="shared" si="102"/>
        <v>11.129999999999999</v>
      </c>
      <c r="S173" s="155"/>
      <c r="T173" s="155"/>
      <c r="U173" s="159">
        <f t="shared" si="105"/>
        <v>0</v>
      </c>
      <c r="V173" s="154">
        <f t="shared" si="103"/>
        <v>0</v>
      </c>
      <c r="W173" s="273" t="str">
        <f t="shared" si="104"/>
        <v>INVENTORY PRICE DOESN'T MATCH SAGE</v>
      </c>
    </row>
    <row r="174" spans="1:23">
      <c r="A174" s="155"/>
      <c r="B174" s="153">
        <v>169</v>
      </c>
      <c r="C174" s="153" t="s">
        <v>319</v>
      </c>
      <c r="D174" s="153" t="s">
        <v>228</v>
      </c>
      <c r="E174" s="154">
        <v>7.0000000000000007E-2</v>
      </c>
      <c r="F174" s="154">
        <f t="shared" si="91"/>
        <v>0.02</v>
      </c>
      <c r="G174" s="154">
        <f t="shared" si="81"/>
        <v>9.0000000000000011E-2</v>
      </c>
      <c r="H174" s="154">
        <f t="shared" si="82"/>
        <v>9.9999999999999992E-2</v>
      </c>
      <c r="I174" s="154">
        <f t="shared" si="83"/>
        <v>0</v>
      </c>
      <c r="J174" s="220">
        <v>44949</v>
      </c>
      <c r="K174" s="138">
        <v>369</v>
      </c>
      <c r="L174" s="181" t="s">
        <v>935</v>
      </c>
      <c r="M174" s="181" t="s">
        <v>917</v>
      </c>
      <c r="N174" s="178">
        <v>3.95</v>
      </c>
      <c r="O174" s="180">
        <f t="shared" si="99"/>
        <v>0.39</v>
      </c>
      <c r="P174" s="180">
        <f t="shared" si="100"/>
        <v>4.34</v>
      </c>
      <c r="Q174" s="180">
        <f t="shared" si="101"/>
        <v>22.66</v>
      </c>
      <c r="R174" s="178">
        <f t="shared" si="102"/>
        <v>24.930000000000003</v>
      </c>
      <c r="S174" s="155"/>
      <c r="T174" s="155"/>
      <c r="U174" s="159">
        <f t="shared" si="105"/>
        <v>0</v>
      </c>
      <c r="V174" s="154">
        <f t="shared" si="103"/>
        <v>0</v>
      </c>
      <c r="W174" s="273" t="str">
        <f t="shared" si="104"/>
        <v>INVENTORY PRICE DOESN'T MATCH SAGE</v>
      </c>
    </row>
    <row r="175" spans="1:23">
      <c r="A175" s="155"/>
      <c r="B175" s="153">
        <v>170</v>
      </c>
      <c r="C175" s="153" t="s">
        <v>320</v>
      </c>
      <c r="D175" s="153" t="s">
        <v>228</v>
      </c>
      <c r="E175" s="154">
        <v>0.08</v>
      </c>
      <c r="F175" s="154">
        <f t="shared" si="91"/>
        <v>0.02</v>
      </c>
      <c r="G175" s="154">
        <f t="shared" si="81"/>
        <v>0.1</v>
      </c>
      <c r="H175" s="154">
        <f t="shared" si="82"/>
        <v>0.11</v>
      </c>
      <c r="I175" s="154">
        <f t="shared" si="83"/>
        <v>0</v>
      </c>
      <c r="J175" s="220">
        <v>44949</v>
      </c>
    </row>
    <row r="176" spans="1:23">
      <c r="A176" s="155"/>
      <c r="B176" s="153">
        <v>171</v>
      </c>
      <c r="C176" s="153" t="s">
        <v>321</v>
      </c>
      <c r="D176" s="153" t="s">
        <v>228</v>
      </c>
      <c r="E176" s="154">
        <v>7.0000000000000007E-2</v>
      </c>
      <c r="F176" s="154">
        <f t="shared" si="91"/>
        <v>0.02</v>
      </c>
      <c r="G176" s="154">
        <f t="shared" si="81"/>
        <v>9.0000000000000011E-2</v>
      </c>
      <c r="H176" s="154">
        <f t="shared" si="82"/>
        <v>9.9999999999999992E-2</v>
      </c>
      <c r="I176" s="154">
        <f t="shared" si="83"/>
        <v>0</v>
      </c>
      <c r="J176" s="220">
        <v>44949</v>
      </c>
    </row>
    <row r="177" spans="1:23" ht="15" thickBot="1">
      <c r="A177" s="155"/>
      <c r="B177" s="153">
        <v>172</v>
      </c>
      <c r="C177" s="153" t="s">
        <v>322</v>
      </c>
      <c r="D177" s="153" t="s">
        <v>228</v>
      </c>
      <c r="E177" s="154">
        <v>0.08</v>
      </c>
      <c r="F177" s="154">
        <f t="shared" si="91"/>
        <v>0.02</v>
      </c>
      <c r="G177" s="154">
        <f t="shared" si="81"/>
        <v>0.1</v>
      </c>
      <c r="H177" s="154">
        <f t="shared" si="82"/>
        <v>0.11</v>
      </c>
      <c r="I177" s="154">
        <f t="shared" si="83"/>
        <v>0</v>
      </c>
      <c r="J177" s="220">
        <v>44949</v>
      </c>
      <c r="L177" s="176" t="s">
        <v>1002</v>
      </c>
      <c r="M177" s="176"/>
      <c r="N177" s="176"/>
      <c r="O177" s="176"/>
      <c r="P177" s="138" t="s">
        <v>713</v>
      </c>
      <c r="Q177" s="179">
        <v>44629</v>
      </c>
      <c r="R177" s="213"/>
      <c r="S177" s="138" t="s">
        <v>918</v>
      </c>
      <c r="T177" s="138" t="s">
        <v>919</v>
      </c>
      <c r="U177" s="138" t="s">
        <v>12</v>
      </c>
    </row>
    <row r="178" spans="1:23">
      <c r="A178" s="155"/>
      <c r="B178" s="153">
        <v>173</v>
      </c>
      <c r="C178" s="153" t="s">
        <v>323</v>
      </c>
      <c r="D178" s="153" t="s">
        <v>228</v>
      </c>
      <c r="E178" s="154">
        <v>0.13</v>
      </c>
      <c r="F178" s="154">
        <f t="shared" si="91"/>
        <v>0.02</v>
      </c>
      <c r="G178" s="154">
        <f t="shared" si="81"/>
        <v>0.15</v>
      </c>
      <c r="H178" s="154">
        <f t="shared" si="82"/>
        <v>0.17</v>
      </c>
      <c r="I178" s="154">
        <f t="shared" si="83"/>
        <v>0</v>
      </c>
      <c r="J178" s="220">
        <v>46066</v>
      </c>
      <c r="K178" s="138" t="s">
        <v>690</v>
      </c>
      <c r="L178" s="138" t="s">
        <v>910</v>
      </c>
      <c r="M178" s="138" t="s">
        <v>911</v>
      </c>
      <c r="N178" s="138" t="s">
        <v>693</v>
      </c>
      <c r="O178" s="138" t="s">
        <v>712</v>
      </c>
      <c r="P178" s="177" t="s">
        <v>711</v>
      </c>
      <c r="Q178" s="177" t="s">
        <v>913</v>
      </c>
      <c r="R178" s="138" t="s">
        <v>694</v>
      </c>
      <c r="S178" s="216">
        <v>20</v>
      </c>
      <c r="T178" s="138" t="s">
        <v>915</v>
      </c>
      <c r="U178" s="138" t="s">
        <v>914</v>
      </c>
      <c r="V178" s="158" t="s">
        <v>12</v>
      </c>
    </row>
    <row r="179" spans="1:23">
      <c r="A179" s="155"/>
      <c r="B179" s="153">
        <v>174</v>
      </c>
      <c r="C179" s="153" t="s">
        <v>324</v>
      </c>
      <c r="D179" s="153" t="s">
        <v>228</v>
      </c>
      <c r="E179" s="154">
        <v>0.16</v>
      </c>
      <c r="F179" s="154">
        <f t="shared" si="91"/>
        <v>0.03</v>
      </c>
      <c r="G179" s="154">
        <f t="shared" si="81"/>
        <v>0.19</v>
      </c>
      <c r="H179" s="154">
        <f t="shared" si="82"/>
        <v>0.21000000000000002</v>
      </c>
      <c r="I179" s="154">
        <f t="shared" si="83"/>
        <v>0</v>
      </c>
      <c r="J179" s="220">
        <v>44949</v>
      </c>
      <c r="K179" s="138">
        <v>370</v>
      </c>
      <c r="L179" s="159" t="s">
        <v>946</v>
      </c>
      <c r="M179" s="159">
        <v>1.44</v>
      </c>
      <c r="N179" s="178">
        <v>1.55</v>
      </c>
      <c r="O179" s="180">
        <f t="shared" ref="O179:O190" si="106">ROUNDDOWN(N179*0.1,2)</f>
        <v>0.15</v>
      </c>
      <c r="P179" s="180">
        <f t="shared" ref="P179:P190" si="107">N179+O179</f>
        <v>1.7</v>
      </c>
      <c r="Q179" s="180">
        <f>ROUNDUP(P179*M179,2)</f>
        <v>2.4499999999999997</v>
      </c>
      <c r="R179" s="178">
        <f t="shared" ref="R179:R190" si="108">ROUNDUP(Q179*1.1,2)</f>
        <v>2.6999999999999997</v>
      </c>
      <c r="S179" s="155"/>
      <c r="T179" s="155"/>
      <c r="U179" s="159">
        <f>($S$178*S179)+T179</f>
        <v>0</v>
      </c>
      <c r="V179" s="154">
        <f t="shared" ref="V179:V190" si="109">ROUNDUP(IF($C$2="Inventory Cost",P179*U179,Q179*U179),2)</f>
        <v>0</v>
      </c>
      <c r="W179" s="273" t="str">
        <f t="shared" ref="W179:W190" si="110">IF(ISNUMBER(K179),IF(VLOOKUP(K179,$B$6:$E$1302,4,FALSE)=Q179,"","INVENTORY PRICE DOESN'T MATCH SAGE"),"")</f>
        <v>INVENTORY PRICE DOESN'T MATCH SAGE</v>
      </c>
    </row>
    <row r="180" spans="1:23">
      <c r="A180" s="155"/>
      <c r="B180" s="153">
        <v>175</v>
      </c>
      <c r="C180" s="153" t="s">
        <v>325</v>
      </c>
      <c r="D180" s="153" t="s">
        <v>228</v>
      </c>
      <c r="E180" s="154">
        <v>0.14000000000000001</v>
      </c>
      <c r="F180" s="154">
        <f t="shared" si="91"/>
        <v>0.03</v>
      </c>
      <c r="G180" s="154">
        <f t="shared" si="81"/>
        <v>0.17</v>
      </c>
      <c r="H180" s="154">
        <f t="shared" si="82"/>
        <v>0.19</v>
      </c>
      <c r="I180" s="154">
        <f t="shared" si="83"/>
        <v>0</v>
      </c>
      <c r="J180" s="220">
        <v>44949</v>
      </c>
      <c r="K180" s="138">
        <v>371</v>
      </c>
      <c r="L180" s="159" t="s">
        <v>947</v>
      </c>
      <c r="M180" s="159">
        <v>2.21</v>
      </c>
      <c r="N180" s="178">
        <v>1.55</v>
      </c>
      <c r="O180" s="180">
        <f t="shared" si="106"/>
        <v>0.15</v>
      </c>
      <c r="P180" s="180">
        <f t="shared" si="107"/>
        <v>1.7</v>
      </c>
      <c r="Q180" s="180">
        <f t="shared" ref="Q180:Q190" si="111">ROUNDUP(P180*M180,2)</f>
        <v>3.76</v>
      </c>
      <c r="R180" s="178">
        <f t="shared" si="108"/>
        <v>4.1399999999999997</v>
      </c>
      <c r="S180" s="155"/>
      <c r="T180" s="155"/>
      <c r="U180" s="159">
        <f t="shared" ref="U180:U190" si="112">($S$178*S180)+T180</f>
        <v>0</v>
      </c>
      <c r="V180" s="154">
        <f t="shared" si="109"/>
        <v>0</v>
      </c>
      <c r="W180" s="273" t="str">
        <f t="shared" si="110"/>
        <v>INVENTORY PRICE DOESN'T MATCH SAGE</v>
      </c>
    </row>
    <row r="181" spans="1:23">
      <c r="A181" s="155"/>
      <c r="B181" s="153">
        <v>176</v>
      </c>
      <c r="C181" s="153" t="s">
        <v>326</v>
      </c>
      <c r="D181" s="153" t="s">
        <v>228</v>
      </c>
      <c r="E181" s="154">
        <v>0.37</v>
      </c>
      <c r="F181" s="154">
        <f t="shared" si="91"/>
        <v>6.0000000000000005E-2</v>
      </c>
      <c r="G181" s="154">
        <f t="shared" si="81"/>
        <v>0.43</v>
      </c>
      <c r="H181" s="154">
        <f t="shared" si="82"/>
        <v>0.48</v>
      </c>
      <c r="I181" s="154">
        <f t="shared" si="83"/>
        <v>0</v>
      </c>
      <c r="J181" s="220">
        <v>44949</v>
      </c>
      <c r="K181" s="138">
        <v>372</v>
      </c>
      <c r="L181" s="159" t="s">
        <v>948</v>
      </c>
      <c r="M181" s="159">
        <v>3.54</v>
      </c>
      <c r="N181" s="178">
        <v>1.55</v>
      </c>
      <c r="O181" s="180">
        <f t="shared" si="106"/>
        <v>0.15</v>
      </c>
      <c r="P181" s="180">
        <f t="shared" si="107"/>
        <v>1.7</v>
      </c>
      <c r="Q181" s="180">
        <f t="shared" si="111"/>
        <v>6.02</v>
      </c>
      <c r="R181" s="178">
        <f t="shared" si="108"/>
        <v>6.63</v>
      </c>
      <c r="S181" s="155"/>
      <c r="T181" s="155"/>
      <c r="U181" s="159">
        <f t="shared" si="112"/>
        <v>0</v>
      </c>
      <c r="V181" s="154">
        <f t="shared" si="109"/>
        <v>0</v>
      </c>
      <c r="W181" s="273" t="str">
        <f t="shared" si="110"/>
        <v>INVENTORY PRICE DOESN'T MATCH SAGE</v>
      </c>
    </row>
    <row r="182" spans="1:23">
      <c r="A182" s="155"/>
      <c r="B182" s="153">
        <v>177</v>
      </c>
      <c r="C182" s="153" t="s">
        <v>327</v>
      </c>
      <c r="D182" s="153" t="s">
        <v>228</v>
      </c>
      <c r="E182" s="154">
        <v>0.25</v>
      </c>
      <c r="F182" s="154">
        <f t="shared" si="91"/>
        <v>0.04</v>
      </c>
      <c r="G182" s="154">
        <f t="shared" si="81"/>
        <v>0.28999999999999998</v>
      </c>
      <c r="H182" s="154">
        <f t="shared" si="82"/>
        <v>0.32</v>
      </c>
      <c r="I182" s="154">
        <f t="shared" si="83"/>
        <v>0</v>
      </c>
      <c r="J182" s="220">
        <v>44949</v>
      </c>
      <c r="K182" s="138">
        <v>373</v>
      </c>
      <c r="L182" s="159" t="s">
        <v>949</v>
      </c>
      <c r="M182" s="159">
        <v>3.05</v>
      </c>
      <c r="N182" s="178">
        <v>1.5</v>
      </c>
      <c r="O182" s="180">
        <f t="shared" si="106"/>
        <v>0.15</v>
      </c>
      <c r="P182" s="180">
        <f t="shared" si="107"/>
        <v>1.65</v>
      </c>
      <c r="Q182" s="180">
        <f t="shared" si="111"/>
        <v>5.04</v>
      </c>
      <c r="R182" s="178">
        <f t="shared" si="108"/>
        <v>5.55</v>
      </c>
      <c r="S182" s="155"/>
      <c r="T182" s="155"/>
      <c r="U182" s="159">
        <f t="shared" si="112"/>
        <v>0</v>
      </c>
      <c r="V182" s="154">
        <f t="shared" si="109"/>
        <v>0</v>
      </c>
      <c r="W182" s="273" t="str">
        <f t="shared" si="110"/>
        <v>INVENTORY PRICE DOESN'T MATCH SAGE</v>
      </c>
    </row>
    <row r="183" spans="1:23">
      <c r="A183" s="155"/>
      <c r="B183" s="153">
        <v>178</v>
      </c>
      <c r="C183" s="153" t="s">
        <v>326</v>
      </c>
      <c r="D183" s="153" t="s">
        <v>228</v>
      </c>
      <c r="E183" s="154">
        <v>0.44</v>
      </c>
      <c r="F183" s="154">
        <f t="shared" si="91"/>
        <v>6.9999999999999993E-2</v>
      </c>
      <c r="G183" s="154">
        <f t="shared" si="81"/>
        <v>0.51</v>
      </c>
      <c r="H183" s="154">
        <f t="shared" si="82"/>
        <v>0.57000000000000006</v>
      </c>
      <c r="I183" s="154">
        <f t="shared" si="83"/>
        <v>0</v>
      </c>
      <c r="J183" s="220">
        <v>44949</v>
      </c>
      <c r="K183" s="138">
        <v>374</v>
      </c>
      <c r="L183" s="159" t="s">
        <v>950</v>
      </c>
      <c r="M183" s="159">
        <v>4.32</v>
      </c>
      <c r="N183" s="178">
        <v>1.5</v>
      </c>
      <c r="O183" s="180">
        <f t="shared" si="106"/>
        <v>0.15</v>
      </c>
      <c r="P183" s="180">
        <f t="shared" si="107"/>
        <v>1.65</v>
      </c>
      <c r="Q183" s="180">
        <f t="shared" si="111"/>
        <v>7.13</v>
      </c>
      <c r="R183" s="178">
        <f t="shared" si="108"/>
        <v>7.85</v>
      </c>
      <c r="S183" s="155"/>
      <c r="T183" s="155"/>
      <c r="U183" s="159">
        <f t="shared" si="112"/>
        <v>0</v>
      </c>
      <c r="V183" s="154">
        <f t="shared" si="109"/>
        <v>0</v>
      </c>
      <c r="W183" s="273" t="str">
        <f t="shared" si="110"/>
        <v>INVENTORY PRICE DOESN'T MATCH SAGE</v>
      </c>
    </row>
    <row r="184" spans="1:23">
      <c r="A184" s="155"/>
      <c r="B184" s="153">
        <v>179</v>
      </c>
      <c r="C184" s="153" t="s">
        <v>328</v>
      </c>
      <c r="D184" s="153" t="s">
        <v>228</v>
      </c>
      <c r="E184" s="154">
        <v>0.41</v>
      </c>
      <c r="F184" s="154">
        <f t="shared" si="91"/>
        <v>6.9999999999999993E-2</v>
      </c>
      <c r="G184" s="154">
        <f t="shared" si="81"/>
        <v>0.48</v>
      </c>
      <c r="H184" s="154">
        <f t="shared" si="82"/>
        <v>0.53</v>
      </c>
      <c r="I184" s="154">
        <f t="shared" si="83"/>
        <v>0</v>
      </c>
      <c r="J184" s="220">
        <v>44949</v>
      </c>
      <c r="K184" s="138">
        <v>375</v>
      </c>
      <c r="L184" s="159" t="s">
        <v>951</v>
      </c>
      <c r="M184" s="159">
        <v>5.41</v>
      </c>
      <c r="N184" s="178">
        <v>1.45</v>
      </c>
      <c r="O184" s="180">
        <f t="shared" si="106"/>
        <v>0.14000000000000001</v>
      </c>
      <c r="P184" s="180">
        <f t="shared" si="107"/>
        <v>1.5899999999999999</v>
      </c>
      <c r="Q184" s="180">
        <f t="shared" si="111"/>
        <v>8.61</v>
      </c>
      <c r="R184" s="178">
        <f t="shared" si="108"/>
        <v>9.48</v>
      </c>
      <c r="S184" s="155"/>
      <c r="T184" s="155"/>
      <c r="U184" s="159">
        <f t="shared" si="112"/>
        <v>0</v>
      </c>
      <c r="V184" s="154">
        <f t="shared" si="109"/>
        <v>0</v>
      </c>
      <c r="W184" s="273" t="str">
        <f t="shared" si="110"/>
        <v>INVENTORY PRICE DOESN'T MATCH SAGE</v>
      </c>
    </row>
    <row r="185" spans="1:23">
      <c r="A185" s="155"/>
      <c r="B185" s="153">
        <v>180</v>
      </c>
      <c r="C185" s="153" t="s">
        <v>329</v>
      </c>
      <c r="D185" s="153" t="s">
        <v>228</v>
      </c>
      <c r="E185" s="154">
        <v>0.41</v>
      </c>
      <c r="F185" s="154">
        <f t="shared" si="91"/>
        <v>6.9999999999999993E-2</v>
      </c>
      <c r="G185" s="154">
        <f t="shared" si="81"/>
        <v>0.48</v>
      </c>
      <c r="H185" s="154">
        <f t="shared" si="82"/>
        <v>0.53</v>
      </c>
      <c r="I185" s="154">
        <f t="shared" si="83"/>
        <v>0</v>
      </c>
      <c r="J185" s="220">
        <v>44949</v>
      </c>
      <c r="K185" s="138">
        <v>376</v>
      </c>
      <c r="L185" s="159" t="s">
        <v>952</v>
      </c>
      <c r="M185" s="159">
        <v>6.87</v>
      </c>
      <c r="N185" s="178">
        <v>1.45</v>
      </c>
      <c r="O185" s="180">
        <f t="shared" si="106"/>
        <v>0.14000000000000001</v>
      </c>
      <c r="P185" s="180">
        <f t="shared" si="107"/>
        <v>1.5899999999999999</v>
      </c>
      <c r="Q185" s="180">
        <f t="shared" si="111"/>
        <v>10.93</v>
      </c>
      <c r="R185" s="178">
        <f t="shared" si="108"/>
        <v>12.03</v>
      </c>
      <c r="S185" s="155"/>
      <c r="T185" s="155"/>
      <c r="U185" s="159">
        <f t="shared" si="112"/>
        <v>0</v>
      </c>
      <c r="V185" s="154">
        <f t="shared" si="109"/>
        <v>0</v>
      </c>
      <c r="W185" s="273" t="str">
        <f t="shared" si="110"/>
        <v>INVENTORY PRICE DOESN'T MATCH SAGE</v>
      </c>
    </row>
    <row r="186" spans="1:23">
      <c r="A186" s="155"/>
      <c r="B186" s="153">
        <v>181</v>
      </c>
      <c r="C186" s="153" t="s">
        <v>330</v>
      </c>
      <c r="D186" s="153" t="s">
        <v>228</v>
      </c>
      <c r="E186" s="154">
        <v>0.53</v>
      </c>
      <c r="F186" s="154">
        <f t="shared" si="91"/>
        <v>0.08</v>
      </c>
      <c r="G186" s="154">
        <f t="shared" si="81"/>
        <v>0.61</v>
      </c>
      <c r="H186" s="154">
        <f t="shared" si="82"/>
        <v>0.68</v>
      </c>
      <c r="I186" s="154">
        <f t="shared" si="83"/>
        <v>0</v>
      </c>
      <c r="J186" s="220">
        <v>44949</v>
      </c>
      <c r="K186" s="138">
        <v>377</v>
      </c>
      <c r="L186" s="159" t="s">
        <v>953</v>
      </c>
      <c r="M186" s="159">
        <v>8.81</v>
      </c>
      <c r="N186" s="178">
        <v>1.45</v>
      </c>
      <c r="O186" s="180">
        <f t="shared" si="106"/>
        <v>0.14000000000000001</v>
      </c>
      <c r="P186" s="180">
        <f t="shared" si="107"/>
        <v>1.5899999999999999</v>
      </c>
      <c r="Q186" s="180">
        <f t="shared" si="111"/>
        <v>14.01</v>
      </c>
      <c r="R186" s="178">
        <f t="shared" si="108"/>
        <v>15.42</v>
      </c>
      <c r="S186" s="155"/>
      <c r="T186" s="155"/>
      <c r="U186" s="159">
        <f t="shared" si="112"/>
        <v>0</v>
      </c>
      <c r="V186" s="154">
        <f t="shared" si="109"/>
        <v>0</v>
      </c>
      <c r="W186" s="273" t="str">
        <f t="shared" si="110"/>
        <v>INVENTORY PRICE DOESN'T MATCH SAGE</v>
      </c>
    </row>
    <row r="187" spans="1:23">
      <c r="A187" s="155"/>
      <c r="B187" s="153">
        <v>182</v>
      </c>
      <c r="C187" s="153" t="s">
        <v>331</v>
      </c>
      <c r="D187" s="153" t="s">
        <v>228</v>
      </c>
      <c r="E187" s="154">
        <v>0.63</v>
      </c>
      <c r="F187" s="154">
        <f t="shared" si="91"/>
        <v>9.9999999999999992E-2</v>
      </c>
      <c r="G187" s="154">
        <f t="shared" si="81"/>
        <v>0.73</v>
      </c>
      <c r="H187" s="154">
        <f t="shared" si="82"/>
        <v>0.81</v>
      </c>
      <c r="I187" s="154">
        <f t="shared" si="83"/>
        <v>0</v>
      </c>
      <c r="J187" s="220">
        <v>44949</v>
      </c>
      <c r="K187" s="138">
        <v>378</v>
      </c>
      <c r="L187" s="159" t="s">
        <v>954</v>
      </c>
      <c r="M187" s="159">
        <v>9.42</v>
      </c>
      <c r="N187" s="178">
        <v>1.45</v>
      </c>
      <c r="O187" s="180">
        <f t="shared" si="106"/>
        <v>0.14000000000000001</v>
      </c>
      <c r="P187" s="180">
        <f t="shared" si="107"/>
        <v>1.5899999999999999</v>
      </c>
      <c r="Q187" s="180">
        <f t="shared" si="111"/>
        <v>14.98</v>
      </c>
      <c r="R187" s="178">
        <f t="shared" si="108"/>
        <v>16.48</v>
      </c>
      <c r="S187" s="155"/>
      <c r="T187" s="155"/>
      <c r="U187" s="159">
        <f t="shared" si="112"/>
        <v>0</v>
      </c>
      <c r="V187" s="154">
        <f t="shared" si="109"/>
        <v>0</v>
      </c>
      <c r="W187" s="273" t="str">
        <f t="shared" si="110"/>
        <v>INVENTORY PRICE DOESN'T MATCH SAGE</v>
      </c>
    </row>
    <row r="188" spans="1:23">
      <c r="A188" s="155"/>
      <c r="B188" s="153">
        <v>183</v>
      </c>
      <c r="C188" s="153" t="s">
        <v>332</v>
      </c>
      <c r="D188" s="153" t="s">
        <v>228</v>
      </c>
      <c r="E188" s="154">
        <v>0.83</v>
      </c>
      <c r="F188" s="154">
        <f t="shared" si="91"/>
        <v>0.13</v>
      </c>
      <c r="G188" s="154">
        <f t="shared" si="81"/>
        <v>0.96</v>
      </c>
      <c r="H188" s="154">
        <f t="shared" si="82"/>
        <v>1.06</v>
      </c>
      <c r="I188" s="154">
        <f t="shared" si="83"/>
        <v>0</v>
      </c>
      <c r="J188" s="220">
        <v>44949</v>
      </c>
      <c r="K188" s="138">
        <v>379</v>
      </c>
      <c r="L188" s="181" t="s">
        <v>955</v>
      </c>
      <c r="M188" s="159">
        <v>12.21</v>
      </c>
      <c r="N188" s="178">
        <v>1.45</v>
      </c>
      <c r="O188" s="180">
        <f t="shared" si="106"/>
        <v>0.14000000000000001</v>
      </c>
      <c r="P188" s="180">
        <f t="shared" si="107"/>
        <v>1.5899999999999999</v>
      </c>
      <c r="Q188" s="180">
        <f t="shared" si="111"/>
        <v>19.420000000000002</v>
      </c>
      <c r="R188" s="178">
        <f t="shared" si="108"/>
        <v>21.37</v>
      </c>
      <c r="S188" s="155"/>
      <c r="T188" s="155"/>
      <c r="U188" s="159">
        <f t="shared" si="112"/>
        <v>0</v>
      </c>
      <c r="V188" s="154">
        <f t="shared" si="109"/>
        <v>0</v>
      </c>
      <c r="W188" s="273" t="str">
        <f t="shared" si="110"/>
        <v>INVENTORY PRICE DOESN'T MATCH SAGE</v>
      </c>
    </row>
    <row r="189" spans="1:23">
      <c r="A189" s="155"/>
      <c r="B189" s="153">
        <v>184</v>
      </c>
      <c r="C189" s="153" t="s">
        <v>333</v>
      </c>
      <c r="D189" s="153" t="s">
        <v>228</v>
      </c>
      <c r="E189" s="154">
        <v>0.87</v>
      </c>
      <c r="F189" s="154">
        <f t="shared" si="91"/>
        <v>0.14000000000000001</v>
      </c>
      <c r="G189" s="154">
        <f t="shared" si="81"/>
        <v>1.01</v>
      </c>
      <c r="H189" s="154">
        <f t="shared" si="82"/>
        <v>1.1200000000000001</v>
      </c>
      <c r="I189" s="154">
        <f t="shared" si="83"/>
        <v>0</v>
      </c>
      <c r="J189" s="220">
        <v>44949</v>
      </c>
      <c r="K189" s="138">
        <v>380</v>
      </c>
      <c r="L189" s="215" t="s">
        <v>956</v>
      </c>
      <c r="M189" s="138">
        <v>7.04</v>
      </c>
      <c r="N189" s="178">
        <v>1.63</v>
      </c>
      <c r="O189" s="180">
        <f t="shared" si="106"/>
        <v>0.16</v>
      </c>
      <c r="P189" s="180">
        <f t="shared" si="107"/>
        <v>1.7899999999999998</v>
      </c>
      <c r="Q189" s="180">
        <f t="shared" si="111"/>
        <v>12.61</v>
      </c>
      <c r="R189" s="178">
        <f t="shared" si="108"/>
        <v>13.879999999999999</v>
      </c>
      <c r="S189" s="155"/>
      <c r="T189" s="155"/>
      <c r="U189" s="159">
        <f t="shared" si="112"/>
        <v>0</v>
      </c>
      <c r="V189" s="154">
        <f t="shared" si="109"/>
        <v>0</v>
      </c>
      <c r="W189" s="273" t="str">
        <f t="shared" si="110"/>
        <v>INVENTORY PRICE DOESN'T MATCH SAGE</v>
      </c>
    </row>
    <row r="190" spans="1:23">
      <c r="A190" s="155"/>
      <c r="B190" s="153">
        <v>185</v>
      </c>
      <c r="C190" s="153" t="s">
        <v>334</v>
      </c>
      <c r="D190" s="153" t="s">
        <v>228</v>
      </c>
      <c r="E190" s="154">
        <v>0.04</v>
      </c>
      <c r="F190" s="154">
        <f t="shared" si="91"/>
        <v>0.01</v>
      </c>
      <c r="G190" s="154">
        <f t="shared" si="81"/>
        <v>0.05</v>
      </c>
      <c r="H190" s="154">
        <f t="shared" si="82"/>
        <v>6.0000000000000005E-2</v>
      </c>
      <c r="I190" s="154">
        <f t="shared" si="83"/>
        <v>0</v>
      </c>
      <c r="J190" s="220">
        <v>44949</v>
      </c>
      <c r="K190" s="138">
        <v>381</v>
      </c>
      <c r="L190" s="181" t="s">
        <v>957</v>
      </c>
      <c r="M190" s="159">
        <v>27.48</v>
      </c>
      <c r="N190" s="178">
        <v>1.4</v>
      </c>
      <c r="O190" s="180">
        <f t="shared" si="106"/>
        <v>0.14000000000000001</v>
      </c>
      <c r="P190" s="180">
        <f t="shared" si="107"/>
        <v>1.54</v>
      </c>
      <c r="Q190" s="180">
        <f t="shared" si="111"/>
        <v>42.32</v>
      </c>
      <c r="R190" s="178">
        <f t="shared" si="108"/>
        <v>46.559999999999995</v>
      </c>
      <c r="S190" s="155"/>
      <c r="T190" s="155"/>
      <c r="U190" s="159">
        <f t="shared" si="112"/>
        <v>0</v>
      </c>
      <c r="V190" s="154">
        <f t="shared" si="109"/>
        <v>0</v>
      </c>
      <c r="W190" s="273" t="str">
        <f t="shared" si="110"/>
        <v>INVENTORY PRICE DOESN'T MATCH SAGE</v>
      </c>
    </row>
    <row r="191" spans="1:23">
      <c r="A191" s="155"/>
      <c r="B191" s="153">
        <v>186</v>
      </c>
      <c r="C191" s="153" t="s">
        <v>334</v>
      </c>
      <c r="D191" s="153" t="s">
        <v>228</v>
      </c>
      <c r="E191" s="154">
        <v>0.08</v>
      </c>
      <c r="F191" s="154">
        <f t="shared" si="91"/>
        <v>0.02</v>
      </c>
      <c r="G191" s="154">
        <f t="shared" si="81"/>
        <v>0.1</v>
      </c>
      <c r="H191" s="154">
        <f t="shared" si="82"/>
        <v>0.11</v>
      </c>
      <c r="I191" s="154">
        <f t="shared" si="83"/>
        <v>0</v>
      </c>
      <c r="J191" s="220">
        <v>44949</v>
      </c>
    </row>
    <row r="192" spans="1:23">
      <c r="A192" s="155"/>
      <c r="B192" s="153">
        <v>187</v>
      </c>
      <c r="C192" s="153" t="s">
        <v>335</v>
      </c>
      <c r="D192" s="153" t="s">
        <v>228</v>
      </c>
      <c r="E192" s="154">
        <v>0.12</v>
      </c>
      <c r="F192" s="154">
        <f t="shared" si="91"/>
        <v>0.02</v>
      </c>
      <c r="G192" s="154">
        <f t="shared" si="81"/>
        <v>0.13999999999999999</v>
      </c>
      <c r="H192" s="154">
        <f t="shared" si="82"/>
        <v>0.16</v>
      </c>
      <c r="I192" s="154">
        <f t="shared" si="83"/>
        <v>0</v>
      </c>
      <c r="J192" s="220">
        <v>44949</v>
      </c>
    </row>
    <row r="193" spans="1:23" ht="15" thickBot="1">
      <c r="A193" s="155"/>
      <c r="B193" s="153">
        <v>188</v>
      </c>
      <c r="C193" s="153" t="s">
        <v>336</v>
      </c>
      <c r="D193" s="153" t="s">
        <v>228</v>
      </c>
      <c r="E193" s="154">
        <v>0.11</v>
      </c>
      <c r="F193" s="154">
        <f t="shared" si="91"/>
        <v>0.02</v>
      </c>
      <c r="G193" s="154">
        <f t="shared" si="81"/>
        <v>0.13</v>
      </c>
      <c r="H193" s="154">
        <f t="shared" si="82"/>
        <v>0.15000000000000002</v>
      </c>
      <c r="I193" s="154">
        <f t="shared" si="83"/>
        <v>0</v>
      </c>
      <c r="J193" s="220">
        <v>44949</v>
      </c>
      <c r="L193" s="176" t="s">
        <v>1003</v>
      </c>
      <c r="M193" s="176"/>
      <c r="N193" s="176"/>
      <c r="O193" s="176"/>
      <c r="P193" s="138" t="s">
        <v>713</v>
      </c>
      <c r="Q193" s="179">
        <v>44628</v>
      </c>
      <c r="R193" s="213"/>
      <c r="S193" s="138" t="s">
        <v>918</v>
      </c>
      <c r="T193" s="138" t="s">
        <v>919</v>
      </c>
      <c r="U193" s="138" t="s">
        <v>12</v>
      </c>
    </row>
    <row r="194" spans="1:23">
      <c r="A194" s="155"/>
      <c r="B194" s="153">
        <v>189</v>
      </c>
      <c r="C194" s="153" t="s">
        <v>337</v>
      </c>
      <c r="D194" s="153" t="s">
        <v>228</v>
      </c>
      <c r="E194" s="154">
        <v>0.12</v>
      </c>
      <c r="F194" s="154">
        <f t="shared" si="91"/>
        <v>0.02</v>
      </c>
      <c r="G194" s="154">
        <f t="shared" si="81"/>
        <v>0.13999999999999999</v>
      </c>
      <c r="H194" s="154">
        <f t="shared" si="82"/>
        <v>0.16</v>
      </c>
      <c r="I194" s="154">
        <f t="shared" si="83"/>
        <v>0</v>
      </c>
      <c r="J194" s="220">
        <v>44949</v>
      </c>
      <c r="K194" s="138" t="s">
        <v>690</v>
      </c>
      <c r="L194" s="138" t="s">
        <v>910</v>
      </c>
      <c r="M194" s="138" t="s">
        <v>911</v>
      </c>
      <c r="N194" s="138" t="s">
        <v>693</v>
      </c>
      <c r="O194" s="138" t="s">
        <v>712</v>
      </c>
      <c r="P194" s="177" t="s">
        <v>711</v>
      </c>
      <c r="Q194" s="177" t="s">
        <v>913</v>
      </c>
      <c r="R194" s="138" t="s">
        <v>694</v>
      </c>
      <c r="S194" s="216">
        <v>20</v>
      </c>
      <c r="T194" s="138" t="s">
        <v>915</v>
      </c>
      <c r="U194" s="138" t="s">
        <v>914</v>
      </c>
      <c r="V194" s="158" t="s">
        <v>12</v>
      </c>
    </row>
    <row r="195" spans="1:23">
      <c r="A195" s="155"/>
      <c r="B195" s="153">
        <v>190</v>
      </c>
      <c r="C195" s="153" t="s">
        <v>338</v>
      </c>
      <c r="D195" s="153" t="s">
        <v>228</v>
      </c>
      <c r="E195" s="154">
        <v>0.2</v>
      </c>
      <c r="F195" s="154">
        <f t="shared" si="91"/>
        <v>0.03</v>
      </c>
      <c r="G195" s="154">
        <f t="shared" si="81"/>
        <v>0.23</v>
      </c>
      <c r="H195" s="154">
        <f t="shared" si="82"/>
        <v>0.26</v>
      </c>
      <c r="I195" s="154">
        <f t="shared" si="83"/>
        <v>0</v>
      </c>
      <c r="J195" s="220">
        <v>44949</v>
      </c>
      <c r="K195" s="138">
        <v>382</v>
      </c>
      <c r="L195" s="159" t="s">
        <v>958</v>
      </c>
      <c r="M195" s="159">
        <v>1.44</v>
      </c>
      <c r="N195" s="178">
        <v>6</v>
      </c>
      <c r="O195" s="180">
        <f t="shared" ref="O195:O206" si="113">ROUNDDOWN(N195*0.1,2)</f>
        <v>0.6</v>
      </c>
      <c r="P195" s="180">
        <f t="shared" ref="P195:P206" si="114">N195+O195</f>
        <v>6.6</v>
      </c>
      <c r="Q195" s="180">
        <f>ROUNDUP(P195*M195,2)</f>
        <v>9.51</v>
      </c>
      <c r="R195" s="178">
        <f t="shared" ref="R195:R206" si="115">ROUNDUP(Q195*1.1,2)</f>
        <v>10.47</v>
      </c>
      <c r="S195" s="155"/>
      <c r="T195" s="155"/>
      <c r="U195" s="159">
        <f>($S$194*S195)+T195</f>
        <v>0</v>
      </c>
      <c r="V195" s="154">
        <f t="shared" ref="V195:V206" si="116">ROUNDUP(IF($C$2="Inventory Cost",P195*U195,Q195*U195),2)</f>
        <v>0</v>
      </c>
      <c r="W195" s="273" t="str">
        <f t="shared" ref="W195:W206" si="117">IF(ISNUMBER(K195),IF(VLOOKUP(K195,$B$6:$E$1302,4,FALSE)=Q195,"","INVENTORY PRICE DOESN'T MATCH SAGE"),"")</f>
        <v>INVENTORY PRICE DOESN'T MATCH SAGE</v>
      </c>
    </row>
    <row r="196" spans="1:23">
      <c r="A196" s="155"/>
      <c r="B196" s="153">
        <v>191</v>
      </c>
      <c r="C196" s="153" t="s">
        <v>339</v>
      </c>
      <c r="D196" s="153" t="s">
        <v>228</v>
      </c>
      <c r="E196" s="154">
        <v>0.23</v>
      </c>
      <c r="F196" s="154">
        <f t="shared" si="91"/>
        <v>0.04</v>
      </c>
      <c r="G196" s="154">
        <f t="shared" si="81"/>
        <v>0.27</v>
      </c>
      <c r="H196" s="154">
        <f t="shared" si="82"/>
        <v>0.3</v>
      </c>
      <c r="I196" s="154">
        <f t="shared" si="83"/>
        <v>0</v>
      </c>
      <c r="J196" s="220">
        <v>44949</v>
      </c>
      <c r="K196" s="138">
        <v>383</v>
      </c>
      <c r="L196" s="159" t="s">
        <v>959</v>
      </c>
      <c r="M196" s="159">
        <v>2.21</v>
      </c>
      <c r="N196" s="178">
        <v>6</v>
      </c>
      <c r="O196" s="180">
        <f t="shared" si="113"/>
        <v>0.6</v>
      </c>
      <c r="P196" s="180">
        <f t="shared" si="114"/>
        <v>6.6</v>
      </c>
      <c r="Q196" s="180">
        <f t="shared" ref="Q196:Q206" si="118">ROUNDUP(P196*M196,2)</f>
        <v>14.59</v>
      </c>
      <c r="R196" s="178">
        <f t="shared" si="115"/>
        <v>16.05</v>
      </c>
      <c r="S196" s="155"/>
      <c r="T196" s="155"/>
      <c r="U196" s="159">
        <f t="shared" ref="U196:U206" si="119">($S$194*S196)+T196</f>
        <v>0</v>
      </c>
      <c r="V196" s="154">
        <f t="shared" si="116"/>
        <v>0</v>
      </c>
      <c r="W196" s="273" t="str">
        <f t="shared" si="117"/>
        <v>INVENTORY PRICE DOESN'T MATCH SAGE</v>
      </c>
    </row>
    <row r="197" spans="1:23">
      <c r="A197" s="155"/>
      <c r="B197" s="153">
        <v>192</v>
      </c>
      <c r="C197" s="153" t="s">
        <v>340</v>
      </c>
      <c r="D197" s="153" t="s">
        <v>228</v>
      </c>
      <c r="E197" s="154">
        <v>0.28000000000000003</v>
      </c>
      <c r="F197" s="154">
        <f t="shared" si="91"/>
        <v>0.05</v>
      </c>
      <c r="G197" s="154">
        <f t="shared" si="81"/>
        <v>0.33</v>
      </c>
      <c r="H197" s="154">
        <f t="shared" si="82"/>
        <v>0.37</v>
      </c>
      <c r="I197" s="154">
        <f t="shared" si="83"/>
        <v>0</v>
      </c>
      <c r="J197" s="220">
        <v>44949</v>
      </c>
      <c r="K197" s="138">
        <v>384</v>
      </c>
      <c r="L197" s="159" t="s">
        <v>960</v>
      </c>
      <c r="M197" s="159">
        <v>3.54</v>
      </c>
      <c r="N197" s="178">
        <v>5.95</v>
      </c>
      <c r="O197" s="180">
        <f t="shared" si="113"/>
        <v>0.59</v>
      </c>
      <c r="P197" s="180">
        <f t="shared" si="114"/>
        <v>6.54</v>
      </c>
      <c r="Q197" s="180">
        <f t="shared" si="118"/>
        <v>23.16</v>
      </c>
      <c r="R197" s="178">
        <f t="shared" si="115"/>
        <v>25.48</v>
      </c>
      <c r="S197" s="155"/>
      <c r="T197" s="155"/>
      <c r="U197" s="159">
        <f t="shared" si="119"/>
        <v>0</v>
      </c>
      <c r="V197" s="154">
        <f t="shared" si="116"/>
        <v>0</v>
      </c>
      <c r="W197" s="273" t="str">
        <f t="shared" si="117"/>
        <v>INVENTORY PRICE DOESN'T MATCH SAGE</v>
      </c>
    </row>
    <row r="198" spans="1:23">
      <c r="A198" s="155"/>
      <c r="B198" s="153">
        <v>193</v>
      </c>
      <c r="C198" s="153" t="s">
        <v>341</v>
      </c>
      <c r="D198" s="153" t="s">
        <v>228</v>
      </c>
      <c r="E198" s="154">
        <v>0.36</v>
      </c>
      <c r="F198" s="154">
        <f t="shared" si="91"/>
        <v>6.0000000000000005E-2</v>
      </c>
      <c r="G198" s="154">
        <f t="shared" ref="G198:G261" si="120">E198+F198</f>
        <v>0.42</v>
      </c>
      <c r="H198" s="154">
        <f t="shared" ref="H198:H261" si="121">ROUNDUP(($E198+F198)*1.1,2)</f>
        <v>0.47000000000000003</v>
      </c>
      <c r="I198" s="154">
        <f t="shared" ref="I198:I261" si="122">IF($C$2="Inventory Cost",A198*G198,A198*H198)</f>
        <v>0</v>
      </c>
      <c r="J198" s="220">
        <v>44949</v>
      </c>
      <c r="K198" s="138">
        <v>385</v>
      </c>
      <c r="L198" s="159" t="s">
        <v>961</v>
      </c>
      <c r="M198" s="159">
        <v>3.05</v>
      </c>
      <c r="N198" s="178">
        <v>5.95</v>
      </c>
      <c r="O198" s="180">
        <f t="shared" si="113"/>
        <v>0.59</v>
      </c>
      <c r="P198" s="180">
        <f t="shared" si="114"/>
        <v>6.54</v>
      </c>
      <c r="Q198" s="180">
        <f t="shared" si="118"/>
        <v>19.950000000000003</v>
      </c>
      <c r="R198" s="178">
        <f t="shared" si="115"/>
        <v>21.950000000000003</v>
      </c>
      <c r="S198" s="155"/>
      <c r="T198" s="155"/>
      <c r="U198" s="159">
        <f t="shared" si="119"/>
        <v>0</v>
      </c>
      <c r="V198" s="154">
        <f t="shared" si="116"/>
        <v>0</v>
      </c>
      <c r="W198" s="273" t="str">
        <f t="shared" si="117"/>
        <v>INVENTORY PRICE DOESN'T MATCH SAGE</v>
      </c>
    </row>
    <row r="199" spans="1:23">
      <c r="A199" s="155"/>
      <c r="B199" s="153">
        <v>194</v>
      </c>
      <c r="C199" s="153" t="s">
        <v>342</v>
      </c>
      <c r="D199" s="153" t="s">
        <v>228</v>
      </c>
      <c r="E199" s="154">
        <v>0.25</v>
      </c>
      <c r="F199" s="154">
        <f t="shared" si="91"/>
        <v>0.04</v>
      </c>
      <c r="G199" s="154">
        <f t="shared" si="120"/>
        <v>0.28999999999999998</v>
      </c>
      <c r="H199" s="154">
        <f t="shared" si="121"/>
        <v>0.32</v>
      </c>
      <c r="I199" s="154">
        <f t="shared" si="122"/>
        <v>0</v>
      </c>
      <c r="J199" s="220">
        <v>44949</v>
      </c>
      <c r="K199" s="138">
        <v>386</v>
      </c>
      <c r="L199" s="159" t="s">
        <v>962</v>
      </c>
      <c r="M199" s="159">
        <v>4.32</v>
      </c>
      <c r="N199" s="180">
        <v>5.9</v>
      </c>
      <c r="O199" s="180">
        <f t="shared" si="113"/>
        <v>0.59</v>
      </c>
      <c r="P199" s="180">
        <f t="shared" si="114"/>
        <v>6.49</v>
      </c>
      <c r="Q199" s="180">
        <f t="shared" si="118"/>
        <v>28.040000000000003</v>
      </c>
      <c r="R199" s="178">
        <f t="shared" si="115"/>
        <v>30.85</v>
      </c>
      <c r="S199" s="155"/>
      <c r="T199" s="155"/>
      <c r="U199" s="159">
        <f t="shared" si="119"/>
        <v>0</v>
      </c>
      <c r="V199" s="154">
        <f t="shared" si="116"/>
        <v>0</v>
      </c>
      <c r="W199" s="273" t="str">
        <f t="shared" si="117"/>
        <v>INVENTORY PRICE DOESN'T MATCH SAGE</v>
      </c>
    </row>
    <row r="200" spans="1:23">
      <c r="A200" s="155"/>
      <c r="B200" s="153">
        <v>195</v>
      </c>
      <c r="C200" s="153" t="s">
        <v>343</v>
      </c>
      <c r="D200" s="153" t="s">
        <v>228</v>
      </c>
      <c r="E200" s="154">
        <v>0.48</v>
      </c>
      <c r="F200" s="154">
        <f t="shared" si="91"/>
        <v>0.08</v>
      </c>
      <c r="G200" s="154">
        <f t="shared" si="120"/>
        <v>0.55999999999999994</v>
      </c>
      <c r="H200" s="154">
        <f t="shared" si="121"/>
        <v>0.62</v>
      </c>
      <c r="I200" s="154">
        <f t="shared" si="122"/>
        <v>0</v>
      </c>
      <c r="J200" s="220">
        <v>44949</v>
      </c>
      <c r="K200" s="138">
        <v>387</v>
      </c>
      <c r="L200" s="159" t="s">
        <v>963</v>
      </c>
      <c r="M200" s="159">
        <v>5.41</v>
      </c>
      <c r="N200" s="178">
        <v>5.9</v>
      </c>
      <c r="O200" s="180">
        <f t="shared" si="113"/>
        <v>0.59</v>
      </c>
      <c r="P200" s="180">
        <f t="shared" si="114"/>
        <v>6.49</v>
      </c>
      <c r="Q200" s="180">
        <f t="shared" si="118"/>
        <v>35.119999999999997</v>
      </c>
      <c r="R200" s="178">
        <f t="shared" si="115"/>
        <v>38.64</v>
      </c>
      <c r="S200" s="155"/>
      <c r="T200" s="155"/>
      <c r="U200" s="159">
        <f t="shared" si="119"/>
        <v>0</v>
      </c>
      <c r="V200" s="154">
        <f t="shared" si="116"/>
        <v>0</v>
      </c>
      <c r="W200" s="273" t="str">
        <f t="shared" si="117"/>
        <v>INVENTORY PRICE DOESN'T MATCH SAGE</v>
      </c>
    </row>
    <row r="201" spans="1:23">
      <c r="A201" s="155"/>
      <c r="B201" s="153">
        <v>196</v>
      </c>
      <c r="C201" s="153" t="s">
        <v>344</v>
      </c>
      <c r="D201" s="153" t="s">
        <v>228</v>
      </c>
      <c r="E201" s="154">
        <v>0.12</v>
      </c>
      <c r="F201" s="154">
        <f t="shared" si="91"/>
        <v>0.02</v>
      </c>
      <c r="G201" s="154">
        <f t="shared" si="120"/>
        <v>0.13999999999999999</v>
      </c>
      <c r="H201" s="154">
        <f t="shared" si="121"/>
        <v>0.16</v>
      </c>
      <c r="I201" s="154">
        <f t="shared" si="122"/>
        <v>0</v>
      </c>
      <c r="J201" s="220">
        <v>44949</v>
      </c>
      <c r="K201" s="138">
        <v>388</v>
      </c>
      <c r="L201" s="159" t="s">
        <v>964</v>
      </c>
      <c r="M201" s="159">
        <v>6.87</v>
      </c>
      <c r="N201" s="178">
        <v>5.9</v>
      </c>
      <c r="O201" s="180">
        <f t="shared" si="113"/>
        <v>0.59</v>
      </c>
      <c r="P201" s="180">
        <f t="shared" si="114"/>
        <v>6.49</v>
      </c>
      <c r="Q201" s="180">
        <f t="shared" si="118"/>
        <v>44.589999999999996</v>
      </c>
      <c r="R201" s="178">
        <f t="shared" si="115"/>
        <v>49.05</v>
      </c>
      <c r="S201" s="155"/>
      <c r="T201" s="155"/>
      <c r="U201" s="159">
        <f t="shared" si="119"/>
        <v>0</v>
      </c>
      <c r="V201" s="154">
        <f t="shared" si="116"/>
        <v>0</v>
      </c>
      <c r="W201" s="273" t="str">
        <f t="shared" si="117"/>
        <v>INVENTORY PRICE DOESN'T MATCH SAGE</v>
      </c>
    </row>
    <row r="202" spans="1:23">
      <c r="A202" s="155"/>
      <c r="B202" s="153">
        <v>197</v>
      </c>
      <c r="C202" s="153" t="s">
        <v>345</v>
      </c>
      <c r="D202" s="153" t="s">
        <v>228</v>
      </c>
      <c r="E202" s="154">
        <v>0.24</v>
      </c>
      <c r="F202" s="154">
        <f t="shared" si="91"/>
        <v>0.04</v>
      </c>
      <c r="G202" s="154">
        <f t="shared" si="120"/>
        <v>0.27999999999999997</v>
      </c>
      <c r="H202" s="154">
        <f t="shared" si="121"/>
        <v>0.31</v>
      </c>
      <c r="I202" s="154">
        <f t="shared" si="122"/>
        <v>0</v>
      </c>
      <c r="J202" s="220">
        <v>44949</v>
      </c>
      <c r="K202" s="138">
        <v>389</v>
      </c>
      <c r="L202" s="159" t="s">
        <v>965</v>
      </c>
      <c r="M202" s="159">
        <v>8.81</v>
      </c>
      <c r="N202" s="178">
        <v>5.85</v>
      </c>
      <c r="O202" s="180">
        <f t="shared" si="113"/>
        <v>0.57999999999999996</v>
      </c>
      <c r="P202" s="180">
        <f t="shared" si="114"/>
        <v>6.43</v>
      </c>
      <c r="Q202" s="180">
        <f t="shared" si="118"/>
        <v>56.65</v>
      </c>
      <c r="R202" s="178">
        <f t="shared" si="115"/>
        <v>62.32</v>
      </c>
      <c r="S202" s="155"/>
      <c r="T202" s="155"/>
      <c r="U202" s="159">
        <f t="shared" si="119"/>
        <v>0</v>
      </c>
      <c r="V202" s="154">
        <f t="shared" si="116"/>
        <v>0</v>
      </c>
      <c r="W202" s="273" t="str">
        <f t="shared" si="117"/>
        <v>INVENTORY PRICE DOESN'T MATCH SAGE</v>
      </c>
    </row>
    <row r="203" spans="1:23">
      <c r="A203" s="155"/>
      <c r="B203" s="153">
        <v>198</v>
      </c>
      <c r="C203" s="153" t="s">
        <v>346</v>
      </c>
      <c r="D203" s="153" t="s">
        <v>228</v>
      </c>
      <c r="E203" s="154">
        <v>0.24</v>
      </c>
      <c r="F203" s="154">
        <f t="shared" si="91"/>
        <v>0.04</v>
      </c>
      <c r="G203" s="154">
        <f t="shared" si="120"/>
        <v>0.27999999999999997</v>
      </c>
      <c r="H203" s="154">
        <f t="shared" si="121"/>
        <v>0.31</v>
      </c>
      <c r="I203" s="154">
        <f t="shared" si="122"/>
        <v>0</v>
      </c>
      <c r="J203" s="220">
        <v>44949</v>
      </c>
      <c r="K203" s="138">
        <v>390</v>
      </c>
      <c r="L203" s="159" t="s">
        <v>966</v>
      </c>
      <c r="M203" s="159">
        <v>9.42</v>
      </c>
      <c r="N203" s="178">
        <v>5.85</v>
      </c>
      <c r="O203" s="180">
        <f t="shared" si="113"/>
        <v>0.57999999999999996</v>
      </c>
      <c r="P203" s="180">
        <f t="shared" si="114"/>
        <v>6.43</v>
      </c>
      <c r="Q203" s="180">
        <f t="shared" si="118"/>
        <v>60.58</v>
      </c>
      <c r="R203" s="178">
        <f t="shared" si="115"/>
        <v>66.64</v>
      </c>
      <c r="S203" s="155"/>
      <c r="T203" s="155"/>
      <c r="U203" s="159">
        <f t="shared" si="119"/>
        <v>0</v>
      </c>
      <c r="V203" s="154">
        <f t="shared" si="116"/>
        <v>0</v>
      </c>
      <c r="W203" s="273" t="str">
        <f t="shared" si="117"/>
        <v>INVENTORY PRICE DOESN'T MATCH SAGE</v>
      </c>
    </row>
    <row r="204" spans="1:23">
      <c r="A204" s="155"/>
      <c r="B204" s="153">
        <v>199</v>
      </c>
      <c r="C204" s="153" t="s">
        <v>347</v>
      </c>
      <c r="D204" s="153" t="s">
        <v>228</v>
      </c>
      <c r="E204" s="154">
        <v>0.27</v>
      </c>
      <c r="F204" s="154">
        <f t="shared" si="91"/>
        <v>0.05</v>
      </c>
      <c r="G204" s="154">
        <f t="shared" si="120"/>
        <v>0.32</v>
      </c>
      <c r="H204" s="154">
        <f t="shared" si="121"/>
        <v>0.36</v>
      </c>
      <c r="I204" s="154">
        <f t="shared" si="122"/>
        <v>0</v>
      </c>
      <c r="J204" s="220">
        <v>44949</v>
      </c>
      <c r="K204" s="138">
        <v>391</v>
      </c>
      <c r="L204" s="181" t="s">
        <v>967</v>
      </c>
      <c r="M204" s="159">
        <v>12.21</v>
      </c>
      <c r="N204" s="178">
        <v>5.85</v>
      </c>
      <c r="O204" s="180">
        <f t="shared" si="113"/>
        <v>0.57999999999999996</v>
      </c>
      <c r="P204" s="180">
        <f t="shared" si="114"/>
        <v>6.43</v>
      </c>
      <c r="Q204" s="180">
        <f t="shared" si="118"/>
        <v>78.52000000000001</v>
      </c>
      <c r="R204" s="178">
        <f t="shared" si="115"/>
        <v>86.38000000000001</v>
      </c>
      <c r="S204" s="155"/>
      <c r="T204" s="155"/>
      <c r="U204" s="159">
        <f t="shared" si="119"/>
        <v>0</v>
      </c>
      <c r="V204" s="154">
        <f t="shared" si="116"/>
        <v>0</v>
      </c>
      <c r="W204" s="273" t="str">
        <f t="shared" si="117"/>
        <v>INVENTORY PRICE DOESN'T MATCH SAGE</v>
      </c>
    </row>
    <row r="205" spans="1:23">
      <c r="A205" s="155"/>
      <c r="B205" s="153">
        <v>200</v>
      </c>
      <c r="C205" s="153" t="s">
        <v>348</v>
      </c>
      <c r="D205" s="153" t="s">
        <v>228</v>
      </c>
      <c r="E205" s="154">
        <v>0.22</v>
      </c>
      <c r="F205" s="154">
        <f t="shared" si="91"/>
        <v>0.04</v>
      </c>
      <c r="G205" s="154">
        <f t="shared" si="120"/>
        <v>0.26</v>
      </c>
      <c r="H205" s="154">
        <f t="shared" si="121"/>
        <v>0.29000000000000004</v>
      </c>
      <c r="I205" s="154">
        <f t="shared" si="122"/>
        <v>0</v>
      </c>
      <c r="J205" s="220">
        <v>44949</v>
      </c>
      <c r="K205" s="138">
        <v>392</v>
      </c>
      <c r="L205" s="215" t="s">
        <v>968</v>
      </c>
      <c r="M205" s="138">
        <v>7.04</v>
      </c>
      <c r="N205" s="178">
        <v>5.85</v>
      </c>
      <c r="O205" s="180">
        <f t="shared" si="113"/>
        <v>0.57999999999999996</v>
      </c>
      <c r="P205" s="180">
        <f t="shared" si="114"/>
        <v>6.43</v>
      </c>
      <c r="Q205" s="180">
        <f t="shared" si="118"/>
        <v>45.269999999999996</v>
      </c>
      <c r="R205" s="178">
        <f t="shared" si="115"/>
        <v>49.8</v>
      </c>
      <c r="S205" s="155"/>
      <c r="T205" s="155"/>
      <c r="U205" s="159">
        <f t="shared" si="119"/>
        <v>0</v>
      </c>
      <c r="V205" s="154">
        <f t="shared" si="116"/>
        <v>0</v>
      </c>
      <c r="W205" s="273" t="str">
        <f t="shared" si="117"/>
        <v>INVENTORY PRICE DOESN'T MATCH SAGE</v>
      </c>
    </row>
    <row r="206" spans="1:23">
      <c r="A206" s="155"/>
      <c r="B206" s="153">
        <v>201</v>
      </c>
      <c r="C206" s="153" t="s">
        <v>349</v>
      </c>
      <c r="D206" s="153" t="s">
        <v>228</v>
      </c>
      <c r="E206" s="154">
        <v>0.3</v>
      </c>
      <c r="F206" s="154">
        <f t="shared" si="91"/>
        <v>0.05</v>
      </c>
      <c r="G206" s="154">
        <f t="shared" si="120"/>
        <v>0.35</v>
      </c>
      <c r="H206" s="154">
        <f t="shared" si="121"/>
        <v>0.39</v>
      </c>
      <c r="I206" s="154">
        <f t="shared" si="122"/>
        <v>0</v>
      </c>
      <c r="J206" s="220">
        <v>44949</v>
      </c>
      <c r="K206" s="138">
        <v>393</v>
      </c>
      <c r="L206" s="181" t="s">
        <v>969</v>
      </c>
      <c r="M206" s="159">
        <v>27.48</v>
      </c>
      <c r="N206" s="178">
        <v>5.85</v>
      </c>
      <c r="O206" s="180">
        <f t="shared" si="113"/>
        <v>0.57999999999999996</v>
      </c>
      <c r="P206" s="180">
        <f t="shared" si="114"/>
        <v>6.43</v>
      </c>
      <c r="Q206" s="180">
        <f t="shared" si="118"/>
        <v>176.7</v>
      </c>
      <c r="R206" s="178">
        <f t="shared" si="115"/>
        <v>194.37</v>
      </c>
      <c r="S206" s="155"/>
      <c r="T206" s="155"/>
      <c r="U206" s="159">
        <f t="shared" si="119"/>
        <v>0</v>
      </c>
      <c r="V206" s="154">
        <f t="shared" si="116"/>
        <v>0</v>
      </c>
      <c r="W206" s="273" t="str">
        <f t="shared" si="117"/>
        <v>INVENTORY PRICE DOESN'T MATCH SAGE</v>
      </c>
    </row>
    <row r="207" spans="1:23">
      <c r="A207" s="155"/>
      <c r="B207" s="153">
        <v>202</v>
      </c>
      <c r="C207" s="153" t="s">
        <v>350</v>
      </c>
      <c r="D207" s="153" t="s">
        <v>228</v>
      </c>
      <c r="E207" s="154">
        <v>0.27</v>
      </c>
      <c r="F207" s="154">
        <f t="shared" si="91"/>
        <v>0.05</v>
      </c>
      <c r="G207" s="154">
        <f t="shared" si="120"/>
        <v>0.32</v>
      </c>
      <c r="H207" s="154">
        <f t="shared" si="121"/>
        <v>0.36</v>
      </c>
      <c r="I207" s="154">
        <f t="shared" si="122"/>
        <v>0</v>
      </c>
      <c r="J207" s="220"/>
    </row>
    <row r="208" spans="1:23">
      <c r="A208" s="155"/>
      <c r="B208" s="153">
        <v>203</v>
      </c>
      <c r="C208" s="153" t="s">
        <v>351</v>
      </c>
      <c r="D208" s="153" t="s">
        <v>228</v>
      </c>
      <c r="E208" s="154">
        <v>6.08</v>
      </c>
      <c r="F208" s="154">
        <f t="shared" si="91"/>
        <v>0.92</v>
      </c>
      <c r="G208" s="154">
        <f t="shared" si="120"/>
        <v>7</v>
      </c>
      <c r="H208" s="154">
        <f t="shared" si="121"/>
        <v>7.7</v>
      </c>
      <c r="I208" s="154">
        <f t="shared" si="122"/>
        <v>0</v>
      </c>
      <c r="J208" s="220">
        <v>44949</v>
      </c>
    </row>
    <row r="209" spans="1:23" ht="15" thickBot="1">
      <c r="A209" s="155"/>
      <c r="B209" s="153">
        <v>204</v>
      </c>
      <c r="C209" s="153" t="s">
        <v>352</v>
      </c>
      <c r="D209" s="153" t="s">
        <v>228</v>
      </c>
      <c r="E209" s="154">
        <v>5.8</v>
      </c>
      <c r="F209" s="154">
        <f t="shared" si="91"/>
        <v>0.87</v>
      </c>
      <c r="G209" s="154">
        <f t="shared" si="120"/>
        <v>6.67</v>
      </c>
      <c r="H209" s="154">
        <f t="shared" si="121"/>
        <v>7.34</v>
      </c>
      <c r="I209" s="154">
        <f t="shared" si="122"/>
        <v>0</v>
      </c>
      <c r="J209" s="220">
        <v>44476</v>
      </c>
      <c r="L209" s="176" t="s">
        <v>1004</v>
      </c>
      <c r="M209" s="176"/>
      <c r="N209" s="176"/>
      <c r="O209" s="176"/>
      <c r="P209" s="138" t="s">
        <v>713</v>
      </c>
      <c r="Q209" s="179">
        <v>44629</v>
      </c>
      <c r="R209" s="213"/>
      <c r="S209" s="138" t="s">
        <v>918</v>
      </c>
      <c r="T209" s="138" t="s">
        <v>919</v>
      </c>
      <c r="U209" s="138" t="s">
        <v>12</v>
      </c>
    </row>
    <row r="210" spans="1:23">
      <c r="A210" s="155"/>
      <c r="B210" s="153">
        <v>205</v>
      </c>
      <c r="C210" s="153" t="s">
        <v>353</v>
      </c>
      <c r="D210" s="153" t="s">
        <v>228</v>
      </c>
      <c r="E210" s="154">
        <v>18.739999999999998</v>
      </c>
      <c r="F210" s="154">
        <f t="shared" ref="F210:F273" si="123">ROUNDUP(E210*0.15,2)</f>
        <v>2.82</v>
      </c>
      <c r="G210" s="154">
        <f t="shared" si="120"/>
        <v>21.56</v>
      </c>
      <c r="H210" s="154">
        <f t="shared" si="121"/>
        <v>23.720000000000002</v>
      </c>
      <c r="I210" s="154">
        <f t="shared" si="122"/>
        <v>0</v>
      </c>
      <c r="J210" s="220">
        <v>44949</v>
      </c>
      <c r="K210" s="138" t="s">
        <v>690</v>
      </c>
      <c r="L210" s="138" t="s">
        <v>910</v>
      </c>
      <c r="M210" s="138" t="s">
        <v>911</v>
      </c>
      <c r="N210" s="138" t="s">
        <v>693</v>
      </c>
      <c r="O210" s="138" t="s">
        <v>712</v>
      </c>
      <c r="P210" s="177" t="s">
        <v>711</v>
      </c>
      <c r="Q210" s="177" t="s">
        <v>913</v>
      </c>
      <c r="R210" s="138" t="s">
        <v>694</v>
      </c>
      <c r="S210" s="216">
        <v>20</v>
      </c>
      <c r="T210" s="138" t="s">
        <v>915</v>
      </c>
      <c r="U210" s="138" t="s">
        <v>914</v>
      </c>
      <c r="V210" s="158" t="s">
        <v>12</v>
      </c>
    </row>
    <row r="211" spans="1:23">
      <c r="A211" s="155"/>
      <c r="B211" s="153">
        <v>206</v>
      </c>
      <c r="C211" s="153" t="s">
        <v>820</v>
      </c>
      <c r="D211" s="153" t="s">
        <v>228</v>
      </c>
      <c r="E211" s="154">
        <v>8.8800000000000008</v>
      </c>
      <c r="F211" s="154">
        <f t="shared" si="123"/>
        <v>1.34</v>
      </c>
      <c r="G211" s="154">
        <f t="shared" si="120"/>
        <v>10.220000000000001</v>
      </c>
      <c r="H211" s="154">
        <f t="shared" si="121"/>
        <v>11.25</v>
      </c>
      <c r="I211" s="154">
        <f t="shared" si="122"/>
        <v>0</v>
      </c>
      <c r="J211" s="220">
        <v>44949</v>
      </c>
      <c r="K211" s="138">
        <v>394</v>
      </c>
      <c r="L211" s="159" t="s">
        <v>970</v>
      </c>
      <c r="M211" s="159">
        <v>0.52400000000000002</v>
      </c>
      <c r="N211" s="178">
        <v>4</v>
      </c>
      <c r="O211" s="180">
        <f t="shared" ref="O211:O220" si="124">ROUNDDOWN(N211*0.1,2)</f>
        <v>0.4</v>
      </c>
      <c r="P211" s="180">
        <f>N211+O211</f>
        <v>4.4000000000000004</v>
      </c>
      <c r="Q211" s="180">
        <f>ROUNDUP(P211*M211,2)</f>
        <v>2.3099999999999996</v>
      </c>
      <c r="R211" s="178">
        <f t="shared" ref="R211:R220" si="125">ROUNDUP(Q211*1.1,2)</f>
        <v>2.5499999999999998</v>
      </c>
      <c r="S211" s="155"/>
      <c r="T211" s="155"/>
      <c r="U211" s="159">
        <f>($S$210*S211)+T211</f>
        <v>0</v>
      </c>
      <c r="V211" s="154">
        <f t="shared" ref="V211:V220" si="126">ROUNDUP(IF($C$2="Inventory Cost",P211*U211,Q211*U211),2)</f>
        <v>0</v>
      </c>
      <c r="W211" s="273" t="str">
        <f t="shared" ref="W211:W220" si="127">IF(ISNUMBER(K211),IF(VLOOKUP(K211,$B$6:$E$1302,4,FALSE)=Q211,"","INVENTORY PRICE DOESN'T MATCH SAGE"),"")</f>
        <v>INVENTORY PRICE DOESN'T MATCH SAGE</v>
      </c>
    </row>
    <row r="212" spans="1:23">
      <c r="A212" s="155"/>
      <c r="B212" s="153">
        <v>207</v>
      </c>
      <c r="C212" s="153" t="s">
        <v>354</v>
      </c>
      <c r="D212" s="153" t="s">
        <v>228</v>
      </c>
      <c r="E212" s="154">
        <v>29.38</v>
      </c>
      <c r="F212" s="154">
        <f t="shared" si="123"/>
        <v>4.41</v>
      </c>
      <c r="G212" s="154">
        <f t="shared" si="120"/>
        <v>33.79</v>
      </c>
      <c r="H212" s="154">
        <f t="shared" si="121"/>
        <v>37.169999999999995</v>
      </c>
      <c r="I212" s="154">
        <f t="shared" si="122"/>
        <v>0</v>
      </c>
      <c r="J212" s="220">
        <v>44476</v>
      </c>
      <c r="K212" s="138">
        <v>395</v>
      </c>
      <c r="L212" s="159" t="s">
        <v>971</v>
      </c>
      <c r="M212" s="159">
        <v>0.82499999999999996</v>
      </c>
      <c r="N212" s="178">
        <v>4</v>
      </c>
      <c r="O212" s="180">
        <f t="shared" si="124"/>
        <v>0.4</v>
      </c>
      <c r="P212" s="180">
        <f t="shared" ref="P212:P220" si="128">N212+O212</f>
        <v>4.4000000000000004</v>
      </c>
      <c r="Q212" s="180">
        <f t="shared" ref="Q212:Q220" si="129">ROUNDUP(P212*M212,2)</f>
        <v>3.63</v>
      </c>
      <c r="R212" s="178">
        <f t="shared" si="125"/>
        <v>4</v>
      </c>
      <c r="S212" s="155"/>
      <c r="T212" s="155"/>
      <c r="U212" s="159">
        <f t="shared" ref="U212:U220" si="130">($S$210*S212)+T212</f>
        <v>0</v>
      </c>
      <c r="V212" s="154">
        <f t="shared" si="126"/>
        <v>0</v>
      </c>
      <c r="W212" s="273" t="str">
        <f t="shared" si="127"/>
        <v>INVENTORY PRICE DOESN'T MATCH SAGE</v>
      </c>
    </row>
    <row r="213" spans="1:23">
      <c r="A213" s="155"/>
      <c r="B213" s="153">
        <v>208</v>
      </c>
      <c r="C213" s="153" t="s">
        <v>355</v>
      </c>
      <c r="D213" s="153" t="s">
        <v>246</v>
      </c>
      <c r="E213" s="154">
        <v>0.38</v>
      </c>
      <c r="F213" s="154">
        <f t="shared" si="123"/>
        <v>6.0000000000000005E-2</v>
      </c>
      <c r="G213" s="154">
        <f t="shared" si="120"/>
        <v>0.44</v>
      </c>
      <c r="H213" s="154">
        <f t="shared" si="121"/>
        <v>0.49</v>
      </c>
      <c r="I213" s="154">
        <f t="shared" si="122"/>
        <v>0</v>
      </c>
      <c r="J213" s="220"/>
      <c r="K213" s="138">
        <v>396</v>
      </c>
      <c r="L213" s="159" t="s">
        <v>972</v>
      </c>
      <c r="M213" s="159">
        <v>1.18</v>
      </c>
      <c r="N213" s="178">
        <v>4</v>
      </c>
      <c r="O213" s="180">
        <f t="shared" si="124"/>
        <v>0.4</v>
      </c>
      <c r="P213" s="180">
        <f t="shared" si="128"/>
        <v>4.4000000000000004</v>
      </c>
      <c r="Q213" s="180">
        <f t="shared" si="129"/>
        <v>5.2</v>
      </c>
      <c r="R213" s="178">
        <f t="shared" si="125"/>
        <v>5.72</v>
      </c>
      <c r="S213" s="155"/>
      <c r="T213" s="155"/>
      <c r="U213" s="159">
        <f t="shared" si="130"/>
        <v>0</v>
      </c>
      <c r="V213" s="154">
        <f t="shared" si="126"/>
        <v>0</v>
      </c>
      <c r="W213" s="273" t="str">
        <f t="shared" si="127"/>
        <v>INVENTORY PRICE DOESN'T MATCH SAGE</v>
      </c>
    </row>
    <row r="214" spans="1:23">
      <c r="A214" s="155"/>
      <c r="B214" s="153">
        <v>209</v>
      </c>
      <c r="C214" s="153" t="s">
        <v>356</v>
      </c>
      <c r="D214" s="153" t="s">
        <v>228</v>
      </c>
      <c r="E214" s="154">
        <v>3.42</v>
      </c>
      <c r="F214" s="154">
        <f t="shared" si="123"/>
        <v>0.52</v>
      </c>
      <c r="G214" s="154">
        <f t="shared" si="120"/>
        <v>3.94</v>
      </c>
      <c r="H214" s="154">
        <f t="shared" si="121"/>
        <v>4.34</v>
      </c>
      <c r="I214" s="154">
        <f t="shared" si="122"/>
        <v>0</v>
      </c>
      <c r="J214" s="220">
        <v>44476</v>
      </c>
      <c r="K214" s="138">
        <v>397</v>
      </c>
      <c r="L214" s="159" t="s">
        <v>973</v>
      </c>
      <c r="M214" s="159">
        <v>1.1259999999999999</v>
      </c>
      <c r="N214" s="178">
        <v>4</v>
      </c>
      <c r="O214" s="180">
        <f t="shared" si="124"/>
        <v>0.4</v>
      </c>
      <c r="P214" s="180">
        <f t="shared" si="128"/>
        <v>4.4000000000000004</v>
      </c>
      <c r="Q214" s="180">
        <f t="shared" si="129"/>
        <v>4.96</v>
      </c>
      <c r="R214" s="178">
        <f t="shared" si="125"/>
        <v>5.46</v>
      </c>
      <c r="S214" s="155"/>
      <c r="T214" s="155"/>
      <c r="U214" s="159">
        <f t="shared" si="130"/>
        <v>0</v>
      </c>
      <c r="V214" s="154">
        <f t="shared" si="126"/>
        <v>0</v>
      </c>
      <c r="W214" s="273" t="str">
        <f t="shared" si="127"/>
        <v>INVENTORY PRICE DOESN'T MATCH SAGE</v>
      </c>
    </row>
    <row r="215" spans="1:23">
      <c r="A215" s="155"/>
      <c r="B215" s="153">
        <v>210</v>
      </c>
      <c r="C215" s="153" t="s">
        <v>357</v>
      </c>
      <c r="D215" s="153" t="s">
        <v>228</v>
      </c>
      <c r="E215" s="154">
        <v>0.86</v>
      </c>
      <c r="F215" s="154">
        <f t="shared" si="123"/>
        <v>0.13</v>
      </c>
      <c r="G215" s="154">
        <f t="shared" si="120"/>
        <v>0.99</v>
      </c>
      <c r="H215" s="154">
        <f t="shared" si="121"/>
        <v>1.0900000000000001</v>
      </c>
      <c r="I215" s="154">
        <f t="shared" si="122"/>
        <v>0</v>
      </c>
      <c r="J215" s="220">
        <v>44476</v>
      </c>
      <c r="K215" s="138">
        <v>398</v>
      </c>
      <c r="L215" s="159" t="s">
        <v>974</v>
      </c>
      <c r="M215" s="159">
        <v>1.64</v>
      </c>
      <c r="N215" s="178">
        <v>4</v>
      </c>
      <c r="O215" s="180">
        <f t="shared" si="124"/>
        <v>0.4</v>
      </c>
      <c r="P215" s="180">
        <f t="shared" si="128"/>
        <v>4.4000000000000004</v>
      </c>
      <c r="Q215" s="180">
        <f t="shared" si="129"/>
        <v>7.22</v>
      </c>
      <c r="R215" s="178">
        <f t="shared" si="125"/>
        <v>7.95</v>
      </c>
      <c r="S215" s="155"/>
      <c r="T215" s="155"/>
      <c r="U215" s="159">
        <f t="shared" si="130"/>
        <v>0</v>
      </c>
      <c r="V215" s="154">
        <f t="shared" si="126"/>
        <v>0</v>
      </c>
      <c r="W215" s="273" t="str">
        <f t="shared" si="127"/>
        <v>INVENTORY PRICE DOESN'T MATCH SAGE</v>
      </c>
    </row>
    <row r="216" spans="1:23">
      <c r="A216" s="155"/>
      <c r="B216" s="153">
        <v>211</v>
      </c>
      <c r="C216" s="153" t="s">
        <v>358</v>
      </c>
      <c r="D216" s="153" t="s">
        <v>228</v>
      </c>
      <c r="E216" s="154">
        <v>0.04</v>
      </c>
      <c r="F216" s="154">
        <f t="shared" si="123"/>
        <v>0.01</v>
      </c>
      <c r="G216" s="154">
        <f t="shared" si="120"/>
        <v>0.05</v>
      </c>
      <c r="H216" s="154">
        <f t="shared" si="121"/>
        <v>6.0000000000000005E-2</v>
      </c>
      <c r="I216" s="154">
        <f t="shared" si="122"/>
        <v>0</v>
      </c>
      <c r="J216" s="220"/>
      <c r="K216" s="138">
        <v>399</v>
      </c>
      <c r="L216" s="159" t="s">
        <v>975</v>
      </c>
      <c r="M216" s="159">
        <v>2.1</v>
      </c>
      <c r="N216" s="178">
        <v>4</v>
      </c>
      <c r="O216" s="180">
        <f t="shared" si="124"/>
        <v>0.4</v>
      </c>
      <c r="P216" s="180">
        <f t="shared" si="128"/>
        <v>4.4000000000000004</v>
      </c>
      <c r="Q216" s="180">
        <f t="shared" si="129"/>
        <v>9.24</v>
      </c>
      <c r="R216" s="178">
        <f t="shared" si="125"/>
        <v>10.17</v>
      </c>
      <c r="S216" s="155"/>
      <c r="T216" s="155"/>
      <c r="U216" s="159">
        <f t="shared" si="130"/>
        <v>0</v>
      </c>
      <c r="V216" s="154">
        <f t="shared" si="126"/>
        <v>0</v>
      </c>
      <c r="W216" s="273" t="str">
        <f t="shared" si="127"/>
        <v>INVENTORY PRICE DOESN'T MATCH SAGE</v>
      </c>
    </row>
    <row r="217" spans="1:23">
      <c r="A217" s="155"/>
      <c r="B217" s="153">
        <v>212</v>
      </c>
      <c r="C217" s="153" t="s">
        <v>359</v>
      </c>
      <c r="D217" s="153" t="s">
        <v>228</v>
      </c>
      <c r="E217" s="154">
        <v>0.11</v>
      </c>
      <c r="F217" s="154">
        <f t="shared" si="123"/>
        <v>0.02</v>
      </c>
      <c r="G217" s="154">
        <f t="shared" si="120"/>
        <v>0.13</v>
      </c>
      <c r="H217" s="154">
        <f t="shared" si="121"/>
        <v>0.15000000000000002</v>
      </c>
      <c r="I217" s="154">
        <f t="shared" si="122"/>
        <v>0</v>
      </c>
      <c r="J217" s="220"/>
      <c r="K217" s="138">
        <v>400</v>
      </c>
      <c r="L217" s="159" t="s">
        <v>976</v>
      </c>
      <c r="M217" s="159">
        <v>2.5310000000000001</v>
      </c>
      <c r="N217" s="178">
        <v>4</v>
      </c>
      <c r="O217" s="180">
        <f t="shared" si="124"/>
        <v>0.4</v>
      </c>
      <c r="P217" s="180">
        <f t="shared" si="128"/>
        <v>4.4000000000000004</v>
      </c>
      <c r="Q217" s="180">
        <f t="shared" si="129"/>
        <v>11.14</v>
      </c>
      <c r="R217" s="178">
        <f t="shared" si="125"/>
        <v>12.26</v>
      </c>
      <c r="S217" s="155"/>
      <c r="T217" s="155"/>
      <c r="U217" s="159">
        <f t="shared" si="130"/>
        <v>0</v>
      </c>
      <c r="V217" s="154">
        <f t="shared" si="126"/>
        <v>0</v>
      </c>
      <c r="W217" s="273" t="str">
        <f t="shared" si="127"/>
        <v>INVENTORY PRICE DOESN'T MATCH SAGE</v>
      </c>
    </row>
    <row r="218" spans="1:23">
      <c r="A218" s="155"/>
      <c r="B218" s="153">
        <v>213</v>
      </c>
      <c r="C218" s="153" t="s">
        <v>360</v>
      </c>
      <c r="D218" s="153" t="s">
        <v>228</v>
      </c>
      <c r="E218" s="154">
        <v>0.36</v>
      </c>
      <c r="F218" s="154">
        <f t="shared" si="123"/>
        <v>6.0000000000000005E-2</v>
      </c>
      <c r="G218" s="154">
        <f t="shared" si="120"/>
        <v>0.42</v>
      </c>
      <c r="H218" s="154">
        <f t="shared" si="121"/>
        <v>0.47000000000000003</v>
      </c>
      <c r="I218" s="154">
        <f t="shared" si="122"/>
        <v>0</v>
      </c>
      <c r="J218" s="220">
        <v>44949</v>
      </c>
      <c r="K218" s="138">
        <v>401</v>
      </c>
      <c r="L218" s="159" t="s">
        <v>977</v>
      </c>
      <c r="M218" s="159">
        <v>3.3</v>
      </c>
      <c r="N218" s="178">
        <v>4</v>
      </c>
      <c r="O218" s="180">
        <f t="shared" si="124"/>
        <v>0.4</v>
      </c>
      <c r="P218" s="180">
        <f t="shared" si="128"/>
        <v>4.4000000000000004</v>
      </c>
      <c r="Q218" s="180">
        <f t="shared" si="129"/>
        <v>14.52</v>
      </c>
      <c r="R218" s="178">
        <f t="shared" si="125"/>
        <v>15.98</v>
      </c>
      <c r="S218" s="155"/>
      <c r="T218" s="155"/>
      <c r="U218" s="159">
        <f t="shared" si="130"/>
        <v>0</v>
      </c>
      <c r="V218" s="154">
        <f t="shared" si="126"/>
        <v>0</v>
      </c>
      <c r="W218" s="273" t="str">
        <f t="shared" si="127"/>
        <v>INVENTORY PRICE DOESN'T MATCH SAGE</v>
      </c>
    </row>
    <row r="219" spans="1:23">
      <c r="A219" s="155"/>
      <c r="B219" s="153">
        <v>214</v>
      </c>
      <c r="C219" s="153" t="s">
        <v>361</v>
      </c>
      <c r="D219" s="153" t="s">
        <v>246</v>
      </c>
      <c r="E219" s="154">
        <v>0.55000000000000004</v>
      </c>
      <c r="F219" s="154">
        <f t="shared" si="123"/>
        <v>0.09</v>
      </c>
      <c r="G219" s="154">
        <f t="shared" si="120"/>
        <v>0.64</v>
      </c>
      <c r="H219" s="154">
        <f t="shared" si="121"/>
        <v>0.71</v>
      </c>
      <c r="I219" s="154">
        <f t="shared" si="122"/>
        <v>0</v>
      </c>
      <c r="J219" s="220">
        <v>44949</v>
      </c>
      <c r="K219" s="138">
        <v>402</v>
      </c>
      <c r="L219" s="181" t="s">
        <v>978</v>
      </c>
      <c r="M219" s="159">
        <v>4.5</v>
      </c>
      <c r="N219" s="178">
        <v>4</v>
      </c>
      <c r="O219" s="180">
        <f t="shared" si="124"/>
        <v>0.4</v>
      </c>
      <c r="P219" s="180">
        <f t="shared" si="128"/>
        <v>4.4000000000000004</v>
      </c>
      <c r="Q219" s="180">
        <f t="shared" si="129"/>
        <v>19.8</v>
      </c>
      <c r="R219" s="178">
        <f t="shared" si="125"/>
        <v>21.78</v>
      </c>
      <c r="S219" s="155"/>
      <c r="T219" s="155"/>
      <c r="U219" s="159">
        <f t="shared" si="130"/>
        <v>0</v>
      </c>
      <c r="V219" s="154">
        <f t="shared" si="126"/>
        <v>0</v>
      </c>
      <c r="W219" s="273" t="str">
        <f t="shared" si="127"/>
        <v>INVENTORY PRICE DOESN'T MATCH SAGE</v>
      </c>
    </row>
    <row r="220" spans="1:23">
      <c r="A220" s="155"/>
      <c r="B220" s="153">
        <v>215</v>
      </c>
      <c r="C220" s="153" t="s">
        <v>362</v>
      </c>
      <c r="D220" s="153" t="s">
        <v>228</v>
      </c>
      <c r="E220" s="154">
        <v>12.35</v>
      </c>
      <c r="F220" s="154">
        <f t="shared" si="123"/>
        <v>1.86</v>
      </c>
      <c r="G220" s="154">
        <f t="shared" si="120"/>
        <v>14.209999999999999</v>
      </c>
      <c r="H220" s="154">
        <f t="shared" si="121"/>
        <v>15.64</v>
      </c>
      <c r="I220" s="154">
        <f t="shared" si="122"/>
        <v>0</v>
      </c>
      <c r="J220" s="220">
        <v>44949</v>
      </c>
      <c r="K220" s="138">
        <v>403</v>
      </c>
      <c r="L220" s="181" t="s">
        <v>979</v>
      </c>
      <c r="M220" s="159">
        <v>5.2450000000000001</v>
      </c>
      <c r="N220" s="178">
        <v>4</v>
      </c>
      <c r="O220" s="180">
        <f t="shared" si="124"/>
        <v>0.4</v>
      </c>
      <c r="P220" s="180">
        <f t="shared" si="128"/>
        <v>4.4000000000000004</v>
      </c>
      <c r="Q220" s="180">
        <f t="shared" si="129"/>
        <v>23.080000000000002</v>
      </c>
      <c r="R220" s="178">
        <f t="shared" si="125"/>
        <v>25.39</v>
      </c>
      <c r="S220" s="155"/>
      <c r="T220" s="155"/>
      <c r="U220" s="159">
        <f t="shared" si="130"/>
        <v>0</v>
      </c>
      <c r="V220" s="154">
        <f t="shared" si="126"/>
        <v>0</v>
      </c>
      <c r="W220" s="273" t="str">
        <f t="shared" si="127"/>
        <v>INVENTORY PRICE DOESN'T MATCH SAGE</v>
      </c>
    </row>
    <row r="221" spans="1:23">
      <c r="A221" s="155"/>
      <c r="B221" s="153">
        <v>216</v>
      </c>
      <c r="C221" s="153" t="s">
        <v>363</v>
      </c>
      <c r="D221" s="153" t="s">
        <v>228</v>
      </c>
      <c r="E221" s="154">
        <v>2.99</v>
      </c>
      <c r="F221" s="154">
        <f t="shared" si="123"/>
        <v>0.45</v>
      </c>
      <c r="G221" s="154">
        <f t="shared" si="120"/>
        <v>3.4400000000000004</v>
      </c>
      <c r="H221" s="154">
        <f t="shared" si="121"/>
        <v>3.7899999999999996</v>
      </c>
      <c r="I221" s="154">
        <f t="shared" si="122"/>
        <v>0</v>
      </c>
      <c r="J221" s="220">
        <v>44476</v>
      </c>
    </row>
    <row r="222" spans="1:23">
      <c r="A222" s="155"/>
      <c r="B222" s="153">
        <v>217</v>
      </c>
      <c r="C222" s="153" t="s">
        <v>364</v>
      </c>
      <c r="D222" s="153" t="s">
        <v>228</v>
      </c>
      <c r="E222" s="154">
        <v>9.42</v>
      </c>
      <c r="F222" s="154">
        <f t="shared" si="123"/>
        <v>1.42</v>
      </c>
      <c r="G222" s="154">
        <f t="shared" si="120"/>
        <v>10.84</v>
      </c>
      <c r="H222" s="154">
        <f t="shared" si="121"/>
        <v>11.93</v>
      </c>
      <c r="I222" s="154">
        <f t="shared" si="122"/>
        <v>0</v>
      </c>
      <c r="J222" s="220">
        <v>44476</v>
      </c>
    </row>
    <row r="223" spans="1:23" ht="15" thickBot="1">
      <c r="A223" s="155"/>
      <c r="B223" s="153">
        <v>218</v>
      </c>
      <c r="C223" s="153" t="s">
        <v>365</v>
      </c>
      <c r="D223" s="153" t="s">
        <v>228</v>
      </c>
      <c r="E223" s="154">
        <v>2.72</v>
      </c>
      <c r="F223" s="154">
        <f t="shared" si="123"/>
        <v>0.41000000000000003</v>
      </c>
      <c r="G223" s="154">
        <f t="shared" si="120"/>
        <v>3.1300000000000003</v>
      </c>
      <c r="H223" s="154">
        <f t="shared" si="121"/>
        <v>3.4499999999999997</v>
      </c>
      <c r="I223" s="154">
        <f t="shared" si="122"/>
        <v>0</v>
      </c>
      <c r="J223" s="220"/>
      <c r="L223" s="176" t="s">
        <v>1005</v>
      </c>
      <c r="M223" s="176"/>
      <c r="N223" s="176"/>
      <c r="O223" s="176"/>
      <c r="P223" s="138" t="s">
        <v>713</v>
      </c>
      <c r="Q223" s="179">
        <v>44629</v>
      </c>
      <c r="R223" s="213"/>
      <c r="S223" s="138" t="s">
        <v>918</v>
      </c>
      <c r="T223" s="138" t="s">
        <v>919</v>
      </c>
      <c r="U223" s="138" t="s">
        <v>12</v>
      </c>
    </row>
    <row r="224" spans="1:23">
      <c r="A224" s="155"/>
      <c r="B224" s="153">
        <v>219</v>
      </c>
      <c r="C224" s="153" t="s">
        <v>366</v>
      </c>
      <c r="D224" s="153" t="s">
        <v>228</v>
      </c>
      <c r="E224" s="154">
        <v>1.38</v>
      </c>
      <c r="F224" s="154">
        <f t="shared" si="123"/>
        <v>0.21000000000000002</v>
      </c>
      <c r="G224" s="154">
        <f t="shared" si="120"/>
        <v>1.5899999999999999</v>
      </c>
      <c r="H224" s="154">
        <f t="shared" si="121"/>
        <v>1.75</v>
      </c>
      <c r="I224" s="154">
        <f t="shared" si="122"/>
        <v>0</v>
      </c>
      <c r="J224" s="220"/>
      <c r="K224" s="138" t="s">
        <v>690</v>
      </c>
      <c r="L224" s="138" t="s">
        <v>910</v>
      </c>
      <c r="M224" s="138" t="s">
        <v>911</v>
      </c>
      <c r="N224" s="138" t="s">
        <v>693</v>
      </c>
      <c r="O224" s="138" t="s">
        <v>712</v>
      </c>
      <c r="P224" s="177" t="s">
        <v>711</v>
      </c>
      <c r="Q224" s="177" t="s">
        <v>913</v>
      </c>
      <c r="R224" s="138" t="s">
        <v>694</v>
      </c>
      <c r="S224" s="216">
        <v>20</v>
      </c>
      <c r="T224" s="138" t="s">
        <v>915</v>
      </c>
      <c r="U224" s="138" t="s">
        <v>914</v>
      </c>
      <c r="V224" s="158" t="s">
        <v>12</v>
      </c>
    </row>
    <row r="225" spans="1:23">
      <c r="A225" s="155"/>
      <c r="B225" s="153">
        <v>220</v>
      </c>
      <c r="C225" s="153" t="s">
        <v>367</v>
      </c>
      <c r="D225" s="153" t="s">
        <v>228</v>
      </c>
      <c r="E225" s="154">
        <v>0.24</v>
      </c>
      <c r="F225" s="154">
        <f t="shared" si="123"/>
        <v>0.04</v>
      </c>
      <c r="G225" s="154">
        <f t="shared" si="120"/>
        <v>0.27999999999999997</v>
      </c>
      <c r="H225" s="154">
        <f t="shared" si="121"/>
        <v>0.31</v>
      </c>
      <c r="I225" s="154">
        <f t="shared" si="122"/>
        <v>0</v>
      </c>
      <c r="J225" s="220"/>
      <c r="K225" s="138">
        <v>117</v>
      </c>
      <c r="L225" s="159" t="s">
        <v>980</v>
      </c>
      <c r="M225" s="159">
        <v>0.42499999999999999</v>
      </c>
      <c r="N225" s="180">
        <v>2.35</v>
      </c>
      <c r="O225" s="180">
        <f t="shared" ref="O225:O237" si="131">ROUNDDOWN(N225*0.1,2)</f>
        <v>0.23</v>
      </c>
      <c r="P225" s="180">
        <f>N225+O225</f>
        <v>2.58</v>
      </c>
      <c r="Q225" s="180">
        <f>ROUNDUP(P225*M225,2)</f>
        <v>1.1000000000000001</v>
      </c>
      <c r="R225" s="178">
        <f t="shared" ref="R225:R237" si="132">ROUNDUP(Q225*1.1,2)</f>
        <v>1.21</v>
      </c>
      <c r="S225" s="155"/>
      <c r="T225" s="155"/>
      <c r="U225" s="159">
        <f>($S$224*S225)+T225</f>
        <v>0</v>
      </c>
      <c r="V225" s="154">
        <f t="shared" ref="V225:V237" si="133">ROUNDUP(IF($C$2="Inventory Cost",P225*U225,Q225*U225),2)</f>
        <v>0</v>
      </c>
      <c r="W225" s="273" t="str">
        <f t="shared" ref="W225:W237" si="134">IF(ISNUMBER(K225),IF(VLOOKUP(K225,$B$6:$E$1302,4,FALSE)=Q225,"","INVENTORY PRICE DOESN'T MATCH SAGE"),"")</f>
        <v>INVENTORY PRICE DOESN'T MATCH SAGE</v>
      </c>
    </row>
    <row r="226" spans="1:23">
      <c r="A226" s="155"/>
      <c r="B226" s="153">
        <v>221</v>
      </c>
      <c r="C226" s="153" t="s">
        <v>368</v>
      </c>
      <c r="D226" s="153" t="s">
        <v>228</v>
      </c>
      <c r="E226" s="154">
        <v>0.78</v>
      </c>
      <c r="F226" s="154">
        <f t="shared" si="123"/>
        <v>0.12</v>
      </c>
      <c r="G226" s="154">
        <f t="shared" si="120"/>
        <v>0.9</v>
      </c>
      <c r="H226" s="154">
        <f t="shared" si="121"/>
        <v>0.99</v>
      </c>
      <c r="I226" s="154">
        <f t="shared" si="122"/>
        <v>0</v>
      </c>
      <c r="J226" s="220"/>
      <c r="K226" s="138">
        <v>118</v>
      </c>
      <c r="L226" s="159" t="s">
        <v>981</v>
      </c>
      <c r="M226" s="159">
        <v>0.63800000000000001</v>
      </c>
      <c r="N226" s="180">
        <v>2.35</v>
      </c>
      <c r="O226" s="180">
        <f t="shared" si="131"/>
        <v>0.23</v>
      </c>
      <c r="P226" s="180">
        <f t="shared" ref="P226:P237" si="135">N226+O226</f>
        <v>2.58</v>
      </c>
      <c r="Q226" s="180">
        <f t="shared" ref="Q226:Q237" si="136">ROUNDUP(P226*M226,2)</f>
        <v>1.65</v>
      </c>
      <c r="R226" s="178">
        <f t="shared" si="132"/>
        <v>1.82</v>
      </c>
      <c r="S226" s="155"/>
      <c r="T226" s="155"/>
      <c r="U226" s="159">
        <f t="shared" ref="U226:U237" si="137">($S$224*S226)+T226</f>
        <v>0</v>
      </c>
      <c r="V226" s="154">
        <f t="shared" si="133"/>
        <v>0</v>
      </c>
      <c r="W226" s="273" t="str">
        <f t="shared" si="134"/>
        <v>INVENTORY PRICE DOESN'T MATCH SAGE</v>
      </c>
    </row>
    <row r="227" spans="1:23">
      <c r="A227" s="155"/>
      <c r="B227" s="153">
        <v>222</v>
      </c>
      <c r="C227" s="153" t="s">
        <v>369</v>
      </c>
      <c r="D227" s="153" t="s">
        <v>228</v>
      </c>
      <c r="E227" s="154">
        <v>4.33</v>
      </c>
      <c r="F227" s="154">
        <f t="shared" si="123"/>
        <v>0.65</v>
      </c>
      <c r="G227" s="154">
        <f t="shared" si="120"/>
        <v>4.9800000000000004</v>
      </c>
      <c r="H227" s="154">
        <f t="shared" si="121"/>
        <v>5.4799999999999995</v>
      </c>
      <c r="I227" s="154">
        <f t="shared" si="122"/>
        <v>0</v>
      </c>
      <c r="J227" s="220"/>
      <c r="K227" s="138">
        <v>119</v>
      </c>
      <c r="L227" s="159" t="s">
        <v>982</v>
      </c>
      <c r="M227" s="159">
        <v>0.95599999999999996</v>
      </c>
      <c r="N227" s="180">
        <v>2.35</v>
      </c>
      <c r="O227" s="180">
        <f t="shared" si="131"/>
        <v>0.23</v>
      </c>
      <c r="P227" s="180">
        <f t="shared" si="135"/>
        <v>2.58</v>
      </c>
      <c r="Q227" s="180">
        <f t="shared" si="136"/>
        <v>2.4699999999999998</v>
      </c>
      <c r="R227" s="178">
        <f t="shared" si="132"/>
        <v>2.7199999999999998</v>
      </c>
      <c r="S227" s="155"/>
      <c r="T227" s="155"/>
      <c r="U227" s="159">
        <f t="shared" si="137"/>
        <v>0</v>
      </c>
      <c r="V227" s="154">
        <f t="shared" si="133"/>
        <v>0</v>
      </c>
      <c r="W227" s="273" t="str">
        <f t="shared" si="134"/>
        <v>INVENTORY PRICE DOESN'T MATCH SAGE</v>
      </c>
    </row>
    <row r="228" spans="1:23">
      <c r="A228" s="155"/>
      <c r="B228" s="153">
        <v>223</v>
      </c>
      <c r="C228" s="153" t="s">
        <v>370</v>
      </c>
      <c r="D228" s="153" t="s">
        <v>228</v>
      </c>
      <c r="E228" s="154">
        <v>1.35</v>
      </c>
      <c r="F228" s="154">
        <f t="shared" si="123"/>
        <v>0.21000000000000002</v>
      </c>
      <c r="G228" s="154">
        <f t="shared" si="120"/>
        <v>1.56</v>
      </c>
      <c r="H228" s="154">
        <f t="shared" si="121"/>
        <v>1.72</v>
      </c>
      <c r="I228" s="154">
        <f t="shared" si="122"/>
        <v>0</v>
      </c>
      <c r="J228" s="220"/>
      <c r="K228" s="138">
        <v>124</v>
      </c>
      <c r="L228" s="159" t="s">
        <v>276</v>
      </c>
      <c r="M228" s="159">
        <v>0.85</v>
      </c>
      <c r="N228" s="180">
        <v>2.35</v>
      </c>
      <c r="O228" s="180">
        <f t="shared" si="131"/>
        <v>0.23</v>
      </c>
      <c r="P228" s="180">
        <f t="shared" si="135"/>
        <v>2.58</v>
      </c>
      <c r="Q228" s="180">
        <f t="shared" si="136"/>
        <v>2.1999999999999997</v>
      </c>
      <c r="R228" s="178">
        <f t="shared" si="132"/>
        <v>2.42</v>
      </c>
      <c r="S228" s="155"/>
      <c r="T228" s="155"/>
      <c r="U228" s="159">
        <f t="shared" si="137"/>
        <v>0</v>
      </c>
      <c r="V228" s="154">
        <f t="shared" si="133"/>
        <v>0</v>
      </c>
      <c r="W228" s="273" t="str">
        <f t="shared" si="134"/>
        <v>INVENTORY PRICE DOESN'T MATCH SAGE</v>
      </c>
    </row>
    <row r="229" spans="1:23">
      <c r="A229" s="155"/>
      <c r="B229" s="153">
        <v>224</v>
      </c>
      <c r="C229" s="153" t="s">
        <v>371</v>
      </c>
      <c r="D229" s="153" t="s">
        <v>228</v>
      </c>
      <c r="E229" s="154">
        <v>3.5</v>
      </c>
      <c r="F229" s="154">
        <f t="shared" si="123"/>
        <v>0.53</v>
      </c>
      <c r="G229" s="154">
        <f t="shared" si="120"/>
        <v>4.03</v>
      </c>
      <c r="H229" s="154">
        <f t="shared" si="121"/>
        <v>4.4399999999999995</v>
      </c>
      <c r="I229" s="154">
        <f t="shared" si="122"/>
        <v>0</v>
      </c>
      <c r="J229" s="220"/>
      <c r="K229" s="138">
        <v>126</v>
      </c>
      <c r="L229" s="159" t="s">
        <v>277</v>
      </c>
      <c r="M229" s="159">
        <v>1.28</v>
      </c>
      <c r="N229" s="180">
        <v>2.35</v>
      </c>
      <c r="O229" s="180">
        <f t="shared" si="131"/>
        <v>0.23</v>
      </c>
      <c r="P229" s="180">
        <f t="shared" si="135"/>
        <v>2.58</v>
      </c>
      <c r="Q229" s="180">
        <f t="shared" si="136"/>
        <v>3.3099999999999996</v>
      </c>
      <c r="R229" s="178">
        <f t="shared" si="132"/>
        <v>3.65</v>
      </c>
      <c r="S229" s="155"/>
      <c r="T229" s="155"/>
      <c r="U229" s="159">
        <f t="shared" si="137"/>
        <v>0</v>
      </c>
      <c r="V229" s="154">
        <f t="shared" si="133"/>
        <v>0</v>
      </c>
      <c r="W229" s="273" t="str">
        <f t="shared" si="134"/>
        <v>INVENTORY PRICE DOESN'T MATCH SAGE</v>
      </c>
    </row>
    <row r="230" spans="1:23">
      <c r="A230" s="155"/>
      <c r="B230" s="153">
        <v>225</v>
      </c>
      <c r="C230" s="153" t="s">
        <v>372</v>
      </c>
      <c r="D230" s="153" t="s">
        <v>228</v>
      </c>
      <c r="E230" s="154">
        <v>16.45</v>
      </c>
      <c r="F230" s="154">
        <f t="shared" si="123"/>
        <v>2.4699999999999998</v>
      </c>
      <c r="G230" s="154">
        <f t="shared" si="120"/>
        <v>18.919999999999998</v>
      </c>
      <c r="H230" s="154">
        <f t="shared" si="121"/>
        <v>20.82</v>
      </c>
      <c r="I230" s="154">
        <f t="shared" si="122"/>
        <v>0</v>
      </c>
      <c r="J230" s="220"/>
      <c r="K230" s="138">
        <v>121</v>
      </c>
      <c r="L230" s="159" t="s">
        <v>983</v>
      </c>
      <c r="M230" s="159">
        <v>1.7</v>
      </c>
      <c r="N230" s="180">
        <v>2.35</v>
      </c>
      <c r="O230" s="180">
        <f t="shared" si="131"/>
        <v>0.23</v>
      </c>
      <c r="P230" s="180">
        <f t="shared" si="135"/>
        <v>2.58</v>
      </c>
      <c r="Q230" s="180">
        <f t="shared" si="136"/>
        <v>4.3899999999999997</v>
      </c>
      <c r="R230" s="178">
        <f t="shared" si="132"/>
        <v>4.83</v>
      </c>
      <c r="S230" s="155"/>
      <c r="T230" s="155"/>
      <c r="U230" s="159">
        <f t="shared" si="137"/>
        <v>0</v>
      </c>
      <c r="V230" s="154">
        <f t="shared" si="133"/>
        <v>0</v>
      </c>
      <c r="W230" s="273" t="str">
        <f t="shared" si="134"/>
        <v>INVENTORY PRICE DOESN'T MATCH SAGE</v>
      </c>
    </row>
    <row r="231" spans="1:23">
      <c r="A231" s="155"/>
      <c r="B231" s="153">
        <v>226</v>
      </c>
      <c r="C231" s="153" t="s">
        <v>373</v>
      </c>
      <c r="D231" s="153" t="s">
        <v>228</v>
      </c>
      <c r="E231" s="154">
        <v>2.61</v>
      </c>
      <c r="F231" s="154">
        <f t="shared" si="123"/>
        <v>0.4</v>
      </c>
      <c r="G231" s="154">
        <f t="shared" si="120"/>
        <v>3.01</v>
      </c>
      <c r="H231" s="154">
        <f t="shared" si="121"/>
        <v>3.32</v>
      </c>
      <c r="I231" s="154">
        <f t="shared" si="122"/>
        <v>0</v>
      </c>
      <c r="J231" s="220"/>
      <c r="K231" s="138">
        <v>122</v>
      </c>
      <c r="L231" s="159" t="s">
        <v>984</v>
      </c>
      <c r="M231" s="159">
        <v>3.9220000000000002</v>
      </c>
      <c r="N231" s="180">
        <v>2.35</v>
      </c>
      <c r="O231" s="180">
        <f t="shared" si="131"/>
        <v>0.23</v>
      </c>
      <c r="P231" s="180">
        <f t="shared" si="135"/>
        <v>2.58</v>
      </c>
      <c r="Q231" s="180">
        <f t="shared" si="136"/>
        <v>10.119999999999999</v>
      </c>
      <c r="R231" s="178">
        <f t="shared" si="132"/>
        <v>11.14</v>
      </c>
      <c r="S231" s="155"/>
      <c r="T231" s="155"/>
      <c r="U231" s="159">
        <f t="shared" si="137"/>
        <v>0</v>
      </c>
      <c r="V231" s="154">
        <f t="shared" si="133"/>
        <v>0</v>
      </c>
      <c r="W231" s="273" t="str">
        <f t="shared" si="134"/>
        <v>INVENTORY PRICE DOESN'T MATCH SAGE</v>
      </c>
    </row>
    <row r="232" spans="1:23">
      <c r="A232" s="155"/>
      <c r="B232" s="153">
        <v>227</v>
      </c>
      <c r="C232" s="153" t="s">
        <v>374</v>
      </c>
      <c r="D232" s="153" t="s">
        <v>228</v>
      </c>
      <c r="E232" s="154">
        <v>1.58</v>
      </c>
      <c r="F232" s="154">
        <f t="shared" si="123"/>
        <v>0.24000000000000002</v>
      </c>
      <c r="G232" s="154">
        <f t="shared" si="120"/>
        <v>1.82</v>
      </c>
      <c r="H232" s="154">
        <f t="shared" si="121"/>
        <v>2.0099999999999998</v>
      </c>
      <c r="I232" s="154">
        <f t="shared" si="122"/>
        <v>0</v>
      </c>
      <c r="J232" s="220"/>
      <c r="K232" s="138">
        <v>129</v>
      </c>
      <c r="L232" s="159" t="s">
        <v>985</v>
      </c>
      <c r="M232" s="159">
        <v>1.913</v>
      </c>
      <c r="N232" s="180">
        <v>2.35</v>
      </c>
      <c r="O232" s="180">
        <f t="shared" si="131"/>
        <v>0.23</v>
      </c>
      <c r="P232" s="180">
        <f t="shared" si="135"/>
        <v>2.58</v>
      </c>
      <c r="Q232" s="180">
        <f t="shared" si="136"/>
        <v>4.9399999999999995</v>
      </c>
      <c r="R232" s="178">
        <f t="shared" si="132"/>
        <v>5.4399999999999995</v>
      </c>
      <c r="S232" s="155"/>
      <c r="T232" s="155"/>
      <c r="U232" s="159">
        <f t="shared" si="137"/>
        <v>0</v>
      </c>
      <c r="V232" s="154">
        <f t="shared" si="133"/>
        <v>0</v>
      </c>
      <c r="W232" s="273" t="str">
        <f t="shared" si="134"/>
        <v>INVENTORY PRICE DOESN'T MATCH SAGE</v>
      </c>
    </row>
    <row r="233" spans="1:23">
      <c r="A233" s="155"/>
      <c r="B233" s="153">
        <v>228</v>
      </c>
      <c r="C233" s="153" t="s">
        <v>375</v>
      </c>
      <c r="D233" s="153" t="s">
        <v>228</v>
      </c>
      <c r="E233" s="154">
        <v>3.34</v>
      </c>
      <c r="F233" s="154">
        <f t="shared" si="123"/>
        <v>0.51</v>
      </c>
      <c r="G233" s="154">
        <f t="shared" si="120"/>
        <v>3.8499999999999996</v>
      </c>
      <c r="H233" s="154">
        <f t="shared" si="121"/>
        <v>4.24</v>
      </c>
      <c r="I233" s="154">
        <f t="shared" si="122"/>
        <v>0</v>
      </c>
      <c r="J233" s="220">
        <v>46066</v>
      </c>
      <c r="K233" s="138">
        <v>130</v>
      </c>
      <c r="L233" s="159" t="s">
        <v>280</v>
      </c>
      <c r="M233" s="159">
        <v>2.5499999999999998</v>
      </c>
      <c r="N233" s="180">
        <v>2.35</v>
      </c>
      <c r="O233" s="180">
        <f t="shared" si="131"/>
        <v>0.23</v>
      </c>
      <c r="P233" s="180">
        <f t="shared" si="135"/>
        <v>2.58</v>
      </c>
      <c r="Q233" s="180">
        <f t="shared" si="136"/>
        <v>6.58</v>
      </c>
      <c r="R233" s="178">
        <f t="shared" si="132"/>
        <v>7.24</v>
      </c>
      <c r="S233" s="155"/>
      <c r="T233" s="155"/>
      <c r="U233" s="159">
        <f t="shared" si="137"/>
        <v>0</v>
      </c>
      <c r="V233" s="154">
        <f t="shared" si="133"/>
        <v>0</v>
      </c>
      <c r="W233" s="273" t="str">
        <f t="shared" si="134"/>
        <v>INVENTORY PRICE DOESN'T MATCH SAGE</v>
      </c>
    </row>
    <row r="234" spans="1:23">
      <c r="A234" s="155"/>
      <c r="B234" s="153">
        <v>229</v>
      </c>
      <c r="C234" s="153" t="s">
        <v>376</v>
      </c>
      <c r="D234" s="153" t="s">
        <v>228</v>
      </c>
      <c r="E234" s="154">
        <v>4.7300000000000004</v>
      </c>
      <c r="F234" s="154">
        <f t="shared" si="123"/>
        <v>0.71</v>
      </c>
      <c r="G234" s="154">
        <f t="shared" si="120"/>
        <v>5.44</v>
      </c>
      <c r="H234" s="154">
        <f t="shared" si="121"/>
        <v>5.99</v>
      </c>
      <c r="I234" s="154">
        <f t="shared" si="122"/>
        <v>0</v>
      </c>
      <c r="J234" s="220">
        <v>46066</v>
      </c>
      <c r="K234" s="138">
        <v>132</v>
      </c>
      <c r="L234" s="159" t="s">
        <v>282</v>
      </c>
      <c r="M234" s="159">
        <v>3.4</v>
      </c>
      <c r="N234" s="180">
        <v>1.1000000000000001</v>
      </c>
      <c r="O234" s="180">
        <f t="shared" si="131"/>
        <v>0.11</v>
      </c>
      <c r="P234" s="180">
        <f t="shared" si="135"/>
        <v>1.2100000000000002</v>
      </c>
      <c r="Q234" s="180">
        <f t="shared" si="136"/>
        <v>4.12</v>
      </c>
      <c r="R234" s="178">
        <f t="shared" si="132"/>
        <v>4.54</v>
      </c>
      <c r="S234" s="155"/>
      <c r="T234" s="155"/>
      <c r="U234" s="159">
        <f t="shared" si="137"/>
        <v>0</v>
      </c>
      <c r="V234" s="154">
        <f t="shared" si="133"/>
        <v>0</v>
      </c>
      <c r="W234" s="273" t="str">
        <f t="shared" si="134"/>
        <v>INVENTORY PRICE DOESN'T MATCH SAGE</v>
      </c>
    </row>
    <row r="235" spans="1:23">
      <c r="A235" s="155"/>
      <c r="B235" s="153">
        <v>230</v>
      </c>
      <c r="C235" s="153" t="s">
        <v>377</v>
      </c>
      <c r="D235" s="153" t="s">
        <v>228</v>
      </c>
      <c r="E235" s="154">
        <v>6.96</v>
      </c>
      <c r="F235" s="154">
        <f t="shared" si="123"/>
        <v>1.05</v>
      </c>
      <c r="G235" s="154">
        <f t="shared" si="120"/>
        <v>8.01</v>
      </c>
      <c r="H235" s="154">
        <f t="shared" si="121"/>
        <v>8.82</v>
      </c>
      <c r="I235" s="154">
        <f t="shared" si="122"/>
        <v>0</v>
      </c>
      <c r="J235" s="220">
        <v>46066</v>
      </c>
      <c r="K235" s="138">
        <v>133</v>
      </c>
      <c r="L235" s="159" t="s">
        <v>986</v>
      </c>
      <c r="M235" s="159">
        <v>6.8</v>
      </c>
      <c r="N235" s="180">
        <v>1.1000000000000001</v>
      </c>
      <c r="O235" s="180">
        <f t="shared" si="131"/>
        <v>0.11</v>
      </c>
      <c r="P235" s="180">
        <f>N235+O235</f>
        <v>1.2100000000000002</v>
      </c>
      <c r="Q235" s="180">
        <f>ROUNDUP(P235*M235,2)</f>
        <v>8.23</v>
      </c>
      <c r="R235" s="178">
        <f t="shared" si="132"/>
        <v>9.06</v>
      </c>
      <c r="S235" s="155"/>
      <c r="T235" s="155"/>
      <c r="U235" s="159">
        <f>($S$224*S235)+T235</f>
        <v>0</v>
      </c>
      <c r="V235" s="154">
        <f>ROUNDUP(IF($C$2="Inventory Cost",P235*U235,Q235*U235),2)</f>
        <v>0</v>
      </c>
      <c r="W235" s="273" t="str">
        <f t="shared" si="134"/>
        <v>INVENTORY PRICE DOESN'T MATCH SAGE</v>
      </c>
    </row>
    <row r="236" spans="1:23">
      <c r="A236" s="155"/>
      <c r="B236" s="153">
        <v>231</v>
      </c>
      <c r="C236" s="153" t="s">
        <v>378</v>
      </c>
      <c r="D236" s="153" t="s">
        <v>228</v>
      </c>
      <c r="E236" s="154">
        <v>9.9</v>
      </c>
      <c r="F236" s="154">
        <f t="shared" si="123"/>
        <v>1.49</v>
      </c>
      <c r="G236" s="154">
        <f t="shared" si="120"/>
        <v>11.39</v>
      </c>
      <c r="H236" s="154">
        <f t="shared" si="121"/>
        <v>12.53</v>
      </c>
      <c r="I236" s="154">
        <f t="shared" si="122"/>
        <v>0</v>
      </c>
      <c r="J236" s="220">
        <v>46066</v>
      </c>
      <c r="K236" s="138">
        <v>135</v>
      </c>
      <c r="L236" s="159" t="s">
        <v>284</v>
      </c>
      <c r="M236" s="159">
        <v>7.65</v>
      </c>
      <c r="N236" s="180">
        <v>1.1000000000000001</v>
      </c>
      <c r="O236" s="180">
        <f t="shared" si="131"/>
        <v>0.11</v>
      </c>
      <c r="P236" s="180">
        <f>N236+O236</f>
        <v>1.2100000000000002</v>
      </c>
      <c r="Q236" s="180">
        <f>ROUNDUP(P236*M236,2)</f>
        <v>9.26</v>
      </c>
      <c r="R236" s="178">
        <f t="shared" si="132"/>
        <v>10.19</v>
      </c>
      <c r="S236" s="155"/>
      <c r="T236" s="155"/>
      <c r="U236" s="159">
        <f>($S$224*S236)+T236</f>
        <v>0</v>
      </c>
      <c r="V236" s="154">
        <f>ROUNDUP(IF($C$2="Inventory Cost",P236*U236,Q236*U236),2)</f>
        <v>0</v>
      </c>
      <c r="W236" s="273" t="str">
        <f t="shared" si="134"/>
        <v>INVENTORY PRICE DOESN'T MATCH SAGE</v>
      </c>
    </row>
    <row r="237" spans="1:23">
      <c r="A237" s="155"/>
      <c r="B237" s="153">
        <v>232</v>
      </c>
      <c r="C237" s="153" t="s">
        <v>379</v>
      </c>
      <c r="D237" s="153" t="s">
        <v>228</v>
      </c>
      <c r="E237" s="154">
        <v>10.130000000000001</v>
      </c>
      <c r="F237" s="154">
        <f t="shared" si="123"/>
        <v>1.52</v>
      </c>
      <c r="G237" s="154">
        <f t="shared" si="120"/>
        <v>11.65</v>
      </c>
      <c r="H237" s="154">
        <f t="shared" si="121"/>
        <v>12.82</v>
      </c>
      <c r="I237" s="154">
        <f t="shared" si="122"/>
        <v>0</v>
      </c>
      <c r="J237" s="220">
        <v>46066</v>
      </c>
      <c r="L237" s="159" t="s">
        <v>987</v>
      </c>
      <c r="M237" s="159">
        <v>10.199999999999999</v>
      </c>
      <c r="N237" s="180">
        <v>1.1000000000000001</v>
      </c>
      <c r="O237" s="180">
        <f t="shared" si="131"/>
        <v>0.11</v>
      </c>
      <c r="P237" s="180">
        <f t="shared" si="135"/>
        <v>1.2100000000000002</v>
      </c>
      <c r="Q237" s="180">
        <f t="shared" si="136"/>
        <v>12.35</v>
      </c>
      <c r="R237" s="178">
        <f t="shared" si="132"/>
        <v>13.59</v>
      </c>
      <c r="S237" s="155"/>
      <c r="T237" s="155"/>
      <c r="U237" s="159">
        <f t="shared" si="137"/>
        <v>0</v>
      </c>
      <c r="V237" s="154">
        <f t="shared" si="133"/>
        <v>0</v>
      </c>
      <c r="W237" s="273" t="str">
        <f t="shared" si="134"/>
        <v/>
      </c>
    </row>
    <row r="238" spans="1:23">
      <c r="A238" s="155"/>
      <c r="B238" s="153">
        <v>233</v>
      </c>
      <c r="C238" s="153" t="s">
        <v>380</v>
      </c>
      <c r="D238" s="153" t="s">
        <v>228</v>
      </c>
      <c r="E238" s="154">
        <v>10.130000000000001</v>
      </c>
      <c r="F238" s="154">
        <f t="shared" si="123"/>
        <v>1.52</v>
      </c>
      <c r="G238" s="154">
        <f t="shared" si="120"/>
        <v>11.65</v>
      </c>
      <c r="H238" s="154">
        <f t="shared" si="121"/>
        <v>12.82</v>
      </c>
      <c r="I238" s="154">
        <f t="shared" si="122"/>
        <v>0</v>
      </c>
      <c r="J238" s="220">
        <v>46066</v>
      </c>
    </row>
    <row r="239" spans="1:23">
      <c r="A239" s="155"/>
      <c r="B239" s="153">
        <v>234</v>
      </c>
      <c r="C239" s="153" t="s">
        <v>381</v>
      </c>
      <c r="D239" s="153" t="s">
        <v>228</v>
      </c>
      <c r="E239" s="154">
        <v>10.35</v>
      </c>
      <c r="F239" s="154">
        <f t="shared" si="123"/>
        <v>1.56</v>
      </c>
      <c r="G239" s="154">
        <f t="shared" si="120"/>
        <v>11.91</v>
      </c>
      <c r="H239" s="154">
        <f t="shared" si="121"/>
        <v>13.11</v>
      </c>
      <c r="I239" s="154">
        <f t="shared" si="122"/>
        <v>0</v>
      </c>
      <c r="J239" s="220">
        <v>46066</v>
      </c>
    </row>
    <row r="240" spans="1:23" ht="15" thickBot="1">
      <c r="A240" s="155"/>
      <c r="B240" s="153">
        <v>235</v>
      </c>
      <c r="C240" s="153" t="s">
        <v>382</v>
      </c>
      <c r="D240" s="153" t="s">
        <v>228</v>
      </c>
      <c r="E240" s="154">
        <v>1.26</v>
      </c>
      <c r="F240" s="154">
        <f t="shared" si="123"/>
        <v>0.19</v>
      </c>
      <c r="G240" s="154">
        <f t="shared" si="120"/>
        <v>1.45</v>
      </c>
      <c r="H240" s="154">
        <f t="shared" si="121"/>
        <v>1.6</v>
      </c>
      <c r="I240" s="154">
        <f t="shared" si="122"/>
        <v>0</v>
      </c>
      <c r="J240" s="220">
        <v>46066</v>
      </c>
      <c r="L240" s="176" t="s">
        <v>1006</v>
      </c>
      <c r="M240" s="176"/>
      <c r="N240" s="176"/>
      <c r="O240" s="176"/>
      <c r="P240" s="138" t="s">
        <v>713</v>
      </c>
      <c r="Q240" s="179">
        <v>44648</v>
      </c>
      <c r="R240" s="213"/>
      <c r="S240" s="138" t="s">
        <v>918</v>
      </c>
      <c r="T240" s="138" t="s">
        <v>919</v>
      </c>
      <c r="U240" s="138" t="s">
        <v>12</v>
      </c>
    </row>
    <row r="241" spans="1:23">
      <c r="A241" s="155"/>
      <c r="B241" s="153">
        <v>236</v>
      </c>
      <c r="C241" s="153" t="s">
        <v>383</v>
      </c>
      <c r="D241" s="153" t="s">
        <v>228</v>
      </c>
      <c r="E241" s="154">
        <v>1.1599999999999999</v>
      </c>
      <c r="F241" s="154">
        <f t="shared" si="123"/>
        <v>0.18000000000000002</v>
      </c>
      <c r="G241" s="154">
        <f t="shared" si="120"/>
        <v>1.3399999999999999</v>
      </c>
      <c r="H241" s="154">
        <f t="shared" si="121"/>
        <v>1.48</v>
      </c>
      <c r="I241" s="154">
        <f t="shared" si="122"/>
        <v>0</v>
      </c>
      <c r="J241" s="220">
        <v>46066</v>
      </c>
      <c r="K241" s="138" t="s">
        <v>690</v>
      </c>
      <c r="L241" s="138" t="s">
        <v>910</v>
      </c>
      <c r="M241" s="138" t="s">
        <v>911</v>
      </c>
      <c r="N241" s="138" t="s">
        <v>693</v>
      </c>
      <c r="O241" s="138" t="s">
        <v>712</v>
      </c>
      <c r="P241" s="177" t="s">
        <v>711</v>
      </c>
      <c r="Q241" s="177" t="s">
        <v>913</v>
      </c>
      <c r="R241" s="138" t="s">
        <v>694</v>
      </c>
      <c r="S241" s="216">
        <v>20</v>
      </c>
      <c r="T241" s="138" t="s">
        <v>915</v>
      </c>
      <c r="U241" s="138" t="s">
        <v>914</v>
      </c>
      <c r="V241" s="158" t="s">
        <v>12</v>
      </c>
    </row>
    <row r="242" spans="1:23">
      <c r="A242" s="155"/>
      <c r="B242" s="153">
        <v>237</v>
      </c>
      <c r="C242" s="153" t="s">
        <v>384</v>
      </c>
      <c r="D242" s="153" t="s">
        <v>228</v>
      </c>
      <c r="E242" s="154">
        <v>1.28</v>
      </c>
      <c r="F242" s="154">
        <f t="shared" si="123"/>
        <v>0.2</v>
      </c>
      <c r="G242" s="154">
        <f t="shared" si="120"/>
        <v>1.48</v>
      </c>
      <c r="H242" s="154">
        <f t="shared" si="121"/>
        <v>1.6300000000000001</v>
      </c>
      <c r="I242" s="154">
        <f t="shared" si="122"/>
        <v>0</v>
      </c>
      <c r="J242" s="220">
        <v>44949</v>
      </c>
      <c r="K242" s="138">
        <v>136</v>
      </c>
      <c r="L242" s="159" t="s">
        <v>988</v>
      </c>
      <c r="M242" s="159">
        <v>0.47799999999999998</v>
      </c>
      <c r="N242" s="178">
        <v>1.35</v>
      </c>
      <c r="O242" s="180">
        <f>ROUNDDOWN(N242*0.1,2)</f>
        <v>0.13</v>
      </c>
      <c r="P242" s="180">
        <f>N242+O242</f>
        <v>1.48</v>
      </c>
      <c r="Q242" s="180">
        <f>ROUNDUP(P242*M242,2)</f>
        <v>0.71</v>
      </c>
      <c r="R242" s="178">
        <f>ROUNDUP(Q242*1.1,2)</f>
        <v>0.79</v>
      </c>
      <c r="S242" s="155"/>
      <c r="T242" s="155"/>
      <c r="U242" s="159">
        <f>($S$241*S242)+T242</f>
        <v>0</v>
      </c>
      <c r="V242" s="154">
        <f>ROUNDUP(IF($C$2="Inventory Cost",P242*U242,Q242*U242),2)</f>
        <v>0</v>
      </c>
      <c r="W242" s="273" t="str">
        <f>IF(ISNUMBER(K242),IF(VLOOKUP(K242,$B$6:$E$1302,4,FALSE)=Q242,"","INVENTORY PRICE DOESN'T MATCH SAGE"),"")</f>
        <v>INVENTORY PRICE DOESN'T MATCH SAGE</v>
      </c>
    </row>
    <row r="243" spans="1:23">
      <c r="A243" s="155"/>
      <c r="B243" s="153">
        <v>238</v>
      </c>
      <c r="C243" s="153" t="s">
        <v>385</v>
      </c>
      <c r="D243" s="153" t="s">
        <v>228</v>
      </c>
      <c r="E243" s="154">
        <v>1.3</v>
      </c>
      <c r="F243" s="154">
        <f t="shared" si="123"/>
        <v>0.2</v>
      </c>
      <c r="G243" s="154">
        <f t="shared" si="120"/>
        <v>1.5</v>
      </c>
      <c r="H243" s="154">
        <f t="shared" si="121"/>
        <v>1.65</v>
      </c>
      <c r="I243" s="154">
        <f t="shared" si="122"/>
        <v>0</v>
      </c>
      <c r="J243" s="220">
        <v>44949</v>
      </c>
      <c r="L243" s="159" t="s">
        <v>990</v>
      </c>
      <c r="M243" s="159">
        <v>0.47799999999999998</v>
      </c>
      <c r="N243" s="178">
        <v>4.25</v>
      </c>
      <c r="O243" s="180">
        <f>ROUNDDOWN(N243*0.1,2)</f>
        <v>0.42</v>
      </c>
      <c r="P243" s="180">
        <f>N243+O243</f>
        <v>4.67</v>
      </c>
      <c r="Q243" s="180">
        <f>ROUNDUP(P243*M243,2)</f>
        <v>2.2399999999999998</v>
      </c>
      <c r="R243" s="178">
        <f>ROUNDUP(Q243*1.1,2)</f>
        <v>2.4699999999999998</v>
      </c>
      <c r="S243" s="155"/>
      <c r="T243" s="155"/>
      <c r="U243" s="159">
        <f>($S$241*S243)+T243</f>
        <v>0</v>
      </c>
      <c r="V243" s="154">
        <f>ROUNDUP(IF($C$2="Inventory Cost",P243*U243,Q243*U243),2)</f>
        <v>0</v>
      </c>
      <c r="W243" s="273" t="str">
        <f>IF(ISNUMBER(K243),IF(VLOOKUP(K243,$B$6:$E$1302,4,FALSE)=Q243,"","INVENTORY PRICE DOESN'T MATCH SAGE"),"")</f>
        <v/>
      </c>
    </row>
    <row r="244" spans="1:23">
      <c r="A244" s="155"/>
      <c r="B244" s="153">
        <v>239</v>
      </c>
      <c r="C244" s="153" t="s">
        <v>386</v>
      </c>
      <c r="D244" s="153" t="s">
        <v>228</v>
      </c>
      <c r="E244" s="154">
        <v>1.72</v>
      </c>
      <c r="F244" s="154">
        <f t="shared" si="123"/>
        <v>0.26</v>
      </c>
      <c r="G244" s="154">
        <f t="shared" si="120"/>
        <v>1.98</v>
      </c>
      <c r="H244" s="154">
        <f t="shared" si="121"/>
        <v>2.1799999999999997</v>
      </c>
      <c r="I244" s="154">
        <f t="shared" si="122"/>
        <v>0</v>
      </c>
      <c r="J244" s="220">
        <v>46066</v>
      </c>
    </row>
    <row r="245" spans="1:23">
      <c r="A245" s="155"/>
      <c r="B245" s="153">
        <v>240</v>
      </c>
      <c r="C245" s="153" t="s">
        <v>387</v>
      </c>
      <c r="D245" s="153" t="s">
        <v>228</v>
      </c>
      <c r="E245" s="154">
        <v>1.89</v>
      </c>
      <c r="F245" s="154">
        <f t="shared" si="123"/>
        <v>0.29000000000000004</v>
      </c>
      <c r="G245" s="154">
        <f t="shared" si="120"/>
        <v>2.1799999999999997</v>
      </c>
      <c r="H245" s="154">
        <f t="shared" si="121"/>
        <v>2.4</v>
      </c>
      <c r="I245" s="154">
        <f t="shared" si="122"/>
        <v>0</v>
      </c>
      <c r="J245" s="220">
        <v>46066</v>
      </c>
    </row>
    <row r="246" spans="1:23" ht="15" thickBot="1">
      <c r="A246" s="155"/>
      <c r="B246" s="153">
        <v>241</v>
      </c>
      <c r="C246" s="153" t="s">
        <v>388</v>
      </c>
      <c r="D246" s="153" t="s">
        <v>228</v>
      </c>
      <c r="E246" s="154">
        <v>2.4</v>
      </c>
      <c r="F246" s="154">
        <f t="shared" si="123"/>
        <v>0.36</v>
      </c>
      <c r="G246" s="154">
        <f t="shared" si="120"/>
        <v>2.76</v>
      </c>
      <c r="H246" s="154">
        <f t="shared" si="121"/>
        <v>3.0399999999999996</v>
      </c>
      <c r="I246" s="154">
        <f t="shared" si="122"/>
        <v>0</v>
      </c>
      <c r="J246" s="220">
        <v>44949</v>
      </c>
      <c r="L246" s="176" t="s">
        <v>1007</v>
      </c>
      <c r="M246" s="176"/>
      <c r="N246" s="176"/>
      <c r="O246" s="176"/>
      <c r="P246" s="138" t="s">
        <v>713</v>
      </c>
      <c r="Q246" s="179">
        <v>44629</v>
      </c>
      <c r="R246" s="213"/>
      <c r="S246" s="138" t="s">
        <v>918</v>
      </c>
      <c r="T246" s="138" t="s">
        <v>919</v>
      </c>
      <c r="U246" s="138" t="s">
        <v>12</v>
      </c>
    </row>
    <row r="247" spans="1:23">
      <c r="A247" s="155"/>
      <c r="B247" s="153">
        <v>242</v>
      </c>
      <c r="C247" s="153" t="s">
        <v>389</v>
      </c>
      <c r="D247" s="153" t="s">
        <v>228</v>
      </c>
      <c r="E247" s="154">
        <v>2.54</v>
      </c>
      <c r="F247" s="154">
        <f t="shared" si="123"/>
        <v>0.39</v>
      </c>
      <c r="G247" s="154">
        <f t="shared" si="120"/>
        <v>2.93</v>
      </c>
      <c r="H247" s="154">
        <f t="shared" si="121"/>
        <v>3.23</v>
      </c>
      <c r="I247" s="154">
        <f t="shared" si="122"/>
        <v>0</v>
      </c>
      <c r="J247" s="220">
        <v>46066</v>
      </c>
      <c r="K247" s="138" t="s">
        <v>690</v>
      </c>
      <c r="L247" s="138" t="s">
        <v>910</v>
      </c>
      <c r="M247" s="138" t="s">
        <v>911</v>
      </c>
      <c r="N247" s="138" t="s">
        <v>693</v>
      </c>
      <c r="O247" s="138" t="s">
        <v>712</v>
      </c>
      <c r="P247" s="177" t="s">
        <v>711</v>
      </c>
      <c r="Q247" s="177" t="s">
        <v>913</v>
      </c>
      <c r="R247" s="138" t="s">
        <v>694</v>
      </c>
      <c r="S247" s="216">
        <v>12</v>
      </c>
      <c r="T247" s="138" t="s">
        <v>915</v>
      </c>
      <c r="U247" s="138" t="s">
        <v>914</v>
      </c>
      <c r="V247" s="158" t="s">
        <v>12</v>
      </c>
    </row>
    <row r="248" spans="1:23">
      <c r="A248" s="155"/>
      <c r="B248" s="153">
        <v>243</v>
      </c>
      <c r="C248" s="153" t="s">
        <v>390</v>
      </c>
      <c r="D248" s="153" t="s">
        <v>228</v>
      </c>
      <c r="E248" s="154">
        <v>3.74</v>
      </c>
      <c r="F248" s="154">
        <f t="shared" si="123"/>
        <v>0.57000000000000006</v>
      </c>
      <c r="G248" s="154">
        <f t="shared" si="120"/>
        <v>4.3100000000000005</v>
      </c>
      <c r="H248" s="154">
        <f t="shared" si="121"/>
        <v>4.75</v>
      </c>
      <c r="I248" s="154">
        <f t="shared" si="122"/>
        <v>0</v>
      </c>
      <c r="J248" s="220">
        <v>44949</v>
      </c>
      <c r="L248" s="159" t="s">
        <v>989</v>
      </c>
      <c r="M248" s="159">
        <v>0.16500000000000001</v>
      </c>
      <c r="N248" s="178">
        <v>3.95</v>
      </c>
      <c r="O248" s="180">
        <f>ROUNDDOWN(N248*0.1,2)</f>
        <v>0.39</v>
      </c>
      <c r="P248" s="180">
        <f>N248+O248</f>
        <v>4.34</v>
      </c>
      <c r="Q248" s="180">
        <f>ROUNDUP(P248*M248,2)</f>
        <v>0.72</v>
      </c>
      <c r="R248" s="178">
        <f>ROUNDUP(Q248*1.1,2)</f>
        <v>0.8</v>
      </c>
      <c r="S248" s="155"/>
      <c r="T248" s="155"/>
      <c r="U248" s="159">
        <f>($S$241*S248)+T248</f>
        <v>0</v>
      </c>
      <c r="V248" s="154">
        <f>ROUNDUP(IF($C$2="Inventory Cost",P248*U248,Q248*U248),2)</f>
        <v>0</v>
      </c>
      <c r="W248" s="273" t="str">
        <f>IF(ISNUMBER(K248),IF(VLOOKUP(K248,$B$6:$E$1302,4,FALSE)=Q248,"","INVENTORY PRICE DOESN'T MATCH SAGE"),"")</f>
        <v/>
      </c>
    </row>
    <row r="249" spans="1:23">
      <c r="A249" s="155"/>
      <c r="B249" s="153">
        <v>244</v>
      </c>
      <c r="C249" s="153" t="s">
        <v>391</v>
      </c>
      <c r="D249" s="153" t="s">
        <v>228</v>
      </c>
      <c r="E249" s="154">
        <v>3.56</v>
      </c>
      <c r="F249" s="154">
        <f t="shared" si="123"/>
        <v>0.54</v>
      </c>
      <c r="G249" s="154">
        <f t="shared" si="120"/>
        <v>4.0999999999999996</v>
      </c>
      <c r="H249" s="154">
        <f t="shared" si="121"/>
        <v>4.51</v>
      </c>
      <c r="I249" s="154">
        <f t="shared" si="122"/>
        <v>0</v>
      </c>
      <c r="J249" s="220">
        <v>46066</v>
      </c>
    </row>
    <row r="250" spans="1:23">
      <c r="A250" s="155"/>
      <c r="B250" s="153">
        <v>245</v>
      </c>
      <c r="C250" s="153" t="s">
        <v>392</v>
      </c>
      <c r="D250" s="153" t="s">
        <v>228</v>
      </c>
      <c r="E250" s="154">
        <v>3.88</v>
      </c>
      <c r="F250" s="154">
        <f t="shared" si="123"/>
        <v>0.59</v>
      </c>
      <c r="G250" s="154">
        <f t="shared" si="120"/>
        <v>4.47</v>
      </c>
      <c r="H250" s="154">
        <f t="shared" si="121"/>
        <v>4.92</v>
      </c>
      <c r="I250" s="154">
        <f t="shared" si="122"/>
        <v>0</v>
      </c>
      <c r="J250" s="220">
        <v>44949</v>
      </c>
    </row>
    <row r="251" spans="1:23" ht="15" thickBot="1">
      <c r="A251" s="155"/>
      <c r="B251" s="153">
        <v>246</v>
      </c>
      <c r="C251" s="153" t="s">
        <v>393</v>
      </c>
      <c r="D251" s="153" t="s">
        <v>228</v>
      </c>
      <c r="E251" s="154">
        <v>4.04</v>
      </c>
      <c r="F251" s="154">
        <f t="shared" si="123"/>
        <v>0.61</v>
      </c>
      <c r="G251" s="154">
        <f t="shared" si="120"/>
        <v>4.6500000000000004</v>
      </c>
      <c r="H251" s="154">
        <f t="shared" si="121"/>
        <v>5.12</v>
      </c>
      <c r="I251" s="154">
        <f t="shared" si="122"/>
        <v>0</v>
      </c>
      <c r="J251" s="220">
        <v>44949</v>
      </c>
      <c r="L251" s="176" t="s">
        <v>1008</v>
      </c>
      <c r="M251" s="176"/>
      <c r="N251" s="176"/>
      <c r="O251" s="176"/>
      <c r="P251" s="138" t="s">
        <v>713</v>
      </c>
      <c r="Q251" s="179">
        <v>44286</v>
      </c>
      <c r="R251" s="213"/>
      <c r="S251" s="138" t="s">
        <v>918</v>
      </c>
      <c r="T251" s="138" t="s">
        <v>919</v>
      </c>
      <c r="U251" s="138" t="s">
        <v>12</v>
      </c>
    </row>
    <row r="252" spans="1:23">
      <c r="A252" s="155"/>
      <c r="B252" s="153">
        <v>247</v>
      </c>
      <c r="C252" s="153" t="s">
        <v>394</v>
      </c>
      <c r="D252" s="153" t="s">
        <v>228</v>
      </c>
      <c r="E252" s="154">
        <v>10.25</v>
      </c>
      <c r="F252" s="154">
        <f t="shared" si="123"/>
        <v>1.54</v>
      </c>
      <c r="G252" s="154">
        <f t="shared" si="120"/>
        <v>11.79</v>
      </c>
      <c r="H252" s="154">
        <f t="shared" si="121"/>
        <v>12.97</v>
      </c>
      <c r="I252" s="154">
        <f t="shared" si="122"/>
        <v>0</v>
      </c>
      <c r="J252" s="220"/>
      <c r="K252" s="138" t="s">
        <v>690</v>
      </c>
      <c r="L252" s="138" t="s">
        <v>910</v>
      </c>
      <c r="M252" s="138" t="s">
        <v>911</v>
      </c>
      <c r="N252" s="138" t="s">
        <v>912</v>
      </c>
      <c r="O252" s="138" t="s">
        <v>712</v>
      </c>
      <c r="P252" s="177" t="s">
        <v>711</v>
      </c>
      <c r="Q252" s="177" t="s">
        <v>913</v>
      </c>
      <c r="R252" s="138" t="s">
        <v>694</v>
      </c>
      <c r="S252" s="216">
        <v>20</v>
      </c>
      <c r="T252" s="138" t="s">
        <v>915</v>
      </c>
      <c r="U252" s="138" t="s">
        <v>914</v>
      </c>
      <c r="V252" s="158" t="s">
        <v>12</v>
      </c>
    </row>
    <row r="253" spans="1:23">
      <c r="A253" s="155"/>
      <c r="B253" s="153">
        <v>248</v>
      </c>
      <c r="C253" s="153" t="s">
        <v>395</v>
      </c>
      <c r="D253" s="153" t="s">
        <v>228</v>
      </c>
      <c r="E253" s="154">
        <v>13.27</v>
      </c>
      <c r="F253" s="154">
        <f t="shared" si="123"/>
        <v>2</v>
      </c>
      <c r="G253" s="154">
        <f t="shared" si="120"/>
        <v>15.27</v>
      </c>
      <c r="H253" s="154">
        <f t="shared" si="121"/>
        <v>16.8</v>
      </c>
      <c r="I253" s="154">
        <f t="shared" si="122"/>
        <v>0</v>
      </c>
      <c r="J253" s="220"/>
      <c r="L253" s="159" t="s">
        <v>993</v>
      </c>
      <c r="M253" s="159">
        <v>3.65</v>
      </c>
      <c r="N253" s="178">
        <v>2.37</v>
      </c>
      <c r="O253" s="180">
        <f>ROUNDDOWN(N253*0.1,2)</f>
        <v>0.23</v>
      </c>
      <c r="P253" s="180"/>
      <c r="Q253" s="178">
        <f>N253+O253</f>
        <v>2.6</v>
      </c>
      <c r="R253" s="178">
        <f t="shared" ref="R253:R259" si="138">ROUNDUP(Q253*1.1,2)</f>
        <v>2.86</v>
      </c>
      <c r="S253" s="155"/>
      <c r="T253" s="155"/>
      <c r="U253" s="159">
        <f>($S$252*S253)+T253</f>
        <v>0</v>
      </c>
      <c r="V253" s="154">
        <f>ROUNDUP(IF($C$2="Inventory Cost",P253*U253,Q253*U253),2)</f>
        <v>0</v>
      </c>
    </row>
    <row r="254" spans="1:23">
      <c r="A254" s="155"/>
      <c r="B254" s="153">
        <v>249</v>
      </c>
      <c r="C254" s="153" t="s">
        <v>396</v>
      </c>
      <c r="D254" s="153" t="s">
        <v>228</v>
      </c>
      <c r="E254" s="154">
        <v>16</v>
      </c>
      <c r="F254" s="154">
        <f t="shared" si="123"/>
        <v>2.4</v>
      </c>
      <c r="G254" s="154">
        <f t="shared" si="120"/>
        <v>18.399999999999999</v>
      </c>
      <c r="H254" s="154">
        <f t="shared" si="121"/>
        <v>20.239999999999998</v>
      </c>
      <c r="I254" s="154">
        <f t="shared" si="122"/>
        <v>0</v>
      </c>
      <c r="J254" s="220"/>
      <c r="L254" s="159" t="s">
        <v>994</v>
      </c>
      <c r="M254" s="159">
        <v>7.58</v>
      </c>
      <c r="N254" s="178">
        <v>5.86</v>
      </c>
      <c r="O254" s="180">
        <f>ROUNDDOWN(N254*0.1,2)</f>
        <v>0.57999999999999996</v>
      </c>
      <c r="P254" s="180"/>
      <c r="Q254" s="178">
        <f t="shared" ref="Q254:Q259" si="139">N254+O254</f>
        <v>6.44</v>
      </c>
      <c r="R254" s="178">
        <f t="shared" si="138"/>
        <v>7.09</v>
      </c>
      <c r="S254" s="155"/>
      <c r="T254" s="155"/>
      <c r="U254" s="159">
        <f t="shared" ref="U254:U259" si="140">($S$252*S254)+T254</f>
        <v>0</v>
      </c>
      <c r="V254" s="154">
        <f t="shared" ref="V254:V259" si="141">ROUNDUP(IF($C$2="Inventory Cost",P254*U254,Q254*U254),2)</f>
        <v>0</v>
      </c>
    </row>
    <row r="255" spans="1:23">
      <c r="A255" s="155"/>
      <c r="B255" s="153">
        <v>250</v>
      </c>
      <c r="C255" s="153" t="s">
        <v>397</v>
      </c>
      <c r="D255" s="153" t="s">
        <v>228</v>
      </c>
      <c r="E255" s="154">
        <v>4.0199999999999996</v>
      </c>
      <c r="F255" s="154">
        <f t="shared" si="123"/>
        <v>0.61</v>
      </c>
      <c r="G255" s="154">
        <f t="shared" si="120"/>
        <v>4.63</v>
      </c>
      <c r="H255" s="154">
        <f t="shared" si="121"/>
        <v>5.0999999999999996</v>
      </c>
      <c r="I255" s="154">
        <f t="shared" si="122"/>
        <v>0</v>
      </c>
      <c r="J255" s="220">
        <v>46066</v>
      </c>
      <c r="L255" s="159" t="s">
        <v>995</v>
      </c>
      <c r="M255" s="159">
        <v>10.79</v>
      </c>
      <c r="N255" s="178">
        <v>10</v>
      </c>
      <c r="O255" s="180">
        <f>ROUNDDOWN(N255*0.1,2)</f>
        <v>1</v>
      </c>
      <c r="P255" s="180"/>
      <c r="Q255" s="178">
        <f t="shared" si="139"/>
        <v>11</v>
      </c>
      <c r="R255" s="178">
        <f t="shared" si="138"/>
        <v>12.1</v>
      </c>
      <c r="S255" s="155"/>
      <c r="T255" s="155"/>
      <c r="U255" s="159">
        <f t="shared" si="140"/>
        <v>0</v>
      </c>
      <c r="V255" s="154">
        <f t="shared" si="141"/>
        <v>0</v>
      </c>
    </row>
    <row r="256" spans="1:23">
      <c r="A256" s="155"/>
      <c r="B256" s="153">
        <v>251</v>
      </c>
      <c r="C256" s="153" t="s">
        <v>398</v>
      </c>
      <c r="D256" s="153" t="s">
        <v>228</v>
      </c>
      <c r="E256" s="154">
        <v>6.18</v>
      </c>
      <c r="F256" s="154">
        <f t="shared" si="123"/>
        <v>0.93</v>
      </c>
      <c r="G256" s="154">
        <f t="shared" si="120"/>
        <v>7.1099999999999994</v>
      </c>
      <c r="H256" s="154">
        <f t="shared" si="121"/>
        <v>7.83</v>
      </c>
      <c r="I256" s="154">
        <f t="shared" si="122"/>
        <v>0</v>
      </c>
      <c r="J256" s="220">
        <v>46066</v>
      </c>
      <c r="L256" s="159" t="s">
        <v>996</v>
      </c>
      <c r="M256" s="159">
        <v>18.97</v>
      </c>
      <c r="N256" s="178">
        <v>23.27</v>
      </c>
      <c r="O256" s="180">
        <f>ROUNDDOWN(N256*0.1,2)</f>
        <v>2.3199999999999998</v>
      </c>
      <c r="P256" s="180"/>
      <c r="Q256" s="178">
        <f t="shared" si="139"/>
        <v>25.59</v>
      </c>
      <c r="R256" s="178">
        <f t="shared" si="138"/>
        <v>28.150000000000002</v>
      </c>
      <c r="S256" s="155"/>
      <c r="T256" s="155"/>
      <c r="U256" s="159">
        <f t="shared" si="140"/>
        <v>0</v>
      </c>
      <c r="V256" s="154">
        <f t="shared" si="141"/>
        <v>0</v>
      </c>
    </row>
    <row r="257" spans="1:22">
      <c r="A257" s="155"/>
      <c r="B257" s="153">
        <v>252</v>
      </c>
      <c r="C257" s="153" t="s">
        <v>399</v>
      </c>
      <c r="D257" s="153" t="s">
        <v>228</v>
      </c>
      <c r="E257" s="154">
        <v>7.53</v>
      </c>
      <c r="F257" s="154">
        <f t="shared" si="123"/>
        <v>1.1300000000000001</v>
      </c>
      <c r="G257" s="154">
        <f t="shared" si="120"/>
        <v>8.66</v>
      </c>
      <c r="H257" s="154">
        <f t="shared" si="121"/>
        <v>9.5299999999999994</v>
      </c>
      <c r="I257" s="154">
        <f t="shared" si="122"/>
        <v>0</v>
      </c>
      <c r="J257" s="220">
        <v>46066</v>
      </c>
      <c r="L257" s="159"/>
      <c r="M257" s="159"/>
      <c r="N257" s="178"/>
      <c r="O257" s="180"/>
      <c r="P257" s="180"/>
      <c r="Q257" s="178">
        <f t="shared" si="139"/>
        <v>0</v>
      </c>
      <c r="R257" s="178">
        <f t="shared" si="138"/>
        <v>0</v>
      </c>
      <c r="S257" s="155"/>
      <c r="T257" s="155"/>
      <c r="U257" s="159">
        <f t="shared" si="140"/>
        <v>0</v>
      </c>
      <c r="V257" s="154">
        <f t="shared" si="141"/>
        <v>0</v>
      </c>
    </row>
    <row r="258" spans="1:22">
      <c r="A258" s="155"/>
      <c r="B258" s="153">
        <v>253</v>
      </c>
      <c r="C258" s="153" t="s">
        <v>400</v>
      </c>
      <c r="D258" s="153" t="s">
        <v>228</v>
      </c>
      <c r="E258" s="154">
        <v>4.75</v>
      </c>
      <c r="F258" s="154">
        <f t="shared" si="123"/>
        <v>0.72</v>
      </c>
      <c r="G258" s="154">
        <f t="shared" si="120"/>
        <v>5.47</v>
      </c>
      <c r="H258" s="154">
        <f t="shared" si="121"/>
        <v>6.02</v>
      </c>
      <c r="I258" s="154">
        <f t="shared" si="122"/>
        <v>0</v>
      </c>
      <c r="J258" s="220"/>
      <c r="L258" s="159" t="s">
        <v>997</v>
      </c>
      <c r="M258" s="159"/>
      <c r="N258" s="178">
        <v>8</v>
      </c>
      <c r="O258" s="180">
        <f>ROUNDDOWN(N258*0.1,2)</f>
        <v>0.8</v>
      </c>
      <c r="P258" s="180"/>
      <c r="Q258" s="178">
        <f t="shared" si="139"/>
        <v>8.8000000000000007</v>
      </c>
      <c r="R258" s="178">
        <f t="shared" si="138"/>
        <v>9.68</v>
      </c>
      <c r="S258" s="155"/>
      <c r="T258" s="155"/>
      <c r="U258" s="159">
        <f t="shared" si="140"/>
        <v>0</v>
      </c>
      <c r="V258" s="154">
        <f t="shared" si="141"/>
        <v>0</v>
      </c>
    </row>
    <row r="259" spans="1:22">
      <c r="A259" s="155"/>
      <c r="B259" s="153">
        <v>254</v>
      </c>
      <c r="C259" s="153" t="s">
        <v>401</v>
      </c>
      <c r="D259" s="153" t="s">
        <v>228</v>
      </c>
      <c r="E259" s="154">
        <v>4.75</v>
      </c>
      <c r="F259" s="154">
        <f t="shared" si="123"/>
        <v>0.72</v>
      </c>
      <c r="G259" s="154">
        <f t="shared" si="120"/>
        <v>5.47</v>
      </c>
      <c r="H259" s="154">
        <f t="shared" si="121"/>
        <v>6.02</v>
      </c>
      <c r="I259" s="154">
        <f t="shared" si="122"/>
        <v>0</v>
      </c>
      <c r="J259" s="220"/>
      <c r="L259" s="159" t="s">
        <v>998</v>
      </c>
      <c r="M259" s="159"/>
      <c r="N259" s="178">
        <v>15.5</v>
      </c>
      <c r="O259" s="180">
        <f>ROUNDDOWN(N259*0.1,2)</f>
        <v>1.55</v>
      </c>
      <c r="P259" s="180"/>
      <c r="Q259" s="178">
        <f t="shared" si="139"/>
        <v>17.05</v>
      </c>
      <c r="R259" s="178">
        <f t="shared" si="138"/>
        <v>18.760000000000002</v>
      </c>
      <c r="S259" s="155"/>
      <c r="T259" s="155"/>
      <c r="U259" s="159">
        <f t="shared" si="140"/>
        <v>0</v>
      </c>
      <c r="V259" s="154">
        <f t="shared" si="141"/>
        <v>0</v>
      </c>
    </row>
    <row r="260" spans="1:22">
      <c r="A260" s="155"/>
      <c r="B260" s="153">
        <v>255</v>
      </c>
      <c r="C260" s="153" t="s">
        <v>402</v>
      </c>
      <c r="D260" s="153" t="s">
        <v>228</v>
      </c>
      <c r="E260" s="154">
        <v>6</v>
      </c>
      <c r="F260" s="154">
        <f t="shared" si="123"/>
        <v>0.9</v>
      </c>
      <c r="G260" s="154">
        <f t="shared" si="120"/>
        <v>6.9</v>
      </c>
      <c r="H260" s="154">
        <f t="shared" si="121"/>
        <v>7.59</v>
      </c>
      <c r="I260" s="154">
        <f t="shared" si="122"/>
        <v>0</v>
      </c>
      <c r="J260" s="220"/>
    </row>
    <row r="261" spans="1:22">
      <c r="A261" s="155"/>
      <c r="B261" s="153">
        <v>256</v>
      </c>
      <c r="C261" s="153" t="s">
        <v>403</v>
      </c>
      <c r="D261" s="153" t="s">
        <v>228</v>
      </c>
      <c r="E261" s="154">
        <v>8</v>
      </c>
      <c r="F261" s="154">
        <f t="shared" si="123"/>
        <v>1.2</v>
      </c>
      <c r="G261" s="154">
        <f t="shared" si="120"/>
        <v>9.1999999999999993</v>
      </c>
      <c r="H261" s="154">
        <f t="shared" si="121"/>
        <v>10.119999999999999</v>
      </c>
      <c r="I261" s="154">
        <f t="shared" si="122"/>
        <v>0</v>
      </c>
      <c r="J261" s="220"/>
    </row>
    <row r="262" spans="1:22">
      <c r="A262" s="155"/>
      <c r="B262" s="153">
        <v>257</v>
      </c>
      <c r="C262" s="153" t="s">
        <v>404</v>
      </c>
      <c r="D262" s="153" t="s">
        <v>228</v>
      </c>
      <c r="E262" s="154">
        <v>27.1</v>
      </c>
      <c r="F262" s="154">
        <f t="shared" si="123"/>
        <v>4.0699999999999994</v>
      </c>
      <c r="G262" s="154">
        <f t="shared" ref="G262:G325" si="142">E262+F262</f>
        <v>31.17</v>
      </c>
      <c r="H262" s="154">
        <f t="shared" ref="H262:H325" si="143">ROUNDUP(($E262+F262)*1.1,2)</f>
        <v>34.29</v>
      </c>
      <c r="I262" s="154">
        <f t="shared" ref="I262:I325" si="144">IF($C$2="Inventory Cost",A262*G262,A262*H262)</f>
        <v>0</v>
      </c>
      <c r="J262" s="220"/>
    </row>
    <row r="263" spans="1:22">
      <c r="A263" s="155"/>
      <c r="B263" s="153">
        <v>258</v>
      </c>
      <c r="C263" s="153" t="s">
        <v>405</v>
      </c>
      <c r="D263" s="153" t="s">
        <v>228</v>
      </c>
      <c r="E263" s="154">
        <v>36.49</v>
      </c>
      <c r="F263" s="154">
        <f t="shared" si="123"/>
        <v>5.4799999999999995</v>
      </c>
      <c r="G263" s="154">
        <f t="shared" si="142"/>
        <v>41.97</v>
      </c>
      <c r="H263" s="154">
        <f t="shared" si="143"/>
        <v>46.169999999999995</v>
      </c>
      <c r="I263" s="154">
        <f t="shared" si="144"/>
        <v>0</v>
      </c>
      <c r="J263" s="220"/>
    </row>
    <row r="264" spans="1:22">
      <c r="A264" s="155"/>
      <c r="B264" s="153">
        <v>259</v>
      </c>
      <c r="C264" s="153" t="s">
        <v>406</v>
      </c>
      <c r="D264" s="153" t="s">
        <v>246</v>
      </c>
      <c r="E264" s="154">
        <v>1.2</v>
      </c>
      <c r="F264" s="154">
        <f t="shared" si="123"/>
        <v>0.18</v>
      </c>
      <c r="G264" s="154">
        <f t="shared" si="142"/>
        <v>1.38</v>
      </c>
      <c r="H264" s="154">
        <f t="shared" si="143"/>
        <v>1.52</v>
      </c>
      <c r="I264" s="154">
        <f t="shared" si="144"/>
        <v>0</v>
      </c>
      <c r="J264" s="220">
        <v>46066</v>
      </c>
    </row>
    <row r="265" spans="1:22">
      <c r="A265" s="155"/>
      <c r="B265" s="153">
        <v>260</v>
      </c>
      <c r="C265" s="153" t="s">
        <v>407</v>
      </c>
      <c r="D265" s="153" t="s">
        <v>246</v>
      </c>
      <c r="E265" s="154">
        <v>1</v>
      </c>
      <c r="F265" s="154">
        <f t="shared" si="123"/>
        <v>0.15</v>
      </c>
      <c r="G265" s="154">
        <f t="shared" si="142"/>
        <v>1.1499999999999999</v>
      </c>
      <c r="H265" s="154">
        <f t="shared" si="143"/>
        <v>1.27</v>
      </c>
      <c r="I265" s="154">
        <f t="shared" si="144"/>
        <v>0</v>
      </c>
      <c r="J265" s="220"/>
    </row>
    <row r="266" spans="1:22">
      <c r="A266" s="155"/>
      <c r="B266" s="153">
        <v>261</v>
      </c>
      <c r="C266" s="153" t="s">
        <v>205</v>
      </c>
      <c r="D266" s="153"/>
      <c r="E266" s="154"/>
      <c r="F266" s="154">
        <f t="shared" si="123"/>
        <v>0</v>
      </c>
      <c r="G266" s="154">
        <f t="shared" si="142"/>
        <v>0</v>
      </c>
      <c r="H266" s="154">
        <f t="shared" si="143"/>
        <v>0</v>
      </c>
      <c r="I266" s="154">
        <f t="shared" si="144"/>
        <v>0</v>
      </c>
      <c r="J266" s="220"/>
    </row>
    <row r="267" spans="1:22">
      <c r="A267" s="155"/>
      <c r="B267" s="153">
        <v>262</v>
      </c>
      <c r="C267" s="153" t="s">
        <v>408</v>
      </c>
      <c r="D267" s="153" t="s">
        <v>246</v>
      </c>
      <c r="E267" s="154">
        <v>0.42</v>
      </c>
      <c r="F267" s="154">
        <f t="shared" si="123"/>
        <v>6.9999999999999993E-2</v>
      </c>
      <c r="G267" s="154">
        <f t="shared" si="142"/>
        <v>0.49</v>
      </c>
      <c r="H267" s="154">
        <f t="shared" si="143"/>
        <v>0.54</v>
      </c>
      <c r="I267" s="154">
        <f t="shared" si="144"/>
        <v>0</v>
      </c>
      <c r="J267" s="220"/>
    </row>
    <row r="268" spans="1:22">
      <c r="A268" s="155"/>
      <c r="B268" s="153">
        <v>263</v>
      </c>
      <c r="C268" s="153" t="s">
        <v>409</v>
      </c>
      <c r="D268" s="153" t="s">
        <v>246</v>
      </c>
      <c r="E268" s="154">
        <v>0.1</v>
      </c>
      <c r="F268" s="154">
        <f t="shared" si="123"/>
        <v>0.02</v>
      </c>
      <c r="G268" s="154">
        <f t="shared" si="142"/>
        <v>0.12000000000000001</v>
      </c>
      <c r="H268" s="154">
        <f t="shared" si="143"/>
        <v>0.14000000000000001</v>
      </c>
      <c r="I268" s="154">
        <f t="shared" si="144"/>
        <v>0</v>
      </c>
      <c r="J268" s="220"/>
    </row>
    <row r="269" spans="1:22">
      <c r="A269" s="155"/>
      <c r="B269" s="153">
        <v>264</v>
      </c>
      <c r="C269" s="153" t="s">
        <v>410</v>
      </c>
      <c r="D269" s="153" t="s">
        <v>228</v>
      </c>
      <c r="E269" s="154">
        <v>75.5</v>
      </c>
      <c r="F269" s="154">
        <f t="shared" si="123"/>
        <v>11.33</v>
      </c>
      <c r="G269" s="154">
        <f t="shared" si="142"/>
        <v>86.83</v>
      </c>
      <c r="H269" s="154">
        <f t="shared" si="143"/>
        <v>95.52000000000001</v>
      </c>
      <c r="I269" s="154">
        <f t="shared" si="144"/>
        <v>0</v>
      </c>
      <c r="J269" s="220"/>
    </row>
    <row r="270" spans="1:22">
      <c r="A270" s="155"/>
      <c r="B270" s="153">
        <v>265</v>
      </c>
      <c r="C270" s="153" t="s">
        <v>411</v>
      </c>
      <c r="D270" s="153" t="s">
        <v>246</v>
      </c>
      <c r="E270" s="154">
        <v>2.37</v>
      </c>
      <c r="F270" s="154">
        <f t="shared" si="123"/>
        <v>0.36</v>
      </c>
      <c r="G270" s="154">
        <f t="shared" si="142"/>
        <v>2.73</v>
      </c>
      <c r="H270" s="154">
        <f t="shared" si="143"/>
        <v>3.01</v>
      </c>
      <c r="I270" s="154">
        <f t="shared" si="144"/>
        <v>0</v>
      </c>
      <c r="J270" s="220">
        <v>46066</v>
      </c>
    </row>
    <row r="271" spans="1:22">
      <c r="A271" s="155"/>
      <c r="B271" s="153">
        <v>266</v>
      </c>
      <c r="C271" s="153" t="s">
        <v>412</v>
      </c>
      <c r="D271" s="153" t="s">
        <v>228</v>
      </c>
      <c r="E271" s="154">
        <v>1.97</v>
      </c>
      <c r="F271" s="154">
        <f t="shared" si="123"/>
        <v>0.3</v>
      </c>
      <c r="G271" s="154">
        <f t="shared" si="142"/>
        <v>2.27</v>
      </c>
      <c r="H271" s="154">
        <f t="shared" si="143"/>
        <v>2.5</v>
      </c>
      <c r="I271" s="154">
        <f t="shared" si="144"/>
        <v>0</v>
      </c>
      <c r="J271" s="220">
        <v>46066</v>
      </c>
    </row>
    <row r="272" spans="1:22">
      <c r="A272" s="155"/>
      <c r="B272" s="153">
        <v>267</v>
      </c>
      <c r="C272" s="153" t="s">
        <v>413</v>
      </c>
      <c r="D272" s="153" t="s">
        <v>228</v>
      </c>
      <c r="E272" s="154">
        <v>0.18</v>
      </c>
      <c r="F272" s="154">
        <f t="shared" si="123"/>
        <v>0.03</v>
      </c>
      <c r="G272" s="154">
        <f t="shared" si="142"/>
        <v>0.21</v>
      </c>
      <c r="H272" s="154">
        <f t="shared" si="143"/>
        <v>0.24000000000000002</v>
      </c>
      <c r="I272" s="154">
        <f t="shared" si="144"/>
        <v>0</v>
      </c>
      <c r="J272" s="220"/>
    </row>
    <row r="273" spans="1:10">
      <c r="A273" s="155"/>
      <c r="B273" s="153">
        <v>268</v>
      </c>
      <c r="C273" s="153" t="s">
        <v>414</v>
      </c>
      <c r="D273" s="153" t="s">
        <v>246</v>
      </c>
      <c r="E273" s="154">
        <v>0.2</v>
      </c>
      <c r="F273" s="154">
        <f t="shared" si="123"/>
        <v>0.03</v>
      </c>
      <c r="G273" s="154">
        <f t="shared" si="142"/>
        <v>0.23</v>
      </c>
      <c r="H273" s="154">
        <f t="shared" si="143"/>
        <v>0.26</v>
      </c>
      <c r="I273" s="154">
        <f t="shared" si="144"/>
        <v>0</v>
      </c>
      <c r="J273" s="220"/>
    </row>
    <row r="274" spans="1:10">
      <c r="A274" s="155"/>
      <c r="B274" s="153">
        <v>269</v>
      </c>
      <c r="C274" s="153" t="s">
        <v>205</v>
      </c>
      <c r="D274" s="153"/>
      <c r="E274" s="154"/>
      <c r="F274" s="154">
        <f t="shared" ref="F274:F337" si="145">ROUNDUP(E274*0.15,2)</f>
        <v>0</v>
      </c>
      <c r="G274" s="154">
        <f t="shared" si="142"/>
        <v>0</v>
      </c>
      <c r="H274" s="154">
        <f t="shared" si="143"/>
        <v>0</v>
      </c>
      <c r="I274" s="154">
        <f t="shared" si="144"/>
        <v>0</v>
      </c>
      <c r="J274" s="220"/>
    </row>
    <row r="275" spans="1:10">
      <c r="A275" s="155"/>
      <c r="B275" s="153">
        <v>270</v>
      </c>
      <c r="C275" s="153" t="s">
        <v>205</v>
      </c>
      <c r="D275" s="153"/>
      <c r="E275" s="154"/>
      <c r="F275" s="154">
        <f t="shared" si="145"/>
        <v>0</v>
      </c>
      <c r="G275" s="154">
        <f t="shared" si="142"/>
        <v>0</v>
      </c>
      <c r="H275" s="154">
        <f t="shared" si="143"/>
        <v>0</v>
      </c>
      <c r="I275" s="154">
        <f t="shared" si="144"/>
        <v>0</v>
      </c>
      <c r="J275" s="220"/>
    </row>
    <row r="276" spans="1:10">
      <c r="A276" s="155"/>
      <c r="B276" s="153">
        <v>271</v>
      </c>
      <c r="C276" s="153" t="s">
        <v>415</v>
      </c>
      <c r="D276" s="153" t="s">
        <v>228</v>
      </c>
      <c r="E276" s="154">
        <v>2.52</v>
      </c>
      <c r="F276" s="154">
        <f t="shared" si="145"/>
        <v>0.38</v>
      </c>
      <c r="G276" s="154">
        <f t="shared" si="142"/>
        <v>2.9</v>
      </c>
      <c r="H276" s="154">
        <f t="shared" si="143"/>
        <v>3.19</v>
      </c>
      <c r="I276" s="154">
        <f t="shared" si="144"/>
        <v>0</v>
      </c>
      <c r="J276" s="220"/>
    </row>
    <row r="277" spans="1:10">
      <c r="A277" s="155"/>
      <c r="B277" s="153">
        <v>272</v>
      </c>
      <c r="C277" s="153" t="s">
        <v>205</v>
      </c>
      <c r="D277" s="153"/>
      <c r="E277" s="154"/>
      <c r="F277" s="154">
        <f t="shared" si="145"/>
        <v>0</v>
      </c>
      <c r="G277" s="154">
        <f t="shared" si="142"/>
        <v>0</v>
      </c>
      <c r="H277" s="154">
        <f t="shared" si="143"/>
        <v>0</v>
      </c>
      <c r="I277" s="154">
        <f t="shared" si="144"/>
        <v>0</v>
      </c>
      <c r="J277" s="220"/>
    </row>
    <row r="278" spans="1:10">
      <c r="A278" s="155"/>
      <c r="B278" s="153">
        <v>273</v>
      </c>
      <c r="C278" s="153" t="s">
        <v>205</v>
      </c>
      <c r="D278" s="153"/>
      <c r="E278" s="154"/>
      <c r="F278" s="154">
        <f t="shared" si="145"/>
        <v>0</v>
      </c>
      <c r="G278" s="154">
        <f t="shared" si="142"/>
        <v>0</v>
      </c>
      <c r="H278" s="154">
        <f t="shared" si="143"/>
        <v>0</v>
      </c>
      <c r="I278" s="154">
        <f t="shared" si="144"/>
        <v>0</v>
      </c>
      <c r="J278" s="220"/>
    </row>
    <row r="279" spans="1:10">
      <c r="A279" s="155"/>
      <c r="B279" s="153">
        <v>274</v>
      </c>
      <c r="C279" s="153" t="s">
        <v>416</v>
      </c>
      <c r="D279" s="153" t="s">
        <v>228</v>
      </c>
      <c r="E279" s="154">
        <v>22.78</v>
      </c>
      <c r="F279" s="154">
        <f t="shared" si="145"/>
        <v>3.42</v>
      </c>
      <c r="G279" s="154">
        <f t="shared" si="142"/>
        <v>26.200000000000003</v>
      </c>
      <c r="H279" s="154">
        <f t="shared" si="143"/>
        <v>28.82</v>
      </c>
      <c r="I279" s="154">
        <f t="shared" si="144"/>
        <v>0</v>
      </c>
      <c r="J279" s="220"/>
    </row>
    <row r="280" spans="1:10">
      <c r="A280" s="155"/>
      <c r="B280" s="153">
        <v>275</v>
      </c>
      <c r="C280" s="153" t="s">
        <v>417</v>
      </c>
      <c r="D280" s="153" t="s">
        <v>228</v>
      </c>
      <c r="E280" s="154">
        <v>3.5</v>
      </c>
      <c r="F280" s="154">
        <f t="shared" si="145"/>
        <v>0.53</v>
      </c>
      <c r="G280" s="154">
        <f t="shared" si="142"/>
        <v>4.03</v>
      </c>
      <c r="H280" s="154">
        <f t="shared" si="143"/>
        <v>4.4399999999999995</v>
      </c>
      <c r="I280" s="154">
        <f t="shared" si="144"/>
        <v>0</v>
      </c>
      <c r="J280" s="220"/>
    </row>
    <row r="281" spans="1:10">
      <c r="A281" s="155"/>
      <c r="B281" s="153">
        <v>276</v>
      </c>
      <c r="C281" s="153" t="s">
        <v>418</v>
      </c>
      <c r="D281" s="153" t="s">
        <v>228</v>
      </c>
      <c r="E281" s="154">
        <v>4.46</v>
      </c>
      <c r="F281" s="154">
        <f t="shared" si="145"/>
        <v>0.67</v>
      </c>
      <c r="G281" s="154">
        <f t="shared" si="142"/>
        <v>5.13</v>
      </c>
      <c r="H281" s="154">
        <f t="shared" si="143"/>
        <v>5.6499999999999995</v>
      </c>
      <c r="I281" s="154">
        <f t="shared" si="144"/>
        <v>0</v>
      </c>
      <c r="J281" s="220">
        <v>46066</v>
      </c>
    </row>
    <row r="282" spans="1:10">
      <c r="A282" s="155"/>
      <c r="B282" s="153">
        <v>277</v>
      </c>
      <c r="C282" s="153" t="s">
        <v>419</v>
      </c>
      <c r="D282" s="153" t="s">
        <v>228</v>
      </c>
      <c r="E282" s="154">
        <v>5.24</v>
      </c>
      <c r="F282" s="154">
        <f t="shared" si="145"/>
        <v>0.79</v>
      </c>
      <c r="G282" s="154">
        <f t="shared" si="142"/>
        <v>6.03</v>
      </c>
      <c r="H282" s="154">
        <f t="shared" si="143"/>
        <v>6.64</v>
      </c>
      <c r="I282" s="154">
        <f t="shared" si="144"/>
        <v>0</v>
      </c>
      <c r="J282" s="220">
        <v>46066</v>
      </c>
    </row>
    <row r="283" spans="1:10">
      <c r="A283" s="155"/>
      <c r="B283" s="153">
        <v>278</v>
      </c>
      <c r="C283" s="153" t="s">
        <v>420</v>
      </c>
      <c r="D283" s="153" t="s">
        <v>228</v>
      </c>
      <c r="E283" s="154">
        <v>5.94</v>
      </c>
      <c r="F283" s="154">
        <f t="shared" si="145"/>
        <v>0.9</v>
      </c>
      <c r="G283" s="154">
        <f t="shared" si="142"/>
        <v>6.8400000000000007</v>
      </c>
      <c r="H283" s="154">
        <f t="shared" si="143"/>
        <v>7.5299999999999994</v>
      </c>
      <c r="I283" s="154">
        <f t="shared" si="144"/>
        <v>0</v>
      </c>
      <c r="J283" s="220">
        <v>46066</v>
      </c>
    </row>
    <row r="284" spans="1:10">
      <c r="A284" s="155"/>
      <c r="B284" s="153">
        <v>279</v>
      </c>
      <c r="C284" s="153" t="s">
        <v>421</v>
      </c>
      <c r="D284" s="153" t="s">
        <v>228</v>
      </c>
      <c r="E284" s="154">
        <v>7.64</v>
      </c>
      <c r="F284" s="154">
        <f t="shared" si="145"/>
        <v>1.1499999999999999</v>
      </c>
      <c r="G284" s="154">
        <f t="shared" si="142"/>
        <v>8.7899999999999991</v>
      </c>
      <c r="H284" s="154">
        <f t="shared" si="143"/>
        <v>9.67</v>
      </c>
      <c r="I284" s="154">
        <f t="shared" si="144"/>
        <v>0</v>
      </c>
      <c r="J284" s="220">
        <v>46066</v>
      </c>
    </row>
    <row r="285" spans="1:10">
      <c r="A285" s="155"/>
      <c r="B285" s="153">
        <v>280</v>
      </c>
      <c r="C285" s="153" t="s">
        <v>422</v>
      </c>
      <c r="D285" s="153" t="s">
        <v>228</v>
      </c>
      <c r="E285" s="154">
        <v>8.68</v>
      </c>
      <c r="F285" s="154">
        <f t="shared" si="145"/>
        <v>1.31</v>
      </c>
      <c r="G285" s="154">
        <f t="shared" si="142"/>
        <v>9.99</v>
      </c>
      <c r="H285" s="154">
        <f t="shared" si="143"/>
        <v>10.99</v>
      </c>
      <c r="I285" s="154">
        <f t="shared" si="144"/>
        <v>0</v>
      </c>
      <c r="J285" s="220">
        <v>46066</v>
      </c>
    </row>
    <row r="286" spans="1:10">
      <c r="A286" s="155"/>
      <c r="B286" s="153">
        <v>281</v>
      </c>
      <c r="C286" s="153" t="s">
        <v>423</v>
      </c>
      <c r="D286" s="153" t="s">
        <v>228</v>
      </c>
      <c r="E286" s="154">
        <v>10.39</v>
      </c>
      <c r="F286" s="154">
        <f t="shared" si="145"/>
        <v>1.56</v>
      </c>
      <c r="G286" s="154">
        <f t="shared" si="142"/>
        <v>11.950000000000001</v>
      </c>
      <c r="H286" s="154">
        <f t="shared" si="143"/>
        <v>13.15</v>
      </c>
      <c r="I286" s="154">
        <f t="shared" si="144"/>
        <v>0</v>
      </c>
      <c r="J286" s="220">
        <v>46066</v>
      </c>
    </row>
    <row r="287" spans="1:10">
      <c r="A287" s="155"/>
      <c r="B287" s="153">
        <v>282</v>
      </c>
      <c r="C287" s="153" t="s">
        <v>424</v>
      </c>
      <c r="D287" s="153" t="s">
        <v>228</v>
      </c>
      <c r="E287" s="154">
        <v>11.72</v>
      </c>
      <c r="F287" s="154">
        <f t="shared" si="145"/>
        <v>1.76</v>
      </c>
      <c r="G287" s="154">
        <f t="shared" si="142"/>
        <v>13.48</v>
      </c>
      <c r="H287" s="154">
        <f t="shared" si="143"/>
        <v>14.83</v>
      </c>
      <c r="I287" s="154">
        <f t="shared" si="144"/>
        <v>0</v>
      </c>
      <c r="J287" s="220">
        <v>46066</v>
      </c>
    </row>
    <row r="288" spans="1:10">
      <c r="A288" s="155"/>
      <c r="B288" s="153">
        <v>283</v>
      </c>
      <c r="C288" s="153" t="s">
        <v>425</v>
      </c>
      <c r="D288" s="153" t="s">
        <v>228</v>
      </c>
      <c r="E288" s="154">
        <v>15</v>
      </c>
      <c r="F288" s="154">
        <f t="shared" si="145"/>
        <v>2.25</v>
      </c>
      <c r="G288" s="154">
        <f t="shared" si="142"/>
        <v>17.25</v>
      </c>
      <c r="H288" s="154">
        <f t="shared" si="143"/>
        <v>18.98</v>
      </c>
      <c r="I288" s="154">
        <f t="shared" si="144"/>
        <v>0</v>
      </c>
      <c r="J288" s="220">
        <v>46066</v>
      </c>
    </row>
    <row r="289" spans="1:10">
      <c r="A289" s="155"/>
      <c r="B289" s="153">
        <v>284</v>
      </c>
      <c r="C289" s="153" t="s">
        <v>426</v>
      </c>
      <c r="D289" s="153" t="s">
        <v>228</v>
      </c>
      <c r="E289" s="154">
        <v>22.36</v>
      </c>
      <c r="F289" s="154">
        <f t="shared" si="145"/>
        <v>3.36</v>
      </c>
      <c r="G289" s="154">
        <f t="shared" si="142"/>
        <v>25.72</v>
      </c>
      <c r="H289" s="154">
        <f t="shared" si="143"/>
        <v>28.3</v>
      </c>
      <c r="I289" s="154">
        <f t="shared" si="144"/>
        <v>0</v>
      </c>
      <c r="J289" s="220">
        <v>46066</v>
      </c>
    </row>
    <row r="290" spans="1:10">
      <c r="A290" s="155"/>
      <c r="B290" s="153">
        <v>285</v>
      </c>
      <c r="C290" s="153" t="s">
        <v>427</v>
      </c>
      <c r="D290" s="153" t="s">
        <v>228</v>
      </c>
      <c r="E290" s="154">
        <v>32.31</v>
      </c>
      <c r="F290" s="154">
        <f t="shared" si="145"/>
        <v>4.8499999999999996</v>
      </c>
      <c r="G290" s="154">
        <f t="shared" si="142"/>
        <v>37.160000000000004</v>
      </c>
      <c r="H290" s="154">
        <f t="shared" si="143"/>
        <v>40.879999999999995</v>
      </c>
      <c r="I290" s="154">
        <f t="shared" si="144"/>
        <v>0</v>
      </c>
      <c r="J290" s="220">
        <v>46066</v>
      </c>
    </row>
    <row r="291" spans="1:10">
      <c r="A291" s="155"/>
      <c r="B291" s="153">
        <v>286</v>
      </c>
      <c r="C291" s="153" t="s">
        <v>428</v>
      </c>
      <c r="D291" s="153" t="s">
        <v>228</v>
      </c>
      <c r="E291" s="154">
        <v>44.02</v>
      </c>
      <c r="F291" s="154">
        <f t="shared" si="145"/>
        <v>6.6099999999999994</v>
      </c>
      <c r="G291" s="154">
        <f t="shared" si="142"/>
        <v>50.63</v>
      </c>
      <c r="H291" s="154">
        <f t="shared" si="143"/>
        <v>55.699999999999996</v>
      </c>
      <c r="I291" s="154">
        <f t="shared" si="144"/>
        <v>0</v>
      </c>
      <c r="J291" s="220">
        <v>46066</v>
      </c>
    </row>
    <row r="292" spans="1:10">
      <c r="A292" s="155"/>
      <c r="B292" s="153">
        <v>287</v>
      </c>
      <c r="C292" s="153" t="s">
        <v>429</v>
      </c>
      <c r="D292" s="153" t="s">
        <v>228</v>
      </c>
      <c r="E292" s="154">
        <v>52.1</v>
      </c>
      <c r="F292" s="154">
        <f t="shared" si="145"/>
        <v>7.8199999999999994</v>
      </c>
      <c r="G292" s="154">
        <f t="shared" si="142"/>
        <v>59.92</v>
      </c>
      <c r="H292" s="154">
        <f t="shared" si="143"/>
        <v>65.92</v>
      </c>
      <c r="I292" s="154">
        <f t="shared" si="144"/>
        <v>0</v>
      </c>
      <c r="J292" s="220">
        <v>46066</v>
      </c>
    </row>
    <row r="293" spans="1:10">
      <c r="A293" s="155"/>
      <c r="B293" s="153">
        <v>288</v>
      </c>
      <c r="C293" s="153" t="s">
        <v>430</v>
      </c>
      <c r="D293" s="153" t="s">
        <v>228</v>
      </c>
      <c r="E293" s="154">
        <v>87.3</v>
      </c>
      <c r="F293" s="154">
        <f t="shared" si="145"/>
        <v>13.1</v>
      </c>
      <c r="G293" s="154">
        <f t="shared" si="142"/>
        <v>100.39999999999999</v>
      </c>
      <c r="H293" s="154">
        <f t="shared" si="143"/>
        <v>110.44</v>
      </c>
      <c r="I293" s="154">
        <f t="shared" si="144"/>
        <v>0</v>
      </c>
      <c r="J293" s="220"/>
    </row>
    <row r="294" spans="1:10">
      <c r="A294" s="155"/>
      <c r="B294" s="153">
        <v>289</v>
      </c>
      <c r="C294" s="153" t="s">
        <v>431</v>
      </c>
      <c r="D294" s="153" t="s">
        <v>228</v>
      </c>
      <c r="E294" s="154">
        <v>98.77</v>
      </c>
      <c r="F294" s="154">
        <f t="shared" si="145"/>
        <v>14.82</v>
      </c>
      <c r="G294" s="154">
        <f t="shared" si="142"/>
        <v>113.59</v>
      </c>
      <c r="H294" s="154">
        <f t="shared" si="143"/>
        <v>124.95</v>
      </c>
      <c r="I294" s="154">
        <f t="shared" si="144"/>
        <v>0</v>
      </c>
      <c r="J294" s="220"/>
    </row>
    <row r="295" spans="1:10">
      <c r="A295" s="155"/>
      <c r="B295" s="153">
        <v>290</v>
      </c>
      <c r="C295" s="153" t="s">
        <v>432</v>
      </c>
      <c r="D295" s="153" t="s">
        <v>228</v>
      </c>
      <c r="E295" s="154">
        <v>6.79</v>
      </c>
      <c r="F295" s="154">
        <f t="shared" si="145"/>
        <v>1.02</v>
      </c>
      <c r="G295" s="154">
        <f t="shared" si="142"/>
        <v>7.8100000000000005</v>
      </c>
      <c r="H295" s="154">
        <f t="shared" si="143"/>
        <v>8.6</v>
      </c>
      <c r="I295" s="154">
        <f t="shared" si="144"/>
        <v>0</v>
      </c>
      <c r="J295" s="220">
        <v>46066</v>
      </c>
    </row>
    <row r="296" spans="1:10">
      <c r="A296" s="155"/>
      <c r="B296" s="153">
        <v>291</v>
      </c>
      <c r="C296" s="153" t="s">
        <v>433</v>
      </c>
      <c r="D296" s="153" t="s">
        <v>228</v>
      </c>
      <c r="E296" s="154">
        <v>7.79</v>
      </c>
      <c r="F296" s="154">
        <f t="shared" si="145"/>
        <v>1.17</v>
      </c>
      <c r="G296" s="154">
        <f t="shared" si="142"/>
        <v>8.9600000000000009</v>
      </c>
      <c r="H296" s="154">
        <f t="shared" si="143"/>
        <v>9.86</v>
      </c>
      <c r="I296" s="154">
        <f t="shared" si="144"/>
        <v>0</v>
      </c>
      <c r="J296" s="220"/>
    </row>
    <row r="297" spans="1:10">
      <c r="A297" s="155"/>
      <c r="B297" s="153">
        <v>292</v>
      </c>
      <c r="C297" s="153" t="s">
        <v>434</v>
      </c>
      <c r="D297" s="153" t="s">
        <v>228</v>
      </c>
      <c r="E297" s="154">
        <v>7.25</v>
      </c>
      <c r="F297" s="154">
        <f t="shared" si="145"/>
        <v>1.0900000000000001</v>
      </c>
      <c r="G297" s="154">
        <f t="shared" si="142"/>
        <v>8.34</v>
      </c>
      <c r="H297" s="154">
        <f t="shared" si="143"/>
        <v>9.18</v>
      </c>
      <c r="I297" s="154">
        <f t="shared" si="144"/>
        <v>0</v>
      </c>
      <c r="J297" s="220">
        <v>46066</v>
      </c>
    </row>
    <row r="298" spans="1:10">
      <c r="A298" s="155"/>
      <c r="B298" s="153">
        <v>293</v>
      </c>
      <c r="C298" s="153" t="s">
        <v>435</v>
      </c>
      <c r="D298" s="153" t="s">
        <v>228</v>
      </c>
      <c r="E298" s="154">
        <v>7.2</v>
      </c>
      <c r="F298" s="154">
        <f t="shared" si="145"/>
        <v>1.08</v>
      </c>
      <c r="G298" s="154">
        <f t="shared" si="142"/>
        <v>8.2800000000000011</v>
      </c>
      <c r="H298" s="154">
        <f t="shared" si="143"/>
        <v>9.11</v>
      </c>
      <c r="I298" s="154">
        <f t="shared" si="144"/>
        <v>0</v>
      </c>
      <c r="J298" s="220"/>
    </row>
    <row r="299" spans="1:10">
      <c r="A299" s="155"/>
      <c r="B299" s="153">
        <v>294</v>
      </c>
      <c r="C299" s="153" t="s">
        <v>436</v>
      </c>
      <c r="D299" s="153" t="s">
        <v>228</v>
      </c>
      <c r="E299" s="154">
        <v>10.58</v>
      </c>
      <c r="F299" s="154">
        <f t="shared" si="145"/>
        <v>1.59</v>
      </c>
      <c r="G299" s="154">
        <f t="shared" si="142"/>
        <v>12.17</v>
      </c>
      <c r="H299" s="154">
        <f t="shared" si="143"/>
        <v>13.39</v>
      </c>
      <c r="I299" s="154">
        <f t="shared" si="144"/>
        <v>0</v>
      </c>
      <c r="J299" s="220">
        <v>46066</v>
      </c>
    </row>
    <row r="300" spans="1:10">
      <c r="A300" s="155"/>
      <c r="B300" s="153">
        <v>295</v>
      </c>
      <c r="C300" s="153" t="s">
        <v>437</v>
      </c>
      <c r="D300" s="153" t="s">
        <v>228</v>
      </c>
      <c r="E300" s="154">
        <v>9.5500000000000007</v>
      </c>
      <c r="F300" s="154">
        <f t="shared" si="145"/>
        <v>1.44</v>
      </c>
      <c r="G300" s="154">
        <f t="shared" si="142"/>
        <v>10.99</v>
      </c>
      <c r="H300" s="154">
        <f t="shared" si="143"/>
        <v>12.09</v>
      </c>
      <c r="I300" s="154">
        <f t="shared" si="144"/>
        <v>0</v>
      </c>
      <c r="J300" s="220"/>
    </row>
    <row r="301" spans="1:10">
      <c r="A301" s="155"/>
      <c r="B301" s="153">
        <v>296</v>
      </c>
      <c r="C301" s="153" t="s">
        <v>438</v>
      </c>
      <c r="D301" s="153" t="s">
        <v>228</v>
      </c>
      <c r="E301" s="154">
        <v>14.97</v>
      </c>
      <c r="F301" s="154">
        <f t="shared" si="145"/>
        <v>2.25</v>
      </c>
      <c r="G301" s="154">
        <f t="shared" si="142"/>
        <v>17.22</v>
      </c>
      <c r="H301" s="154">
        <f t="shared" si="143"/>
        <v>18.950000000000003</v>
      </c>
      <c r="I301" s="154">
        <f t="shared" si="144"/>
        <v>0</v>
      </c>
      <c r="J301" s="220">
        <v>46066</v>
      </c>
    </row>
    <row r="302" spans="1:10">
      <c r="A302" s="155"/>
      <c r="B302" s="153">
        <v>297</v>
      </c>
      <c r="C302" s="153" t="s">
        <v>439</v>
      </c>
      <c r="D302" s="153" t="s">
        <v>228</v>
      </c>
      <c r="E302" s="154">
        <v>19.75</v>
      </c>
      <c r="F302" s="154">
        <f t="shared" si="145"/>
        <v>2.9699999999999998</v>
      </c>
      <c r="G302" s="154">
        <f t="shared" si="142"/>
        <v>22.72</v>
      </c>
      <c r="H302" s="154">
        <f t="shared" si="143"/>
        <v>25</v>
      </c>
      <c r="I302" s="154">
        <f t="shared" si="144"/>
        <v>0</v>
      </c>
      <c r="J302" s="220">
        <v>46066</v>
      </c>
    </row>
    <row r="303" spans="1:10">
      <c r="A303" s="155"/>
      <c r="B303" s="153">
        <v>298</v>
      </c>
      <c r="C303" s="153" t="s">
        <v>440</v>
      </c>
      <c r="D303" s="153" t="s">
        <v>228</v>
      </c>
      <c r="E303" s="154">
        <v>34.07</v>
      </c>
      <c r="F303" s="154">
        <f t="shared" si="145"/>
        <v>5.12</v>
      </c>
      <c r="G303" s="154">
        <f t="shared" si="142"/>
        <v>39.19</v>
      </c>
      <c r="H303" s="154">
        <f t="shared" si="143"/>
        <v>43.11</v>
      </c>
      <c r="I303" s="154">
        <f t="shared" si="144"/>
        <v>0</v>
      </c>
      <c r="J303" s="220">
        <v>46066</v>
      </c>
    </row>
    <row r="304" spans="1:10">
      <c r="A304" s="155"/>
      <c r="B304" s="153">
        <v>299</v>
      </c>
      <c r="C304" s="153" t="s">
        <v>441</v>
      </c>
      <c r="D304" s="153" t="s">
        <v>228</v>
      </c>
      <c r="E304" s="154">
        <v>53.59</v>
      </c>
      <c r="F304" s="154">
        <f t="shared" si="145"/>
        <v>8.0399999999999991</v>
      </c>
      <c r="G304" s="154">
        <f t="shared" si="142"/>
        <v>61.63</v>
      </c>
      <c r="H304" s="154">
        <f t="shared" si="143"/>
        <v>67.800000000000011</v>
      </c>
      <c r="I304" s="154">
        <f t="shared" si="144"/>
        <v>0</v>
      </c>
      <c r="J304" s="220">
        <v>46066</v>
      </c>
    </row>
    <row r="305" spans="1:10">
      <c r="A305" s="155"/>
      <c r="B305" s="153">
        <v>300</v>
      </c>
      <c r="C305" s="153" t="s">
        <v>442</v>
      </c>
      <c r="D305" s="153" t="s">
        <v>228</v>
      </c>
      <c r="E305" s="154">
        <v>72.319999999999993</v>
      </c>
      <c r="F305" s="154">
        <f t="shared" si="145"/>
        <v>10.85</v>
      </c>
      <c r="G305" s="154">
        <f t="shared" si="142"/>
        <v>83.169999999999987</v>
      </c>
      <c r="H305" s="154">
        <f t="shared" si="143"/>
        <v>91.490000000000009</v>
      </c>
      <c r="I305" s="154">
        <f t="shared" si="144"/>
        <v>0</v>
      </c>
      <c r="J305" s="220">
        <v>46066</v>
      </c>
    </row>
    <row r="306" spans="1:10">
      <c r="A306" s="155"/>
      <c r="B306" s="153">
        <v>301</v>
      </c>
      <c r="C306" s="153" t="s">
        <v>443</v>
      </c>
      <c r="D306" s="153" t="s">
        <v>228</v>
      </c>
      <c r="E306" s="154">
        <v>52.34</v>
      </c>
      <c r="F306" s="154">
        <f t="shared" si="145"/>
        <v>7.8599999999999994</v>
      </c>
      <c r="G306" s="154">
        <f t="shared" si="142"/>
        <v>60.2</v>
      </c>
      <c r="H306" s="154">
        <f t="shared" si="143"/>
        <v>66.22</v>
      </c>
      <c r="I306" s="154">
        <f t="shared" si="144"/>
        <v>0</v>
      </c>
      <c r="J306" s="220"/>
    </row>
    <row r="307" spans="1:10">
      <c r="A307" s="155"/>
      <c r="B307" s="153">
        <v>302</v>
      </c>
      <c r="C307" s="153" t="s">
        <v>205</v>
      </c>
      <c r="D307" s="153"/>
      <c r="E307" s="154"/>
      <c r="F307" s="154">
        <f t="shared" si="145"/>
        <v>0</v>
      </c>
      <c r="G307" s="154">
        <f t="shared" si="142"/>
        <v>0</v>
      </c>
      <c r="H307" s="154">
        <f t="shared" si="143"/>
        <v>0</v>
      </c>
      <c r="I307" s="154">
        <f t="shared" si="144"/>
        <v>0</v>
      </c>
      <c r="J307" s="220"/>
    </row>
    <row r="308" spans="1:10">
      <c r="A308" s="155"/>
      <c r="B308" s="153">
        <v>303</v>
      </c>
      <c r="C308" s="153" t="s">
        <v>444</v>
      </c>
      <c r="D308" s="153" t="s">
        <v>228</v>
      </c>
      <c r="E308" s="154">
        <v>104.31</v>
      </c>
      <c r="F308" s="154">
        <f t="shared" si="145"/>
        <v>15.65</v>
      </c>
      <c r="G308" s="154">
        <f t="shared" si="142"/>
        <v>119.96000000000001</v>
      </c>
      <c r="H308" s="154">
        <f t="shared" si="143"/>
        <v>131.95999999999998</v>
      </c>
      <c r="I308" s="154">
        <f t="shared" si="144"/>
        <v>0</v>
      </c>
      <c r="J308" s="220"/>
    </row>
    <row r="309" spans="1:10">
      <c r="A309" s="155"/>
      <c r="B309" s="153">
        <v>304</v>
      </c>
      <c r="C309" s="153" t="s">
        <v>205</v>
      </c>
      <c r="D309" s="153"/>
      <c r="E309" s="154"/>
      <c r="F309" s="154">
        <f t="shared" si="145"/>
        <v>0</v>
      </c>
      <c r="G309" s="154">
        <f t="shared" si="142"/>
        <v>0</v>
      </c>
      <c r="H309" s="154">
        <f t="shared" si="143"/>
        <v>0</v>
      </c>
      <c r="I309" s="154">
        <f t="shared" si="144"/>
        <v>0</v>
      </c>
      <c r="J309" s="220"/>
    </row>
    <row r="310" spans="1:10">
      <c r="A310" s="155"/>
      <c r="B310" s="153">
        <v>305</v>
      </c>
      <c r="C310" s="153" t="s">
        <v>205</v>
      </c>
      <c r="D310" s="153"/>
      <c r="E310" s="154"/>
      <c r="F310" s="154">
        <f t="shared" si="145"/>
        <v>0</v>
      </c>
      <c r="G310" s="154">
        <f t="shared" si="142"/>
        <v>0</v>
      </c>
      <c r="H310" s="154">
        <f t="shared" si="143"/>
        <v>0</v>
      </c>
      <c r="I310" s="154">
        <f t="shared" si="144"/>
        <v>0</v>
      </c>
      <c r="J310" s="220"/>
    </row>
    <row r="311" spans="1:10">
      <c r="A311" s="155"/>
      <c r="B311" s="153">
        <v>306</v>
      </c>
      <c r="C311" s="153" t="s">
        <v>205</v>
      </c>
      <c r="D311" s="153"/>
      <c r="E311" s="154"/>
      <c r="F311" s="154">
        <f t="shared" si="145"/>
        <v>0</v>
      </c>
      <c r="G311" s="154">
        <f t="shared" si="142"/>
        <v>0</v>
      </c>
      <c r="H311" s="154">
        <f t="shared" si="143"/>
        <v>0</v>
      </c>
      <c r="I311" s="154">
        <f t="shared" si="144"/>
        <v>0</v>
      </c>
      <c r="J311" s="220"/>
    </row>
    <row r="312" spans="1:10">
      <c r="A312" s="155"/>
      <c r="B312" s="153">
        <v>307</v>
      </c>
      <c r="C312" s="153" t="s">
        <v>205</v>
      </c>
      <c r="D312" s="153"/>
      <c r="E312" s="154"/>
      <c r="F312" s="154">
        <f t="shared" si="145"/>
        <v>0</v>
      </c>
      <c r="G312" s="154">
        <f t="shared" si="142"/>
        <v>0</v>
      </c>
      <c r="H312" s="154">
        <f t="shared" si="143"/>
        <v>0</v>
      </c>
      <c r="I312" s="154">
        <f t="shared" si="144"/>
        <v>0</v>
      </c>
      <c r="J312" s="220"/>
    </row>
    <row r="313" spans="1:10">
      <c r="A313" s="155"/>
      <c r="B313" s="153">
        <v>308</v>
      </c>
      <c r="C313" s="153" t="s">
        <v>205</v>
      </c>
      <c r="D313" s="153"/>
      <c r="E313" s="154"/>
      <c r="F313" s="154">
        <f t="shared" si="145"/>
        <v>0</v>
      </c>
      <c r="G313" s="154">
        <f t="shared" si="142"/>
        <v>0</v>
      </c>
      <c r="H313" s="154">
        <f t="shared" si="143"/>
        <v>0</v>
      </c>
      <c r="I313" s="154">
        <f t="shared" si="144"/>
        <v>0</v>
      </c>
      <c r="J313" s="220"/>
    </row>
    <row r="314" spans="1:10">
      <c r="A314" s="155"/>
      <c r="B314" s="153">
        <v>309</v>
      </c>
      <c r="C314" s="153" t="s">
        <v>205</v>
      </c>
      <c r="D314" s="153"/>
      <c r="E314" s="154"/>
      <c r="F314" s="154">
        <f t="shared" si="145"/>
        <v>0</v>
      </c>
      <c r="G314" s="154">
        <f t="shared" si="142"/>
        <v>0</v>
      </c>
      <c r="H314" s="154">
        <f t="shared" si="143"/>
        <v>0</v>
      </c>
      <c r="I314" s="154">
        <f t="shared" si="144"/>
        <v>0</v>
      </c>
      <c r="J314" s="220"/>
    </row>
    <row r="315" spans="1:10">
      <c r="A315" s="155"/>
      <c r="B315" s="153">
        <v>310</v>
      </c>
      <c r="C315" s="153" t="s">
        <v>205</v>
      </c>
      <c r="D315" s="153"/>
      <c r="E315" s="154"/>
      <c r="F315" s="154">
        <f t="shared" si="145"/>
        <v>0</v>
      </c>
      <c r="G315" s="154">
        <f t="shared" si="142"/>
        <v>0</v>
      </c>
      <c r="H315" s="154">
        <f t="shared" si="143"/>
        <v>0</v>
      </c>
      <c r="I315" s="154">
        <f t="shared" si="144"/>
        <v>0</v>
      </c>
      <c r="J315" s="220"/>
    </row>
    <row r="316" spans="1:10">
      <c r="A316" s="155"/>
      <c r="B316" s="153">
        <v>311</v>
      </c>
      <c r="C316" s="153" t="s">
        <v>205</v>
      </c>
      <c r="D316" s="153"/>
      <c r="E316" s="154"/>
      <c r="F316" s="154">
        <f t="shared" si="145"/>
        <v>0</v>
      </c>
      <c r="G316" s="154">
        <f t="shared" si="142"/>
        <v>0</v>
      </c>
      <c r="H316" s="154">
        <f t="shared" si="143"/>
        <v>0</v>
      </c>
      <c r="I316" s="154">
        <f t="shared" si="144"/>
        <v>0</v>
      </c>
      <c r="J316" s="220"/>
    </row>
    <row r="317" spans="1:10">
      <c r="A317" s="155"/>
      <c r="B317" s="153">
        <v>312</v>
      </c>
      <c r="C317" s="153" t="s">
        <v>205</v>
      </c>
      <c r="D317" s="153"/>
      <c r="E317" s="154"/>
      <c r="F317" s="154">
        <f t="shared" si="145"/>
        <v>0</v>
      </c>
      <c r="G317" s="154">
        <f t="shared" si="142"/>
        <v>0</v>
      </c>
      <c r="H317" s="154">
        <f t="shared" si="143"/>
        <v>0</v>
      </c>
      <c r="I317" s="154">
        <f t="shared" si="144"/>
        <v>0</v>
      </c>
      <c r="J317" s="220"/>
    </row>
    <row r="318" spans="1:10">
      <c r="A318" s="155"/>
      <c r="B318" s="153">
        <v>313</v>
      </c>
      <c r="C318" s="153" t="s">
        <v>205</v>
      </c>
      <c r="D318" s="153"/>
      <c r="E318" s="154"/>
      <c r="F318" s="154">
        <f t="shared" si="145"/>
        <v>0</v>
      </c>
      <c r="G318" s="154">
        <f t="shared" si="142"/>
        <v>0</v>
      </c>
      <c r="H318" s="154">
        <f t="shared" si="143"/>
        <v>0</v>
      </c>
      <c r="I318" s="154">
        <f t="shared" si="144"/>
        <v>0</v>
      </c>
      <c r="J318" s="220"/>
    </row>
    <row r="319" spans="1:10">
      <c r="A319" s="155"/>
      <c r="B319" s="153">
        <v>314</v>
      </c>
      <c r="C319" s="153" t="s">
        <v>205</v>
      </c>
      <c r="D319" s="153"/>
      <c r="E319" s="154"/>
      <c r="F319" s="154">
        <f t="shared" si="145"/>
        <v>0</v>
      </c>
      <c r="G319" s="154">
        <f t="shared" si="142"/>
        <v>0</v>
      </c>
      <c r="H319" s="154">
        <f t="shared" si="143"/>
        <v>0</v>
      </c>
      <c r="I319" s="154">
        <f t="shared" si="144"/>
        <v>0</v>
      </c>
      <c r="J319" s="220"/>
    </row>
    <row r="320" spans="1:10">
      <c r="A320" s="155"/>
      <c r="B320" s="153">
        <v>315</v>
      </c>
      <c r="C320" s="153" t="s">
        <v>205</v>
      </c>
      <c r="D320" s="153"/>
      <c r="E320" s="154"/>
      <c r="F320" s="154">
        <f t="shared" si="145"/>
        <v>0</v>
      </c>
      <c r="G320" s="154">
        <f t="shared" si="142"/>
        <v>0</v>
      </c>
      <c r="H320" s="154">
        <f t="shared" si="143"/>
        <v>0</v>
      </c>
      <c r="I320" s="154">
        <f t="shared" si="144"/>
        <v>0</v>
      </c>
      <c r="J320" s="220"/>
    </row>
    <row r="321" spans="1:10">
      <c r="A321" s="155"/>
      <c r="B321" s="153">
        <v>316</v>
      </c>
      <c r="C321" s="153" t="s">
        <v>205</v>
      </c>
      <c r="D321" s="153"/>
      <c r="E321" s="154"/>
      <c r="F321" s="154">
        <f t="shared" si="145"/>
        <v>0</v>
      </c>
      <c r="G321" s="154">
        <f t="shared" si="142"/>
        <v>0</v>
      </c>
      <c r="H321" s="154">
        <f t="shared" si="143"/>
        <v>0</v>
      </c>
      <c r="I321" s="154">
        <f t="shared" si="144"/>
        <v>0</v>
      </c>
      <c r="J321" s="220"/>
    </row>
    <row r="322" spans="1:10">
      <c r="A322" s="155"/>
      <c r="B322" s="153">
        <v>317</v>
      </c>
      <c r="C322" s="153" t="s">
        <v>205</v>
      </c>
      <c r="D322" s="153"/>
      <c r="E322" s="154"/>
      <c r="F322" s="154">
        <f t="shared" si="145"/>
        <v>0</v>
      </c>
      <c r="G322" s="154">
        <f t="shared" si="142"/>
        <v>0</v>
      </c>
      <c r="H322" s="154">
        <f t="shared" si="143"/>
        <v>0</v>
      </c>
      <c r="I322" s="154">
        <f t="shared" si="144"/>
        <v>0</v>
      </c>
      <c r="J322" s="220"/>
    </row>
    <row r="323" spans="1:10">
      <c r="A323" s="155"/>
      <c r="B323" s="153">
        <v>318</v>
      </c>
      <c r="C323" s="153" t="s">
        <v>205</v>
      </c>
      <c r="D323" s="153"/>
      <c r="E323" s="154"/>
      <c r="F323" s="154">
        <f t="shared" si="145"/>
        <v>0</v>
      </c>
      <c r="G323" s="154">
        <f t="shared" si="142"/>
        <v>0</v>
      </c>
      <c r="H323" s="154">
        <f t="shared" si="143"/>
        <v>0</v>
      </c>
      <c r="I323" s="154">
        <f t="shared" si="144"/>
        <v>0</v>
      </c>
      <c r="J323" s="220"/>
    </row>
    <row r="324" spans="1:10">
      <c r="A324" s="155"/>
      <c r="B324" s="153">
        <v>319</v>
      </c>
      <c r="C324" s="153" t="s">
        <v>205</v>
      </c>
      <c r="D324" s="153"/>
      <c r="E324" s="154"/>
      <c r="F324" s="154">
        <f t="shared" si="145"/>
        <v>0</v>
      </c>
      <c r="G324" s="154">
        <f t="shared" si="142"/>
        <v>0</v>
      </c>
      <c r="H324" s="154">
        <f t="shared" si="143"/>
        <v>0</v>
      </c>
      <c r="I324" s="154">
        <f t="shared" si="144"/>
        <v>0</v>
      </c>
      <c r="J324" s="220"/>
    </row>
    <row r="325" spans="1:10">
      <c r="A325" s="155"/>
      <c r="B325" s="153">
        <v>320</v>
      </c>
      <c r="C325" s="153" t="s">
        <v>205</v>
      </c>
      <c r="D325" s="153"/>
      <c r="E325" s="154"/>
      <c r="F325" s="154">
        <f t="shared" si="145"/>
        <v>0</v>
      </c>
      <c r="G325" s="154">
        <f t="shared" si="142"/>
        <v>0</v>
      </c>
      <c r="H325" s="154">
        <f t="shared" si="143"/>
        <v>0</v>
      </c>
      <c r="I325" s="154">
        <f t="shared" si="144"/>
        <v>0</v>
      </c>
      <c r="J325" s="220"/>
    </row>
    <row r="326" spans="1:10">
      <c r="A326" s="155"/>
      <c r="B326" s="153">
        <v>321</v>
      </c>
      <c r="C326" s="153" t="s">
        <v>205</v>
      </c>
      <c r="D326" s="153"/>
      <c r="E326" s="154"/>
      <c r="F326" s="154">
        <f t="shared" si="145"/>
        <v>0</v>
      </c>
      <c r="G326" s="154">
        <f t="shared" ref="G326:G389" si="146">E326+F326</f>
        <v>0</v>
      </c>
      <c r="H326" s="154">
        <f t="shared" ref="H326:H389" si="147">ROUNDUP(($E326+F326)*1.1,2)</f>
        <v>0</v>
      </c>
      <c r="I326" s="154">
        <f t="shared" ref="I326:I389" si="148">IF($C$2="Inventory Cost",A326*G326,A326*H326)</f>
        <v>0</v>
      </c>
      <c r="J326" s="220"/>
    </row>
    <row r="327" spans="1:10">
      <c r="A327" s="155"/>
      <c r="B327" s="153">
        <v>322</v>
      </c>
      <c r="C327" s="153" t="s">
        <v>205</v>
      </c>
      <c r="D327" s="153"/>
      <c r="E327" s="154"/>
      <c r="F327" s="154">
        <f t="shared" si="145"/>
        <v>0</v>
      </c>
      <c r="G327" s="154">
        <f t="shared" si="146"/>
        <v>0</v>
      </c>
      <c r="H327" s="154">
        <f t="shared" si="147"/>
        <v>0</v>
      </c>
      <c r="I327" s="154">
        <f t="shared" si="148"/>
        <v>0</v>
      </c>
      <c r="J327" s="220"/>
    </row>
    <row r="328" spans="1:10">
      <c r="A328" s="155"/>
      <c r="B328" s="153">
        <v>323</v>
      </c>
      <c r="C328" s="153" t="s">
        <v>205</v>
      </c>
      <c r="D328" s="153"/>
      <c r="E328" s="154"/>
      <c r="F328" s="154">
        <f t="shared" si="145"/>
        <v>0</v>
      </c>
      <c r="G328" s="154">
        <f t="shared" si="146"/>
        <v>0</v>
      </c>
      <c r="H328" s="154">
        <f t="shared" si="147"/>
        <v>0</v>
      </c>
      <c r="I328" s="154">
        <f t="shared" si="148"/>
        <v>0</v>
      </c>
      <c r="J328" s="220"/>
    </row>
    <row r="329" spans="1:10">
      <c r="A329" s="155"/>
      <c r="B329" s="153">
        <v>324</v>
      </c>
      <c r="C329" s="153" t="s">
        <v>205</v>
      </c>
      <c r="D329" s="153"/>
      <c r="E329" s="154"/>
      <c r="F329" s="154">
        <f t="shared" si="145"/>
        <v>0</v>
      </c>
      <c r="G329" s="154">
        <f t="shared" si="146"/>
        <v>0</v>
      </c>
      <c r="H329" s="154">
        <f t="shared" si="147"/>
        <v>0</v>
      </c>
      <c r="I329" s="154">
        <f t="shared" si="148"/>
        <v>0</v>
      </c>
      <c r="J329" s="220"/>
    </row>
    <row r="330" spans="1:10">
      <c r="A330" s="155"/>
      <c r="B330" s="153">
        <v>325</v>
      </c>
      <c r="C330" s="153" t="s">
        <v>205</v>
      </c>
      <c r="D330" s="153"/>
      <c r="E330" s="154"/>
      <c r="F330" s="154">
        <f t="shared" si="145"/>
        <v>0</v>
      </c>
      <c r="G330" s="154">
        <f t="shared" si="146"/>
        <v>0</v>
      </c>
      <c r="H330" s="154">
        <f t="shared" si="147"/>
        <v>0</v>
      </c>
      <c r="I330" s="154">
        <f t="shared" si="148"/>
        <v>0</v>
      </c>
      <c r="J330" s="220"/>
    </row>
    <row r="331" spans="1:10">
      <c r="A331" s="155"/>
      <c r="B331" s="153">
        <v>326</v>
      </c>
      <c r="C331" s="153" t="s">
        <v>205</v>
      </c>
      <c r="D331" s="153"/>
      <c r="E331" s="154"/>
      <c r="F331" s="154">
        <f t="shared" si="145"/>
        <v>0</v>
      </c>
      <c r="G331" s="154">
        <f t="shared" si="146"/>
        <v>0</v>
      </c>
      <c r="H331" s="154">
        <f t="shared" si="147"/>
        <v>0</v>
      </c>
      <c r="I331" s="154">
        <f t="shared" si="148"/>
        <v>0</v>
      </c>
      <c r="J331" s="220"/>
    </row>
    <row r="332" spans="1:10">
      <c r="A332" s="155"/>
      <c r="B332" s="153">
        <v>327</v>
      </c>
      <c r="C332" s="153" t="s">
        <v>205</v>
      </c>
      <c r="D332" s="153"/>
      <c r="E332" s="154"/>
      <c r="F332" s="154">
        <f t="shared" si="145"/>
        <v>0</v>
      </c>
      <c r="G332" s="154">
        <f t="shared" si="146"/>
        <v>0</v>
      </c>
      <c r="H332" s="154">
        <f t="shared" si="147"/>
        <v>0</v>
      </c>
      <c r="I332" s="154">
        <f t="shared" si="148"/>
        <v>0</v>
      </c>
      <c r="J332" s="220"/>
    </row>
    <row r="333" spans="1:10">
      <c r="A333" s="155"/>
      <c r="B333" s="153">
        <v>328</v>
      </c>
      <c r="C333" s="153" t="s">
        <v>205</v>
      </c>
      <c r="D333" s="153"/>
      <c r="E333" s="154"/>
      <c r="F333" s="154">
        <f t="shared" si="145"/>
        <v>0</v>
      </c>
      <c r="G333" s="154">
        <f t="shared" si="146"/>
        <v>0</v>
      </c>
      <c r="H333" s="154">
        <f t="shared" si="147"/>
        <v>0</v>
      </c>
      <c r="I333" s="154">
        <f t="shared" si="148"/>
        <v>0</v>
      </c>
      <c r="J333" s="220"/>
    </row>
    <row r="334" spans="1:10">
      <c r="A334" s="155"/>
      <c r="B334" s="153">
        <v>329</v>
      </c>
      <c r="C334" s="153" t="s">
        <v>205</v>
      </c>
      <c r="D334" s="153"/>
      <c r="E334" s="154"/>
      <c r="F334" s="154">
        <f t="shared" si="145"/>
        <v>0</v>
      </c>
      <c r="G334" s="154">
        <f t="shared" si="146"/>
        <v>0</v>
      </c>
      <c r="H334" s="154">
        <f t="shared" si="147"/>
        <v>0</v>
      </c>
      <c r="I334" s="154">
        <f t="shared" si="148"/>
        <v>0</v>
      </c>
      <c r="J334" s="220"/>
    </row>
    <row r="335" spans="1:10">
      <c r="A335" s="155"/>
      <c r="B335" s="153">
        <v>330</v>
      </c>
      <c r="C335" s="153" t="s">
        <v>205</v>
      </c>
      <c r="D335" s="153"/>
      <c r="E335" s="154"/>
      <c r="F335" s="154">
        <f t="shared" si="145"/>
        <v>0</v>
      </c>
      <c r="G335" s="154">
        <f t="shared" si="146"/>
        <v>0</v>
      </c>
      <c r="H335" s="154">
        <f t="shared" si="147"/>
        <v>0</v>
      </c>
      <c r="I335" s="154">
        <f t="shared" si="148"/>
        <v>0</v>
      </c>
      <c r="J335" s="220"/>
    </row>
    <row r="336" spans="1:10">
      <c r="A336" s="155"/>
      <c r="B336" s="153">
        <v>331</v>
      </c>
      <c r="C336" s="153" t="s">
        <v>205</v>
      </c>
      <c r="D336" s="153"/>
      <c r="E336" s="154"/>
      <c r="F336" s="154">
        <f t="shared" si="145"/>
        <v>0</v>
      </c>
      <c r="G336" s="154">
        <f t="shared" si="146"/>
        <v>0</v>
      </c>
      <c r="H336" s="154">
        <f t="shared" si="147"/>
        <v>0</v>
      </c>
      <c r="I336" s="154">
        <f t="shared" si="148"/>
        <v>0</v>
      </c>
      <c r="J336" s="220"/>
    </row>
    <row r="337" spans="1:10">
      <c r="A337" s="155"/>
      <c r="B337" s="153">
        <v>332</v>
      </c>
      <c r="C337" s="153" t="s">
        <v>205</v>
      </c>
      <c r="D337" s="153"/>
      <c r="E337" s="154"/>
      <c r="F337" s="154">
        <f t="shared" si="145"/>
        <v>0</v>
      </c>
      <c r="G337" s="154">
        <f t="shared" si="146"/>
        <v>0</v>
      </c>
      <c r="H337" s="154">
        <f t="shared" si="147"/>
        <v>0</v>
      </c>
      <c r="I337" s="154">
        <f t="shared" si="148"/>
        <v>0</v>
      </c>
      <c r="J337" s="220"/>
    </row>
    <row r="338" spans="1:10">
      <c r="A338" s="155"/>
      <c r="B338" s="153">
        <v>333</v>
      </c>
      <c r="C338" s="153" t="s">
        <v>205</v>
      </c>
      <c r="D338" s="153"/>
      <c r="E338" s="154"/>
      <c r="F338" s="154">
        <f t="shared" ref="F338:F354" si="149">ROUNDUP(E338*0.15,2)</f>
        <v>0</v>
      </c>
      <c r="G338" s="154">
        <f t="shared" si="146"/>
        <v>0</v>
      </c>
      <c r="H338" s="154">
        <f t="shared" si="147"/>
        <v>0</v>
      </c>
      <c r="I338" s="154">
        <f t="shared" si="148"/>
        <v>0</v>
      </c>
      <c r="J338" s="220"/>
    </row>
    <row r="339" spans="1:10">
      <c r="A339" s="155"/>
      <c r="B339" s="153">
        <v>334</v>
      </c>
      <c r="C339" s="153" t="s">
        <v>205</v>
      </c>
      <c r="D339" s="153"/>
      <c r="E339" s="154"/>
      <c r="F339" s="154">
        <f t="shared" si="149"/>
        <v>0</v>
      </c>
      <c r="G339" s="154">
        <f t="shared" si="146"/>
        <v>0</v>
      </c>
      <c r="H339" s="154">
        <f t="shared" si="147"/>
        <v>0</v>
      </c>
      <c r="I339" s="154">
        <f t="shared" si="148"/>
        <v>0</v>
      </c>
      <c r="J339" s="220"/>
    </row>
    <row r="340" spans="1:10">
      <c r="A340" s="155"/>
      <c r="B340" s="153">
        <v>335</v>
      </c>
      <c r="C340" s="153" t="s">
        <v>205</v>
      </c>
      <c r="D340" s="153"/>
      <c r="E340" s="154"/>
      <c r="F340" s="154">
        <f t="shared" si="149"/>
        <v>0</v>
      </c>
      <c r="G340" s="154">
        <f t="shared" si="146"/>
        <v>0</v>
      </c>
      <c r="H340" s="154">
        <f t="shared" si="147"/>
        <v>0</v>
      </c>
      <c r="I340" s="154">
        <f t="shared" si="148"/>
        <v>0</v>
      </c>
      <c r="J340" s="220"/>
    </row>
    <row r="341" spans="1:10">
      <c r="A341" s="155"/>
      <c r="B341" s="153">
        <v>336</v>
      </c>
      <c r="C341" s="153" t="s">
        <v>205</v>
      </c>
      <c r="D341" s="153"/>
      <c r="E341" s="154"/>
      <c r="F341" s="154">
        <f t="shared" si="149"/>
        <v>0</v>
      </c>
      <c r="G341" s="154">
        <f t="shared" si="146"/>
        <v>0</v>
      </c>
      <c r="H341" s="154">
        <f t="shared" si="147"/>
        <v>0</v>
      </c>
      <c r="I341" s="154">
        <f t="shared" si="148"/>
        <v>0</v>
      </c>
      <c r="J341" s="220"/>
    </row>
    <row r="342" spans="1:10">
      <c r="A342" s="155"/>
      <c r="B342" s="153">
        <v>337</v>
      </c>
      <c r="C342" s="153" t="s">
        <v>205</v>
      </c>
      <c r="D342" s="153"/>
      <c r="E342" s="154"/>
      <c r="F342" s="154">
        <f t="shared" si="149"/>
        <v>0</v>
      </c>
      <c r="G342" s="154">
        <f t="shared" si="146"/>
        <v>0</v>
      </c>
      <c r="H342" s="154">
        <f t="shared" si="147"/>
        <v>0</v>
      </c>
      <c r="I342" s="154">
        <f t="shared" si="148"/>
        <v>0</v>
      </c>
      <c r="J342" s="220"/>
    </row>
    <row r="343" spans="1:10">
      <c r="A343" s="155"/>
      <c r="B343" s="153">
        <v>338</v>
      </c>
      <c r="C343" s="153" t="s">
        <v>205</v>
      </c>
      <c r="D343" s="153"/>
      <c r="E343" s="154"/>
      <c r="F343" s="154">
        <f t="shared" si="149"/>
        <v>0</v>
      </c>
      <c r="G343" s="154">
        <f t="shared" si="146"/>
        <v>0</v>
      </c>
      <c r="H343" s="154">
        <f t="shared" si="147"/>
        <v>0</v>
      </c>
      <c r="I343" s="154">
        <f t="shared" si="148"/>
        <v>0</v>
      </c>
      <c r="J343" s="220"/>
    </row>
    <row r="344" spans="1:10">
      <c r="A344" s="155"/>
      <c r="B344" s="153">
        <v>339</v>
      </c>
      <c r="C344" s="153" t="s">
        <v>205</v>
      </c>
      <c r="D344" s="153"/>
      <c r="E344" s="154"/>
      <c r="F344" s="154">
        <f t="shared" si="149"/>
        <v>0</v>
      </c>
      <c r="G344" s="154">
        <f t="shared" si="146"/>
        <v>0</v>
      </c>
      <c r="H344" s="154">
        <f t="shared" si="147"/>
        <v>0</v>
      </c>
      <c r="I344" s="154">
        <f t="shared" si="148"/>
        <v>0</v>
      </c>
      <c r="J344" s="220"/>
    </row>
    <row r="345" spans="1:10">
      <c r="A345" s="155"/>
      <c r="B345" s="153">
        <v>340</v>
      </c>
      <c r="C345" s="153" t="s">
        <v>205</v>
      </c>
      <c r="D345" s="153"/>
      <c r="E345" s="154"/>
      <c r="F345" s="154">
        <f t="shared" si="149"/>
        <v>0</v>
      </c>
      <c r="G345" s="154">
        <f t="shared" si="146"/>
        <v>0</v>
      </c>
      <c r="H345" s="154">
        <f t="shared" si="147"/>
        <v>0</v>
      </c>
      <c r="I345" s="154">
        <f t="shared" si="148"/>
        <v>0</v>
      </c>
      <c r="J345" s="220"/>
    </row>
    <row r="346" spans="1:10">
      <c r="A346" s="155"/>
      <c r="B346" s="153">
        <v>341</v>
      </c>
      <c r="C346" s="153" t="s">
        <v>205</v>
      </c>
      <c r="D346" s="153"/>
      <c r="E346" s="154"/>
      <c r="F346" s="154">
        <f t="shared" si="149"/>
        <v>0</v>
      </c>
      <c r="G346" s="154">
        <f t="shared" si="146"/>
        <v>0</v>
      </c>
      <c r="H346" s="154">
        <f t="shared" si="147"/>
        <v>0</v>
      </c>
      <c r="I346" s="154">
        <f t="shared" si="148"/>
        <v>0</v>
      </c>
      <c r="J346" s="220"/>
    </row>
    <row r="347" spans="1:10">
      <c r="A347" s="155"/>
      <c r="B347" s="153">
        <v>342</v>
      </c>
      <c r="C347" s="153" t="s">
        <v>205</v>
      </c>
      <c r="D347" s="153"/>
      <c r="E347" s="154"/>
      <c r="F347" s="154">
        <f t="shared" si="149"/>
        <v>0</v>
      </c>
      <c r="G347" s="154">
        <f t="shared" si="146"/>
        <v>0</v>
      </c>
      <c r="H347" s="154">
        <f t="shared" si="147"/>
        <v>0</v>
      </c>
      <c r="I347" s="154">
        <f t="shared" si="148"/>
        <v>0</v>
      </c>
      <c r="J347" s="220"/>
    </row>
    <row r="348" spans="1:10">
      <c r="A348" s="155"/>
      <c r="B348" s="153">
        <v>343</v>
      </c>
      <c r="C348" s="153" t="s">
        <v>205</v>
      </c>
      <c r="D348" s="153"/>
      <c r="E348" s="154"/>
      <c r="F348" s="154">
        <f t="shared" si="149"/>
        <v>0</v>
      </c>
      <c r="G348" s="154">
        <f t="shared" si="146"/>
        <v>0</v>
      </c>
      <c r="H348" s="154">
        <f t="shared" si="147"/>
        <v>0</v>
      </c>
      <c r="I348" s="154">
        <f t="shared" si="148"/>
        <v>0</v>
      </c>
      <c r="J348" s="220"/>
    </row>
    <row r="349" spans="1:10">
      <c r="A349" s="155"/>
      <c r="B349" s="153">
        <v>344</v>
      </c>
      <c r="C349" s="153" t="s">
        <v>205</v>
      </c>
      <c r="D349" s="153"/>
      <c r="E349" s="154"/>
      <c r="F349" s="154">
        <f t="shared" si="149"/>
        <v>0</v>
      </c>
      <c r="G349" s="154">
        <f t="shared" si="146"/>
        <v>0</v>
      </c>
      <c r="H349" s="154">
        <f t="shared" si="147"/>
        <v>0</v>
      </c>
      <c r="I349" s="154">
        <f t="shared" si="148"/>
        <v>0</v>
      </c>
      <c r="J349" s="220"/>
    </row>
    <row r="350" spans="1:10">
      <c r="A350" s="155"/>
      <c r="B350" s="153">
        <v>345</v>
      </c>
      <c r="C350" s="153" t="s">
        <v>205</v>
      </c>
      <c r="D350" s="153"/>
      <c r="E350" s="154"/>
      <c r="F350" s="154">
        <f t="shared" si="149"/>
        <v>0</v>
      </c>
      <c r="G350" s="154">
        <f t="shared" si="146"/>
        <v>0</v>
      </c>
      <c r="H350" s="154">
        <f t="shared" si="147"/>
        <v>0</v>
      </c>
      <c r="I350" s="154">
        <f t="shared" si="148"/>
        <v>0</v>
      </c>
      <c r="J350" s="220"/>
    </row>
    <row r="351" spans="1:10">
      <c r="A351" s="155"/>
      <c r="B351" s="153">
        <v>346</v>
      </c>
      <c r="C351" s="153" t="s">
        <v>205</v>
      </c>
      <c r="D351" s="153"/>
      <c r="E351" s="154"/>
      <c r="F351" s="154">
        <f t="shared" si="149"/>
        <v>0</v>
      </c>
      <c r="G351" s="154">
        <f t="shared" si="146"/>
        <v>0</v>
      </c>
      <c r="H351" s="154">
        <f t="shared" si="147"/>
        <v>0</v>
      </c>
      <c r="I351" s="154">
        <f t="shared" si="148"/>
        <v>0</v>
      </c>
      <c r="J351" s="220"/>
    </row>
    <row r="352" spans="1:10">
      <c r="A352" s="155"/>
      <c r="B352" s="153">
        <v>347</v>
      </c>
      <c r="C352" s="153" t="s">
        <v>205</v>
      </c>
      <c r="D352" s="153"/>
      <c r="E352" s="154"/>
      <c r="F352" s="154">
        <f t="shared" si="149"/>
        <v>0</v>
      </c>
      <c r="G352" s="154">
        <f t="shared" si="146"/>
        <v>0</v>
      </c>
      <c r="H352" s="154">
        <f t="shared" si="147"/>
        <v>0</v>
      </c>
      <c r="I352" s="154">
        <f t="shared" si="148"/>
        <v>0</v>
      </c>
      <c r="J352" s="220"/>
    </row>
    <row r="353" spans="1:10">
      <c r="A353" s="155"/>
      <c r="B353" s="153">
        <v>348</v>
      </c>
      <c r="C353" s="153" t="s">
        <v>205</v>
      </c>
      <c r="D353" s="153"/>
      <c r="E353" s="154"/>
      <c r="F353" s="154">
        <f t="shared" si="149"/>
        <v>0</v>
      </c>
      <c r="G353" s="154">
        <f t="shared" si="146"/>
        <v>0</v>
      </c>
      <c r="H353" s="154">
        <f t="shared" si="147"/>
        <v>0</v>
      </c>
      <c r="I353" s="154">
        <f t="shared" si="148"/>
        <v>0</v>
      </c>
      <c r="J353" s="220"/>
    </row>
    <row r="354" spans="1:10">
      <c r="A354" s="155"/>
      <c r="B354" s="153">
        <v>349</v>
      </c>
      <c r="C354" s="153" t="s">
        <v>205</v>
      </c>
      <c r="D354" s="153"/>
      <c r="E354" s="154"/>
      <c r="F354" s="154">
        <f t="shared" si="149"/>
        <v>0</v>
      </c>
      <c r="G354" s="154">
        <f t="shared" si="146"/>
        <v>0</v>
      </c>
      <c r="H354" s="154">
        <f t="shared" si="147"/>
        <v>0</v>
      </c>
      <c r="I354" s="154">
        <f t="shared" si="148"/>
        <v>0</v>
      </c>
      <c r="J354" s="220"/>
    </row>
    <row r="355" spans="1:10">
      <c r="A355" s="155"/>
      <c r="B355" s="153">
        <v>350</v>
      </c>
      <c r="C355" s="159" t="s">
        <v>936</v>
      </c>
      <c r="D355" s="153" t="s">
        <v>246</v>
      </c>
      <c r="E355" s="154">
        <f t="shared" ref="E355:E364" si="150">ROUND(N151*$M151,2)</f>
        <v>3.52</v>
      </c>
      <c r="F355" s="154">
        <f t="shared" ref="F355:F364" si="151">ROUND(O151*$M151,2)</f>
        <v>0.35</v>
      </c>
      <c r="G355" s="154">
        <f t="shared" si="146"/>
        <v>3.87</v>
      </c>
      <c r="H355" s="154">
        <f t="shared" si="147"/>
        <v>4.26</v>
      </c>
      <c r="I355" s="154">
        <f t="shared" si="148"/>
        <v>0</v>
      </c>
      <c r="J355" s="220">
        <f t="shared" ref="J355:J364" si="152">$Q$149</f>
        <v>44628</v>
      </c>
    </row>
    <row r="356" spans="1:10">
      <c r="A356" s="155"/>
      <c r="B356" s="153">
        <v>351</v>
      </c>
      <c r="C356" s="159" t="s">
        <v>937</v>
      </c>
      <c r="D356" s="153" t="s">
        <v>246</v>
      </c>
      <c r="E356" s="154">
        <f t="shared" si="150"/>
        <v>5.41</v>
      </c>
      <c r="F356" s="154">
        <f t="shared" si="151"/>
        <v>0.54</v>
      </c>
      <c r="G356" s="154">
        <f t="shared" si="146"/>
        <v>5.95</v>
      </c>
      <c r="H356" s="154">
        <f t="shared" si="147"/>
        <v>6.55</v>
      </c>
      <c r="I356" s="154">
        <f t="shared" si="148"/>
        <v>0</v>
      </c>
      <c r="J356" s="220">
        <f t="shared" si="152"/>
        <v>44628</v>
      </c>
    </row>
    <row r="357" spans="1:10">
      <c r="A357" s="155"/>
      <c r="B357" s="153">
        <v>352</v>
      </c>
      <c r="C357" s="159" t="s">
        <v>938</v>
      </c>
      <c r="D357" s="153" t="s">
        <v>246</v>
      </c>
      <c r="E357" s="154">
        <f t="shared" si="150"/>
        <v>7.92</v>
      </c>
      <c r="F357" s="154">
        <f t="shared" si="151"/>
        <v>0.79</v>
      </c>
      <c r="G357" s="154">
        <f t="shared" si="146"/>
        <v>8.7100000000000009</v>
      </c>
      <c r="H357" s="154">
        <f t="shared" si="147"/>
        <v>9.59</v>
      </c>
      <c r="I357" s="154">
        <f t="shared" si="148"/>
        <v>0</v>
      </c>
      <c r="J357" s="220">
        <f t="shared" si="152"/>
        <v>44628</v>
      </c>
    </row>
    <row r="358" spans="1:10">
      <c r="A358" s="155"/>
      <c r="B358" s="153">
        <v>353</v>
      </c>
      <c r="C358" s="159" t="s">
        <v>939</v>
      </c>
      <c r="D358" s="153" t="s">
        <v>246</v>
      </c>
      <c r="E358" s="154">
        <f t="shared" si="150"/>
        <v>6.19</v>
      </c>
      <c r="F358" s="154">
        <f t="shared" si="151"/>
        <v>0.61</v>
      </c>
      <c r="G358" s="154">
        <f t="shared" si="146"/>
        <v>6.8000000000000007</v>
      </c>
      <c r="H358" s="154">
        <f t="shared" si="147"/>
        <v>7.48</v>
      </c>
      <c r="I358" s="154">
        <f t="shared" si="148"/>
        <v>0</v>
      </c>
      <c r="J358" s="220">
        <f t="shared" si="152"/>
        <v>44628</v>
      </c>
    </row>
    <row r="359" spans="1:10">
      <c r="A359" s="155"/>
      <c r="B359" s="153">
        <v>354</v>
      </c>
      <c r="C359" s="159" t="s">
        <v>940</v>
      </c>
      <c r="D359" s="153" t="s">
        <v>246</v>
      </c>
      <c r="E359" s="154">
        <f t="shared" si="150"/>
        <v>10.029999999999999</v>
      </c>
      <c r="F359" s="154">
        <f t="shared" si="151"/>
        <v>1</v>
      </c>
      <c r="G359" s="154">
        <f t="shared" si="146"/>
        <v>11.03</v>
      </c>
      <c r="H359" s="154">
        <f t="shared" si="147"/>
        <v>12.14</v>
      </c>
      <c r="I359" s="154">
        <f t="shared" si="148"/>
        <v>0</v>
      </c>
      <c r="J359" s="220">
        <f t="shared" si="152"/>
        <v>44628</v>
      </c>
    </row>
    <row r="360" spans="1:10">
      <c r="A360" s="155"/>
      <c r="B360" s="153">
        <v>355</v>
      </c>
      <c r="C360" s="159" t="s">
        <v>941</v>
      </c>
      <c r="D360" s="153" t="s">
        <v>246</v>
      </c>
      <c r="E360" s="154">
        <f t="shared" si="150"/>
        <v>14.04</v>
      </c>
      <c r="F360" s="154">
        <f t="shared" si="151"/>
        <v>1.4</v>
      </c>
      <c r="G360" s="154">
        <f t="shared" si="146"/>
        <v>15.44</v>
      </c>
      <c r="H360" s="154">
        <f t="shared" si="147"/>
        <v>16.990000000000002</v>
      </c>
      <c r="I360" s="154">
        <f t="shared" si="148"/>
        <v>0</v>
      </c>
      <c r="J360" s="220">
        <f t="shared" si="152"/>
        <v>44628</v>
      </c>
    </row>
    <row r="361" spans="1:10">
      <c r="A361" s="155"/>
      <c r="B361" s="153">
        <v>356</v>
      </c>
      <c r="C361" s="159" t="s">
        <v>942</v>
      </c>
      <c r="D361" s="153" t="s">
        <v>246</v>
      </c>
      <c r="E361" s="154">
        <f t="shared" si="150"/>
        <v>16.32</v>
      </c>
      <c r="F361" s="154">
        <f t="shared" si="151"/>
        <v>1.63</v>
      </c>
      <c r="G361" s="154">
        <f t="shared" si="146"/>
        <v>17.95</v>
      </c>
      <c r="H361" s="154">
        <f t="shared" si="147"/>
        <v>19.75</v>
      </c>
      <c r="I361" s="154">
        <f t="shared" si="148"/>
        <v>0</v>
      </c>
      <c r="J361" s="220">
        <f t="shared" si="152"/>
        <v>44628</v>
      </c>
    </row>
    <row r="362" spans="1:10">
      <c r="A362" s="155"/>
      <c r="B362" s="153">
        <v>357</v>
      </c>
      <c r="C362" s="159" t="s">
        <v>943</v>
      </c>
      <c r="D362" s="153" t="s">
        <v>246</v>
      </c>
      <c r="E362" s="154">
        <f t="shared" si="150"/>
        <v>21.56</v>
      </c>
      <c r="F362" s="154">
        <f t="shared" si="151"/>
        <v>2.16</v>
      </c>
      <c r="G362" s="154">
        <f t="shared" si="146"/>
        <v>23.72</v>
      </c>
      <c r="H362" s="154">
        <f t="shared" si="147"/>
        <v>26.1</v>
      </c>
      <c r="I362" s="154">
        <f t="shared" si="148"/>
        <v>0</v>
      </c>
      <c r="J362" s="220">
        <f t="shared" si="152"/>
        <v>44628</v>
      </c>
    </row>
    <row r="363" spans="1:10">
      <c r="A363" s="155"/>
      <c r="B363" s="153">
        <v>358</v>
      </c>
      <c r="C363" s="159" t="s">
        <v>944</v>
      </c>
      <c r="D363" s="153" t="s">
        <v>246</v>
      </c>
      <c r="E363" s="154">
        <f t="shared" si="150"/>
        <v>29.04</v>
      </c>
      <c r="F363" s="154">
        <f t="shared" si="151"/>
        <v>2.9</v>
      </c>
      <c r="G363" s="154">
        <f t="shared" si="146"/>
        <v>31.939999999999998</v>
      </c>
      <c r="H363" s="154">
        <f t="shared" si="147"/>
        <v>35.14</v>
      </c>
      <c r="I363" s="154">
        <f t="shared" si="148"/>
        <v>0</v>
      </c>
      <c r="J363" s="220">
        <f t="shared" si="152"/>
        <v>44628</v>
      </c>
    </row>
    <row r="364" spans="1:10">
      <c r="A364" s="155"/>
      <c r="B364" s="153">
        <v>359</v>
      </c>
      <c r="C364" s="159" t="s">
        <v>945</v>
      </c>
      <c r="D364" s="153" t="s">
        <v>246</v>
      </c>
      <c r="E364" s="154">
        <f t="shared" si="150"/>
        <v>65.56</v>
      </c>
      <c r="F364" s="154">
        <f t="shared" si="151"/>
        <v>6.56</v>
      </c>
      <c r="G364" s="154">
        <f t="shared" si="146"/>
        <v>72.12</v>
      </c>
      <c r="H364" s="154">
        <f t="shared" si="147"/>
        <v>79.34</v>
      </c>
      <c r="I364" s="154">
        <f t="shared" si="148"/>
        <v>0</v>
      </c>
      <c r="J364" s="220">
        <f t="shared" si="152"/>
        <v>44628</v>
      </c>
    </row>
    <row r="365" spans="1:10">
      <c r="A365" s="155"/>
      <c r="B365" s="153">
        <v>360</v>
      </c>
      <c r="C365" s="153" t="s">
        <v>926</v>
      </c>
      <c r="D365" s="153" t="s">
        <v>246</v>
      </c>
      <c r="E365" s="154">
        <f t="shared" ref="E365:E374" si="153">ROUND(N165*$M165,2)</f>
        <v>1.1299999999999999</v>
      </c>
      <c r="F365" s="154">
        <f t="shared" ref="F365:F374" si="154">ROUND(O165*$M165,2)</f>
        <v>0.11</v>
      </c>
      <c r="G365" s="154">
        <f t="shared" si="146"/>
        <v>1.24</v>
      </c>
      <c r="H365" s="154">
        <f t="shared" si="147"/>
        <v>1.37</v>
      </c>
      <c r="I365" s="154">
        <f t="shared" si="148"/>
        <v>0</v>
      </c>
      <c r="J365" s="220">
        <f t="shared" ref="J365:J374" si="155">$Q$163</f>
        <v>44629</v>
      </c>
    </row>
    <row r="366" spans="1:10">
      <c r="A366" s="155"/>
      <c r="B366" s="153">
        <v>361</v>
      </c>
      <c r="C366" s="153" t="s">
        <v>927</v>
      </c>
      <c r="D366" s="153" t="s">
        <v>246</v>
      </c>
      <c r="E366" s="154">
        <f t="shared" si="153"/>
        <v>1.72</v>
      </c>
      <c r="F366" s="154">
        <f t="shared" si="154"/>
        <v>0.17</v>
      </c>
      <c r="G366" s="154">
        <f t="shared" si="146"/>
        <v>1.89</v>
      </c>
      <c r="H366" s="154">
        <f t="shared" si="147"/>
        <v>2.0799999999999996</v>
      </c>
      <c r="I366" s="154">
        <f t="shared" si="148"/>
        <v>0</v>
      </c>
      <c r="J366" s="220">
        <f t="shared" si="155"/>
        <v>44629</v>
      </c>
    </row>
    <row r="367" spans="1:10">
      <c r="A367" s="155"/>
      <c r="B367" s="153">
        <v>362</v>
      </c>
      <c r="C367" s="153" t="s">
        <v>928</v>
      </c>
      <c r="D367" s="153" t="s">
        <v>246</v>
      </c>
      <c r="E367" s="154">
        <f t="shared" si="153"/>
        <v>2.5</v>
      </c>
      <c r="F367" s="154">
        <f t="shared" si="154"/>
        <v>0.25</v>
      </c>
      <c r="G367" s="154">
        <f t="shared" si="146"/>
        <v>2.75</v>
      </c>
      <c r="H367" s="154">
        <f t="shared" si="147"/>
        <v>3.03</v>
      </c>
      <c r="I367" s="154">
        <f t="shared" si="148"/>
        <v>0</v>
      </c>
      <c r="J367" s="220">
        <f t="shared" si="155"/>
        <v>44629</v>
      </c>
    </row>
    <row r="368" spans="1:10">
      <c r="A368" s="155"/>
      <c r="B368" s="153">
        <v>363</v>
      </c>
      <c r="C368" s="153" t="s">
        <v>929</v>
      </c>
      <c r="D368" s="153" t="s">
        <v>246</v>
      </c>
      <c r="E368" s="154">
        <f t="shared" si="153"/>
        <v>2.29</v>
      </c>
      <c r="F368" s="154">
        <f t="shared" si="154"/>
        <v>0.23</v>
      </c>
      <c r="G368" s="154">
        <f t="shared" si="146"/>
        <v>2.52</v>
      </c>
      <c r="H368" s="154">
        <f t="shared" si="147"/>
        <v>2.78</v>
      </c>
      <c r="I368" s="154">
        <f t="shared" si="148"/>
        <v>0</v>
      </c>
      <c r="J368" s="220">
        <f t="shared" si="155"/>
        <v>44629</v>
      </c>
    </row>
    <row r="369" spans="1:10">
      <c r="A369" s="155"/>
      <c r="B369" s="153">
        <v>364</v>
      </c>
      <c r="C369" s="153" t="s">
        <v>930</v>
      </c>
      <c r="D369" s="153" t="s">
        <v>246</v>
      </c>
      <c r="E369" s="154">
        <f t="shared" si="153"/>
        <v>3.43</v>
      </c>
      <c r="F369" s="154">
        <f t="shared" si="154"/>
        <v>0.34</v>
      </c>
      <c r="G369" s="154">
        <f t="shared" si="146"/>
        <v>3.77</v>
      </c>
      <c r="H369" s="154">
        <f t="shared" si="147"/>
        <v>4.1499999999999995</v>
      </c>
      <c r="I369" s="154">
        <f t="shared" si="148"/>
        <v>0</v>
      </c>
      <c r="J369" s="220">
        <f t="shared" si="155"/>
        <v>44629</v>
      </c>
    </row>
    <row r="370" spans="1:10">
      <c r="A370" s="155"/>
      <c r="B370" s="153">
        <v>365</v>
      </c>
      <c r="C370" s="153" t="s">
        <v>931</v>
      </c>
      <c r="D370" s="153" t="s">
        <v>246</v>
      </c>
      <c r="E370" s="154">
        <f t="shared" si="153"/>
        <v>4.4800000000000004</v>
      </c>
      <c r="F370" s="154">
        <f t="shared" si="154"/>
        <v>0.44</v>
      </c>
      <c r="G370" s="154">
        <f t="shared" si="146"/>
        <v>4.9200000000000008</v>
      </c>
      <c r="H370" s="154">
        <f t="shared" si="147"/>
        <v>5.42</v>
      </c>
      <c r="I370" s="154">
        <f t="shared" si="148"/>
        <v>0</v>
      </c>
      <c r="J370" s="220">
        <f t="shared" si="155"/>
        <v>44629</v>
      </c>
    </row>
    <row r="371" spans="1:10">
      <c r="A371" s="155"/>
      <c r="B371" s="153">
        <v>366</v>
      </c>
      <c r="C371" s="153" t="s">
        <v>932</v>
      </c>
      <c r="D371" s="153" t="s">
        <v>246</v>
      </c>
      <c r="E371" s="154">
        <f t="shared" si="153"/>
        <v>5.0599999999999996</v>
      </c>
      <c r="F371" s="154">
        <f t="shared" si="154"/>
        <v>0.5</v>
      </c>
      <c r="G371" s="154">
        <f t="shared" si="146"/>
        <v>5.56</v>
      </c>
      <c r="H371" s="154">
        <f t="shared" si="147"/>
        <v>6.12</v>
      </c>
      <c r="I371" s="154">
        <f t="shared" si="148"/>
        <v>0</v>
      </c>
      <c r="J371" s="220">
        <f t="shared" si="155"/>
        <v>44629</v>
      </c>
    </row>
    <row r="372" spans="1:10">
      <c r="A372" s="155"/>
      <c r="B372" s="153">
        <v>367</v>
      </c>
      <c r="C372" s="153" t="s">
        <v>933</v>
      </c>
      <c r="D372" s="153" t="s">
        <v>246</v>
      </c>
      <c r="E372" s="154">
        <f t="shared" si="153"/>
        <v>6.78</v>
      </c>
      <c r="F372" s="154">
        <f t="shared" si="154"/>
        <v>0.67</v>
      </c>
      <c r="G372" s="154">
        <f t="shared" si="146"/>
        <v>7.45</v>
      </c>
      <c r="H372" s="154">
        <f t="shared" si="147"/>
        <v>8.1999999999999993</v>
      </c>
      <c r="I372" s="154">
        <f t="shared" si="148"/>
        <v>0</v>
      </c>
      <c r="J372" s="220">
        <f t="shared" si="155"/>
        <v>44629</v>
      </c>
    </row>
    <row r="373" spans="1:10">
      <c r="A373" s="155"/>
      <c r="B373" s="153">
        <v>368</v>
      </c>
      <c r="C373" s="153" t="s">
        <v>934</v>
      </c>
      <c r="D373" s="153" t="s">
        <v>246</v>
      </c>
      <c r="E373" s="154">
        <f t="shared" si="153"/>
        <v>9.1999999999999993</v>
      </c>
      <c r="F373" s="154">
        <f t="shared" si="154"/>
        <v>0.91</v>
      </c>
      <c r="G373" s="154">
        <f t="shared" si="146"/>
        <v>10.11</v>
      </c>
      <c r="H373" s="154">
        <f t="shared" si="147"/>
        <v>11.129999999999999</v>
      </c>
      <c r="I373" s="154">
        <f t="shared" si="148"/>
        <v>0</v>
      </c>
      <c r="J373" s="220">
        <f t="shared" si="155"/>
        <v>44629</v>
      </c>
    </row>
    <row r="374" spans="1:10">
      <c r="A374" s="155"/>
      <c r="B374" s="153">
        <v>369</v>
      </c>
      <c r="C374" s="153" t="s">
        <v>935</v>
      </c>
      <c r="D374" s="153" t="s">
        <v>246</v>
      </c>
      <c r="E374" s="154">
        <f t="shared" si="153"/>
        <v>20.62</v>
      </c>
      <c r="F374" s="154">
        <f t="shared" si="154"/>
        <v>2.04</v>
      </c>
      <c r="G374" s="154">
        <f t="shared" si="146"/>
        <v>22.66</v>
      </c>
      <c r="H374" s="154">
        <f t="shared" si="147"/>
        <v>24.930000000000003</v>
      </c>
      <c r="I374" s="154">
        <f t="shared" si="148"/>
        <v>0</v>
      </c>
      <c r="J374" s="220">
        <f t="shared" si="155"/>
        <v>44629</v>
      </c>
    </row>
    <row r="375" spans="1:10">
      <c r="A375" s="155"/>
      <c r="B375" s="153">
        <v>370</v>
      </c>
      <c r="C375" s="159" t="s">
        <v>946</v>
      </c>
      <c r="D375" s="153" t="s">
        <v>246</v>
      </c>
      <c r="E375" s="154">
        <f t="shared" ref="E375:E386" si="156">ROUND(N179*$M179,2)</f>
        <v>2.23</v>
      </c>
      <c r="F375" s="154">
        <f t="shared" ref="F375:F386" si="157">ROUND(O179*$M179,2)</f>
        <v>0.22</v>
      </c>
      <c r="G375" s="154">
        <f t="shared" si="146"/>
        <v>2.4500000000000002</v>
      </c>
      <c r="H375" s="154">
        <f t="shared" si="147"/>
        <v>2.6999999999999997</v>
      </c>
      <c r="I375" s="154">
        <f t="shared" si="148"/>
        <v>0</v>
      </c>
      <c r="J375" s="220">
        <f t="shared" ref="J375:J386" si="158">$Q$177</f>
        <v>44629</v>
      </c>
    </row>
    <row r="376" spans="1:10">
      <c r="A376" s="155"/>
      <c r="B376" s="153">
        <v>371</v>
      </c>
      <c r="C376" s="159" t="s">
        <v>947</v>
      </c>
      <c r="D376" s="153" t="s">
        <v>246</v>
      </c>
      <c r="E376" s="154">
        <f t="shared" si="156"/>
        <v>3.43</v>
      </c>
      <c r="F376" s="154">
        <f t="shared" si="157"/>
        <v>0.33</v>
      </c>
      <c r="G376" s="154">
        <f t="shared" si="146"/>
        <v>3.7600000000000002</v>
      </c>
      <c r="H376" s="154">
        <f t="shared" si="147"/>
        <v>4.1399999999999997</v>
      </c>
      <c r="I376" s="154">
        <f t="shared" si="148"/>
        <v>0</v>
      </c>
      <c r="J376" s="220">
        <f t="shared" si="158"/>
        <v>44629</v>
      </c>
    </row>
    <row r="377" spans="1:10">
      <c r="A377" s="155"/>
      <c r="B377" s="153">
        <v>372</v>
      </c>
      <c r="C377" s="159" t="s">
        <v>948</v>
      </c>
      <c r="D377" s="153" t="s">
        <v>246</v>
      </c>
      <c r="E377" s="154">
        <f t="shared" si="156"/>
        <v>5.49</v>
      </c>
      <c r="F377" s="154">
        <f t="shared" si="157"/>
        <v>0.53</v>
      </c>
      <c r="G377" s="154">
        <f t="shared" si="146"/>
        <v>6.0200000000000005</v>
      </c>
      <c r="H377" s="154">
        <f t="shared" si="147"/>
        <v>6.63</v>
      </c>
      <c r="I377" s="154">
        <f t="shared" si="148"/>
        <v>0</v>
      </c>
      <c r="J377" s="220">
        <f t="shared" si="158"/>
        <v>44629</v>
      </c>
    </row>
    <row r="378" spans="1:10">
      <c r="A378" s="155"/>
      <c r="B378" s="153">
        <v>373</v>
      </c>
      <c r="C378" s="159" t="s">
        <v>949</v>
      </c>
      <c r="D378" s="153" t="s">
        <v>246</v>
      </c>
      <c r="E378" s="154">
        <f t="shared" si="156"/>
        <v>4.58</v>
      </c>
      <c r="F378" s="154">
        <f t="shared" si="157"/>
        <v>0.46</v>
      </c>
      <c r="G378" s="154">
        <f t="shared" si="146"/>
        <v>5.04</v>
      </c>
      <c r="H378" s="154">
        <f t="shared" si="147"/>
        <v>5.55</v>
      </c>
      <c r="I378" s="154">
        <f t="shared" si="148"/>
        <v>0</v>
      </c>
      <c r="J378" s="220">
        <f t="shared" si="158"/>
        <v>44629</v>
      </c>
    </row>
    <row r="379" spans="1:10">
      <c r="A379" s="155"/>
      <c r="B379" s="153">
        <v>374</v>
      </c>
      <c r="C379" s="159" t="s">
        <v>950</v>
      </c>
      <c r="D379" s="153" t="s">
        <v>246</v>
      </c>
      <c r="E379" s="154">
        <f t="shared" si="156"/>
        <v>6.48</v>
      </c>
      <c r="F379" s="154">
        <f t="shared" si="157"/>
        <v>0.65</v>
      </c>
      <c r="G379" s="154">
        <f t="shared" si="146"/>
        <v>7.1300000000000008</v>
      </c>
      <c r="H379" s="154">
        <f t="shared" si="147"/>
        <v>7.85</v>
      </c>
      <c r="I379" s="154">
        <f t="shared" si="148"/>
        <v>0</v>
      </c>
      <c r="J379" s="220">
        <f t="shared" si="158"/>
        <v>44629</v>
      </c>
    </row>
    <row r="380" spans="1:10">
      <c r="A380" s="155"/>
      <c r="B380" s="153">
        <v>375</v>
      </c>
      <c r="C380" s="159" t="s">
        <v>951</v>
      </c>
      <c r="D380" s="153" t="s">
        <v>246</v>
      </c>
      <c r="E380" s="154">
        <f t="shared" si="156"/>
        <v>7.84</v>
      </c>
      <c r="F380" s="154">
        <f t="shared" si="157"/>
        <v>0.76</v>
      </c>
      <c r="G380" s="154">
        <f t="shared" si="146"/>
        <v>8.6</v>
      </c>
      <c r="H380" s="154">
        <f t="shared" si="147"/>
        <v>9.4600000000000009</v>
      </c>
      <c r="I380" s="154">
        <f t="shared" si="148"/>
        <v>0</v>
      </c>
      <c r="J380" s="220">
        <f t="shared" si="158"/>
        <v>44629</v>
      </c>
    </row>
    <row r="381" spans="1:10">
      <c r="A381" s="155"/>
      <c r="B381" s="153">
        <v>376</v>
      </c>
      <c r="C381" s="159" t="s">
        <v>952</v>
      </c>
      <c r="D381" s="153" t="s">
        <v>246</v>
      </c>
      <c r="E381" s="154">
        <f t="shared" si="156"/>
        <v>9.9600000000000009</v>
      </c>
      <c r="F381" s="154">
        <f t="shared" si="157"/>
        <v>0.96</v>
      </c>
      <c r="G381" s="154">
        <f t="shared" si="146"/>
        <v>10.920000000000002</v>
      </c>
      <c r="H381" s="154">
        <f t="shared" si="147"/>
        <v>12.02</v>
      </c>
      <c r="I381" s="154">
        <f t="shared" si="148"/>
        <v>0</v>
      </c>
      <c r="J381" s="220">
        <f t="shared" si="158"/>
        <v>44629</v>
      </c>
    </row>
    <row r="382" spans="1:10">
      <c r="A382" s="155"/>
      <c r="B382" s="153">
        <v>377</v>
      </c>
      <c r="C382" s="159" t="s">
        <v>953</v>
      </c>
      <c r="D382" s="153" t="s">
        <v>246</v>
      </c>
      <c r="E382" s="154">
        <f t="shared" si="156"/>
        <v>12.77</v>
      </c>
      <c r="F382" s="154">
        <f t="shared" si="157"/>
        <v>1.23</v>
      </c>
      <c r="G382" s="154">
        <f t="shared" si="146"/>
        <v>14</v>
      </c>
      <c r="H382" s="154">
        <f t="shared" si="147"/>
        <v>15.4</v>
      </c>
      <c r="I382" s="154">
        <f t="shared" si="148"/>
        <v>0</v>
      </c>
      <c r="J382" s="220">
        <f t="shared" si="158"/>
        <v>44629</v>
      </c>
    </row>
    <row r="383" spans="1:10">
      <c r="A383" s="155"/>
      <c r="B383" s="153">
        <v>378</v>
      </c>
      <c r="C383" s="159" t="s">
        <v>954</v>
      </c>
      <c r="D383" s="153" t="s">
        <v>246</v>
      </c>
      <c r="E383" s="154">
        <f t="shared" si="156"/>
        <v>13.66</v>
      </c>
      <c r="F383" s="154">
        <f t="shared" si="157"/>
        <v>1.32</v>
      </c>
      <c r="G383" s="154">
        <f t="shared" si="146"/>
        <v>14.98</v>
      </c>
      <c r="H383" s="154">
        <f t="shared" si="147"/>
        <v>16.48</v>
      </c>
      <c r="I383" s="154">
        <f t="shared" si="148"/>
        <v>0</v>
      </c>
      <c r="J383" s="220">
        <f t="shared" si="158"/>
        <v>44629</v>
      </c>
    </row>
    <row r="384" spans="1:10">
      <c r="A384" s="155"/>
      <c r="B384" s="153">
        <v>379</v>
      </c>
      <c r="C384" s="181" t="s">
        <v>955</v>
      </c>
      <c r="D384" s="153" t="s">
        <v>246</v>
      </c>
      <c r="E384" s="154">
        <f t="shared" si="156"/>
        <v>17.7</v>
      </c>
      <c r="F384" s="154">
        <f t="shared" si="157"/>
        <v>1.71</v>
      </c>
      <c r="G384" s="154">
        <f t="shared" si="146"/>
        <v>19.41</v>
      </c>
      <c r="H384" s="154">
        <f t="shared" si="147"/>
        <v>21.360000000000003</v>
      </c>
      <c r="I384" s="154">
        <f t="shared" si="148"/>
        <v>0</v>
      </c>
      <c r="J384" s="220">
        <f t="shared" si="158"/>
        <v>44629</v>
      </c>
    </row>
    <row r="385" spans="1:10">
      <c r="A385" s="155"/>
      <c r="B385" s="153">
        <v>380</v>
      </c>
      <c r="C385" s="215" t="s">
        <v>956</v>
      </c>
      <c r="D385" s="153" t="s">
        <v>246</v>
      </c>
      <c r="E385" s="154">
        <f t="shared" si="156"/>
        <v>11.48</v>
      </c>
      <c r="F385" s="154">
        <f t="shared" si="157"/>
        <v>1.1299999999999999</v>
      </c>
      <c r="G385" s="154">
        <f t="shared" si="146"/>
        <v>12.61</v>
      </c>
      <c r="H385" s="154">
        <f t="shared" si="147"/>
        <v>13.879999999999999</v>
      </c>
      <c r="I385" s="154">
        <f t="shared" si="148"/>
        <v>0</v>
      </c>
      <c r="J385" s="220">
        <f t="shared" si="158"/>
        <v>44629</v>
      </c>
    </row>
    <row r="386" spans="1:10">
      <c r="A386" s="155"/>
      <c r="B386" s="153">
        <v>381</v>
      </c>
      <c r="C386" s="181" t="s">
        <v>957</v>
      </c>
      <c r="D386" s="153" t="s">
        <v>246</v>
      </c>
      <c r="E386" s="154">
        <f t="shared" si="156"/>
        <v>38.47</v>
      </c>
      <c r="F386" s="154">
        <f t="shared" si="157"/>
        <v>3.85</v>
      </c>
      <c r="G386" s="154">
        <f t="shared" si="146"/>
        <v>42.32</v>
      </c>
      <c r="H386" s="154">
        <f t="shared" si="147"/>
        <v>46.559999999999995</v>
      </c>
      <c r="I386" s="154">
        <f t="shared" si="148"/>
        <v>0</v>
      </c>
      <c r="J386" s="220">
        <f t="shared" si="158"/>
        <v>44629</v>
      </c>
    </row>
    <row r="387" spans="1:10">
      <c r="A387" s="155"/>
      <c r="B387" s="153">
        <v>382</v>
      </c>
      <c r="C387" s="159" t="s">
        <v>958</v>
      </c>
      <c r="D387" s="153" t="s">
        <v>246</v>
      </c>
      <c r="E387" s="154">
        <f t="shared" ref="E387:E398" si="159">ROUND(N195*$M195,2)</f>
        <v>8.64</v>
      </c>
      <c r="F387" s="154">
        <f t="shared" ref="F387:F398" si="160">ROUND(O195*$M195,2)</f>
        <v>0.86</v>
      </c>
      <c r="G387" s="154">
        <f t="shared" si="146"/>
        <v>9.5</v>
      </c>
      <c r="H387" s="154">
        <f t="shared" si="147"/>
        <v>10.45</v>
      </c>
      <c r="I387" s="154">
        <f t="shared" si="148"/>
        <v>0</v>
      </c>
      <c r="J387" s="220">
        <f t="shared" ref="J387:J398" si="161">$Q$193</f>
        <v>44628</v>
      </c>
    </row>
    <row r="388" spans="1:10">
      <c r="A388" s="155"/>
      <c r="B388" s="153">
        <v>383</v>
      </c>
      <c r="C388" s="159" t="s">
        <v>959</v>
      </c>
      <c r="D388" s="153" t="s">
        <v>246</v>
      </c>
      <c r="E388" s="154">
        <f t="shared" si="159"/>
        <v>13.26</v>
      </c>
      <c r="F388" s="154">
        <f t="shared" si="160"/>
        <v>1.33</v>
      </c>
      <c r="G388" s="154">
        <f t="shared" si="146"/>
        <v>14.59</v>
      </c>
      <c r="H388" s="154">
        <f t="shared" si="147"/>
        <v>16.05</v>
      </c>
      <c r="I388" s="154">
        <f t="shared" si="148"/>
        <v>0</v>
      </c>
      <c r="J388" s="220">
        <f t="shared" si="161"/>
        <v>44628</v>
      </c>
    </row>
    <row r="389" spans="1:10">
      <c r="A389" s="155"/>
      <c r="B389" s="153">
        <v>384</v>
      </c>
      <c r="C389" s="159" t="s">
        <v>960</v>
      </c>
      <c r="D389" s="153" t="s">
        <v>246</v>
      </c>
      <c r="E389" s="154">
        <f t="shared" si="159"/>
        <v>21.06</v>
      </c>
      <c r="F389" s="154">
        <f t="shared" si="160"/>
        <v>2.09</v>
      </c>
      <c r="G389" s="154">
        <f t="shared" si="146"/>
        <v>23.15</v>
      </c>
      <c r="H389" s="154">
        <f t="shared" si="147"/>
        <v>25.470000000000002</v>
      </c>
      <c r="I389" s="154">
        <f t="shared" si="148"/>
        <v>0</v>
      </c>
      <c r="J389" s="220">
        <f t="shared" si="161"/>
        <v>44628</v>
      </c>
    </row>
    <row r="390" spans="1:10">
      <c r="A390" s="155"/>
      <c r="B390" s="153">
        <v>385</v>
      </c>
      <c r="C390" s="159" t="s">
        <v>961</v>
      </c>
      <c r="D390" s="153" t="s">
        <v>246</v>
      </c>
      <c r="E390" s="154">
        <f t="shared" si="159"/>
        <v>18.149999999999999</v>
      </c>
      <c r="F390" s="154">
        <f t="shared" si="160"/>
        <v>1.8</v>
      </c>
      <c r="G390" s="154">
        <f t="shared" ref="G390:G453" si="162">E390+F390</f>
        <v>19.95</v>
      </c>
      <c r="H390" s="154">
        <f t="shared" ref="H390:H453" si="163">ROUNDUP(($E390+F390)*1.1,2)</f>
        <v>21.950000000000003</v>
      </c>
      <c r="I390" s="154">
        <f t="shared" ref="I390:I453" si="164">IF($C$2="Inventory Cost",A390*G390,A390*H390)</f>
        <v>0</v>
      </c>
      <c r="J390" s="220">
        <f t="shared" si="161"/>
        <v>44628</v>
      </c>
    </row>
    <row r="391" spans="1:10">
      <c r="A391" s="155"/>
      <c r="B391" s="153">
        <v>386</v>
      </c>
      <c r="C391" s="159" t="s">
        <v>962</v>
      </c>
      <c r="D391" s="153" t="s">
        <v>246</v>
      </c>
      <c r="E391" s="154">
        <f t="shared" si="159"/>
        <v>25.49</v>
      </c>
      <c r="F391" s="154">
        <f t="shared" si="160"/>
        <v>2.5499999999999998</v>
      </c>
      <c r="G391" s="154">
        <f t="shared" si="162"/>
        <v>28.04</v>
      </c>
      <c r="H391" s="154">
        <f t="shared" si="163"/>
        <v>30.85</v>
      </c>
      <c r="I391" s="154">
        <f t="shared" si="164"/>
        <v>0</v>
      </c>
      <c r="J391" s="220">
        <f t="shared" si="161"/>
        <v>44628</v>
      </c>
    </row>
    <row r="392" spans="1:10">
      <c r="A392" s="155"/>
      <c r="B392" s="153">
        <v>387</v>
      </c>
      <c r="C392" s="159" t="s">
        <v>963</v>
      </c>
      <c r="D392" s="153" t="s">
        <v>246</v>
      </c>
      <c r="E392" s="154">
        <f t="shared" si="159"/>
        <v>31.92</v>
      </c>
      <c r="F392" s="154">
        <f t="shared" si="160"/>
        <v>3.19</v>
      </c>
      <c r="G392" s="154">
        <f t="shared" si="162"/>
        <v>35.11</v>
      </c>
      <c r="H392" s="154">
        <f t="shared" si="163"/>
        <v>38.629999999999995</v>
      </c>
      <c r="I392" s="154">
        <f t="shared" si="164"/>
        <v>0</v>
      </c>
      <c r="J392" s="220">
        <f t="shared" si="161"/>
        <v>44628</v>
      </c>
    </row>
    <row r="393" spans="1:10">
      <c r="A393" s="155"/>
      <c r="B393" s="153">
        <v>388</v>
      </c>
      <c r="C393" s="159" t="s">
        <v>964</v>
      </c>
      <c r="D393" s="153" t="s">
        <v>246</v>
      </c>
      <c r="E393" s="154">
        <f t="shared" si="159"/>
        <v>40.53</v>
      </c>
      <c r="F393" s="154">
        <f t="shared" si="160"/>
        <v>4.05</v>
      </c>
      <c r="G393" s="154">
        <f t="shared" si="162"/>
        <v>44.58</v>
      </c>
      <c r="H393" s="154">
        <f t="shared" si="163"/>
        <v>49.04</v>
      </c>
      <c r="I393" s="154">
        <f t="shared" si="164"/>
        <v>0</v>
      </c>
      <c r="J393" s="220">
        <f t="shared" si="161"/>
        <v>44628</v>
      </c>
    </row>
    <row r="394" spans="1:10">
      <c r="A394" s="155"/>
      <c r="B394" s="153">
        <v>389</v>
      </c>
      <c r="C394" s="159" t="s">
        <v>965</v>
      </c>
      <c r="D394" s="153" t="s">
        <v>246</v>
      </c>
      <c r="E394" s="154">
        <f t="shared" si="159"/>
        <v>51.54</v>
      </c>
      <c r="F394" s="154">
        <f t="shared" si="160"/>
        <v>5.1100000000000003</v>
      </c>
      <c r="G394" s="154">
        <f t="shared" si="162"/>
        <v>56.65</v>
      </c>
      <c r="H394" s="154">
        <f t="shared" si="163"/>
        <v>62.32</v>
      </c>
      <c r="I394" s="154">
        <f t="shared" si="164"/>
        <v>0</v>
      </c>
      <c r="J394" s="220">
        <f t="shared" si="161"/>
        <v>44628</v>
      </c>
    </row>
    <row r="395" spans="1:10">
      <c r="A395" s="155"/>
      <c r="B395" s="153">
        <v>390</v>
      </c>
      <c r="C395" s="159" t="s">
        <v>966</v>
      </c>
      <c r="D395" s="153" t="s">
        <v>246</v>
      </c>
      <c r="E395" s="154">
        <f t="shared" si="159"/>
        <v>55.11</v>
      </c>
      <c r="F395" s="154">
        <f t="shared" si="160"/>
        <v>5.46</v>
      </c>
      <c r="G395" s="154">
        <f t="shared" si="162"/>
        <v>60.57</v>
      </c>
      <c r="H395" s="154">
        <f t="shared" si="163"/>
        <v>66.63000000000001</v>
      </c>
      <c r="I395" s="154">
        <f t="shared" si="164"/>
        <v>0</v>
      </c>
      <c r="J395" s="220">
        <f t="shared" si="161"/>
        <v>44628</v>
      </c>
    </row>
    <row r="396" spans="1:10">
      <c r="A396" s="155"/>
      <c r="B396" s="153">
        <v>391</v>
      </c>
      <c r="C396" s="181" t="s">
        <v>967</v>
      </c>
      <c r="D396" s="153" t="s">
        <v>246</v>
      </c>
      <c r="E396" s="154">
        <f t="shared" si="159"/>
        <v>71.430000000000007</v>
      </c>
      <c r="F396" s="154">
        <f t="shared" si="160"/>
        <v>7.08</v>
      </c>
      <c r="G396" s="154">
        <f t="shared" si="162"/>
        <v>78.510000000000005</v>
      </c>
      <c r="H396" s="154">
        <f t="shared" si="163"/>
        <v>86.37</v>
      </c>
      <c r="I396" s="154">
        <f t="shared" si="164"/>
        <v>0</v>
      </c>
      <c r="J396" s="220">
        <f t="shared" si="161"/>
        <v>44628</v>
      </c>
    </row>
    <row r="397" spans="1:10">
      <c r="A397" s="155"/>
      <c r="B397" s="153">
        <v>392</v>
      </c>
      <c r="C397" s="215" t="s">
        <v>968</v>
      </c>
      <c r="D397" s="153" t="s">
        <v>246</v>
      </c>
      <c r="E397" s="154">
        <f t="shared" si="159"/>
        <v>41.18</v>
      </c>
      <c r="F397" s="154">
        <f t="shared" si="160"/>
        <v>4.08</v>
      </c>
      <c r="G397" s="154">
        <f t="shared" si="162"/>
        <v>45.26</v>
      </c>
      <c r="H397" s="154">
        <f t="shared" si="163"/>
        <v>49.79</v>
      </c>
      <c r="I397" s="154">
        <f t="shared" si="164"/>
        <v>0</v>
      </c>
      <c r="J397" s="220">
        <f t="shared" si="161"/>
        <v>44628</v>
      </c>
    </row>
    <row r="398" spans="1:10">
      <c r="A398" s="155"/>
      <c r="B398" s="153">
        <v>393</v>
      </c>
      <c r="C398" s="181" t="s">
        <v>969</v>
      </c>
      <c r="D398" s="153" t="s">
        <v>246</v>
      </c>
      <c r="E398" s="154">
        <f t="shared" si="159"/>
        <v>160.76</v>
      </c>
      <c r="F398" s="154">
        <f t="shared" si="160"/>
        <v>15.94</v>
      </c>
      <c r="G398" s="154">
        <f t="shared" si="162"/>
        <v>176.7</v>
      </c>
      <c r="H398" s="154">
        <f t="shared" si="163"/>
        <v>194.37</v>
      </c>
      <c r="I398" s="154">
        <f t="shared" si="164"/>
        <v>0</v>
      </c>
      <c r="J398" s="220">
        <f t="shared" si="161"/>
        <v>44628</v>
      </c>
    </row>
    <row r="399" spans="1:10">
      <c r="A399" s="155"/>
      <c r="B399" s="153">
        <v>394</v>
      </c>
      <c r="C399" s="153" t="s">
        <v>970</v>
      </c>
      <c r="D399" s="153" t="s">
        <v>246</v>
      </c>
      <c r="E399" s="154">
        <f t="shared" ref="E399:E408" si="165">ROUND(N211*$M211,2)</f>
        <v>2.1</v>
      </c>
      <c r="F399" s="154">
        <f t="shared" ref="F399:F408" si="166">ROUND(O211*$M211,2)</f>
        <v>0.21</v>
      </c>
      <c r="G399" s="154">
        <f t="shared" si="162"/>
        <v>2.31</v>
      </c>
      <c r="H399" s="154">
        <f t="shared" si="163"/>
        <v>2.5499999999999998</v>
      </c>
      <c r="I399" s="154">
        <f t="shared" si="164"/>
        <v>0</v>
      </c>
      <c r="J399" s="220">
        <f t="shared" ref="J399:J408" si="167">$Q$209</f>
        <v>44629</v>
      </c>
    </row>
    <row r="400" spans="1:10">
      <c r="A400" s="155"/>
      <c r="B400" s="153">
        <v>395</v>
      </c>
      <c r="C400" s="153" t="s">
        <v>971</v>
      </c>
      <c r="D400" s="153" t="s">
        <v>246</v>
      </c>
      <c r="E400" s="154">
        <f t="shared" si="165"/>
        <v>3.3</v>
      </c>
      <c r="F400" s="154">
        <f t="shared" si="166"/>
        <v>0.33</v>
      </c>
      <c r="G400" s="154">
        <f t="shared" si="162"/>
        <v>3.63</v>
      </c>
      <c r="H400" s="154">
        <f t="shared" si="163"/>
        <v>4</v>
      </c>
      <c r="I400" s="154">
        <f t="shared" si="164"/>
        <v>0</v>
      </c>
      <c r="J400" s="220">
        <f t="shared" si="167"/>
        <v>44629</v>
      </c>
    </row>
    <row r="401" spans="1:10">
      <c r="A401" s="155"/>
      <c r="B401" s="153">
        <v>396</v>
      </c>
      <c r="C401" s="153" t="s">
        <v>972</v>
      </c>
      <c r="D401" s="153" t="s">
        <v>246</v>
      </c>
      <c r="E401" s="154">
        <f t="shared" si="165"/>
        <v>4.72</v>
      </c>
      <c r="F401" s="154">
        <f t="shared" si="166"/>
        <v>0.47</v>
      </c>
      <c r="G401" s="154">
        <f t="shared" si="162"/>
        <v>5.1899999999999995</v>
      </c>
      <c r="H401" s="154">
        <f t="shared" si="163"/>
        <v>5.71</v>
      </c>
      <c r="I401" s="154">
        <f t="shared" si="164"/>
        <v>0</v>
      </c>
      <c r="J401" s="220">
        <f t="shared" si="167"/>
        <v>44629</v>
      </c>
    </row>
    <row r="402" spans="1:10">
      <c r="A402" s="155"/>
      <c r="B402" s="153">
        <v>397</v>
      </c>
      <c r="C402" s="153" t="s">
        <v>973</v>
      </c>
      <c r="D402" s="153" t="s">
        <v>246</v>
      </c>
      <c r="E402" s="154">
        <f t="shared" si="165"/>
        <v>4.5</v>
      </c>
      <c r="F402" s="154">
        <f t="shared" si="166"/>
        <v>0.45</v>
      </c>
      <c r="G402" s="154">
        <f t="shared" si="162"/>
        <v>4.95</v>
      </c>
      <c r="H402" s="154">
        <f t="shared" si="163"/>
        <v>5.45</v>
      </c>
      <c r="I402" s="154">
        <f t="shared" si="164"/>
        <v>0</v>
      </c>
      <c r="J402" s="220">
        <f t="shared" si="167"/>
        <v>44629</v>
      </c>
    </row>
    <row r="403" spans="1:10">
      <c r="A403" s="155"/>
      <c r="B403" s="153">
        <v>398</v>
      </c>
      <c r="C403" s="153" t="s">
        <v>974</v>
      </c>
      <c r="D403" s="153" t="s">
        <v>246</v>
      </c>
      <c r="E403" s="154">
        <f t="shared" si="165"/>
        <v>6.56</v>
      </c>
      <c r="F403" s="154">
        <f t="shared" si="166"/>
        <v>0.66</v>
      </c>
      <c r="G403" s="154">
        <f t="shared" si="162"/>
        <v>7.22</v>
      </c>
      <c r="H403" s="154">
        <f t="shared" si="163"/>
        <v>7.95</v>
      </c>
      <c r="I403" s="154">
        <f t="shared" si="164"/>
        <v>0</v>
      </c>
      <c r="J403" s="220">
        <f t="shared" si="167"/>
        <v>44629</v>
      </c>
    </row>
    <row r="404" spans="1:10">
      <c r="A404" s="155"/>
      <c r="B404" s="153">
        <v>399</v>
      </c>
      <c r="C404" s="153" t="s">
        <v>975</v>
      </c>
      <c r="D404" s="153" t="s">
        <v>246</v>
      </c>
      <c r="E404" s="154">
        <f t="shared" si="165"/>
        <v>8.4</v>
      </c>
      <c r="F404" s="154">
        <f t="shared" si="166"/>
        <v>0.84</v>
      </c>
      <c r="G404" s="154">
        <f t="shared" si="162"/>
        <v>9.24</v>
      </c>
      <c r="H404" s="154">
        <f t="shared" si="163"/>
        <v>10.17</v>
      </c>
      <c r="I404" s="154">
        <f t="shared" si="164"/>
        <v>0</v>
      </c>
      <c r="J404" s="220">
        <f t="shared" si="167"/>
        <v>44629</v>
      </c>
    </row>
    <row r="405" spans="1:10">
      <c r="A405" s="155"/>
      <c r="B405" s="153">
        <v>400</v>
      </c>
      <c r="C405" s="153" t="s">
        <v>976</v>
      </c>
      <c r="D405" s="153" t="s">
        <v>246</v>
      </c>
      <c r="E405" s="154">
        <f t="shared" si="165"/>
        <v>10.119999999999999</v>
      </c>
      <c r="F405" s="154">
        <f t="shared" si="166"/>
        <v>1.01</v>
      </c>
      <c r="G405" s="154">
        <f t="shared" si="162"/>
        <v>11.129999999999999</v>
      </c>
      <c r="H405" s="154">
        <f t="shared" si="163"/>
        <v>12.25</v>
      </c>
      <c r="I405" s="154">
        <f t="shared" si="164"/>
        <v>0</v>
      </c>
      <c r="J405" s="220">
        <f t="shared" si="167"/>
        <v>44629</v>
      </c>
    </row>
    <row r="406" spans="1:10">
      <c r="A406" s="155"/>
      <c r="B406" s="153">
        <v>401</v>
      </c>
      <c r="C406" s="153" t="s">
        <v>977</v>
      </c>
      <c r="D406" s="153" t="s">
        <v>246</v>
      </c>
      <c r="E406" s="154">
        <f t="shared" si="165"/>
        <v>13.2</v>
      </c>
      <c r="F406" s="154">
        <f t="shared" si="166"/>
        <v>1.32</v>
      </c>
      <c r="G406" s="154">
        <f t="shared" si="162"/>
        <v>14.52</v>
      </c>
      <c r="H406" s="154">
        <f t="shared" si="163"/>
        <v>15.98</v>
      </c>
      <c r="I406" s="154">
        <f t="shared" si="164"/>
        <v>0</v>
      </c>
      <c r="J406" s="220">
        <f t="shared" si="167"/>
        <v>44629</v>
      </c>
    </row>
    <row r="407" spans="1:10">
      <c r="A407" s="155"/>
      <c r="B407" s="153">
        <v>402</v>
      </c>
      <c r="C407" s="153" t="s">
        <v>978</v>
      </c>
      <c r="D407" s="153" t="s">
        <v>246</v>
      </c>
      <c r="E407" s="154">
        <f t="shared" si="165"/>
        <v>18</v>
      </c>
      <c r="F407" s="154">
        <f t="shared" si="166"/>
        <v>1.8</v>
      </c>
      <c r="G407" s="154">
        <f t="shared" si="162"/>
        <v>19.8</v>
      </c>
      <c r="H407" s="154">
        <f t="shared" si="163"/>
        <v>21.78</v>
      </c>
      <c r="I407" s="154">
        <f t="shared" si="164"/>
        <v>0</v>
      </c>
      <c r="J407" s="220">
        <f t="shared" si="167"/>
        <v>44629</v>
      </c>
    </row>
    <row r="408" spans="1:10">
      <c r="A408" s="155"/>
      <c r="B408" s="153">
        <v>403</v>
      </c>
      <c r="C408" s="153" t="s">
        <v>979</v>
      </c>
      <c r="D408" s="153" t="s">
        <v>246</v>
      </c>
      <c r="E408" s="154">
        <f t="shared" si="165"/>
        <v>20.98</v>
      </c>
      <c r="F408" s="154">
        <f t="shared" si="166"/>
        <v>2.1</v>
      </c>
      <c r="G408" s="154">
        <f t="shared" si="162"/>
        <v>23.080000000000002</v>
      </c>
      <c r="H408" s="154">
        <f t="shared" si="163"/>
        <v>25.39</v>
      </c>
      <c r="I408" s="154">
        <f t="shared" si="164"/>
        <v>0</v>
      </c>
      <c r="J408" s="220">
        <f t="shared" si="167"/>
        <v>44629</v>
      </c>
    </row>
    <row r="409" spans="1:10">
      <c r="A409" s="155"/>
      <c r="B409" s="153">
        <v>404</v>
      </c>
      <c r="C409" s="153" t="s">
        <v>205</v>
      </c>
      <c r="D409" s="153"/>
      <c r="E409" s="154"/>
      <c r="F409" s="154">
        <f t="shared" ref="F409:F440" si="168">ROUNDUP(E409*0.15,2)</f>
        <v>0</v>
      </c>
      <c r="G409" s="154">
        <f t="shared" si="162"/>
        <v>0</v>
      </c>
      <c r="H409" s="154">
        <f t="shared" si="163"/>
        <v>0</v>
      </c>
      <c r="I409" s="154">
        <f t="shared" si="164"/>
        <v>0</v>
      </c>
      <c r="J409" s="220"/>
    </row>
    <row r="410" spans="1:10">
      <c r="A410" s="155"/>
      <c r="B410" s="153">
        <v>405</v>
      </c>
      <c r="C410" s="153" t="s">
        <v>205</v>
      </c>
      <c r="D410" s="153"/>
      <c r="E410" s="154"/>
      <c r="F410" s="154">
        <f t="shared" si="168"/>
        <v>0</v>
      </c>
      <c r="G410" s="154">
        <f t="shared" si="162"/>
        <v>0</v>
      </c>
      <c r="H410" s="154">
        <f t="shared" si="163"/>
        <v>0</v>
      </c>
      <c r="I410" s="154">
        <f t="shared" si="164"/>
        <v>0</v>
      </c>
      <c r="J410" s="220"/>
    </row>
    <row r="411" spans="1:10">
      <c r="A411" s="155"/>
      <c r="B411" s="153">
        <v>406</v>
      </c>
      <c r="C411" s="153" t="s">
        <v>205</v>
      </c>
      <c r="D411" s="153"/>
      <c r="E411" s="154"/>
      <c r="F411" s="154">
        <f t="shared" si="168"/>
        <v>0</v>
      </c>
      <c r="G411" s="154">
        <f t="shared" si="162"/>
        <v>0</v>
      </c>
      <c r="H411" s="154">
        <f t="shared" si="163"/>
        <v>0</v>
      </c>
      <c r="I411" s="154">
        <f t="shared" si="164"/>
        <v>0</v>
      </c>
      <c r="J411" s="220"/>
    </row>
    <row r="412" spans="1:10">
      <c r="A412" s="155"/>
      <c r="B412" s="153">
        <v>407</v>
      </c>
      <c r="C412" s="153" t="s">
        <v>205</v>
      </c>
      <c r="D412" s="153"/>
      <c r="E412" s="154"/>
      <c r="F412" s="154">
        <f t="shared" si="168"/>
        <v>0</v>
      </c>
      <c r="G412" s="154">
        <f t="shared" si="162"/>
        <v>0</v>
      </c>
      <c r="H412" s="154">
        <f t="shared" si="163"/>
        <v>0</v>
      </c>
      <c r="I412" s="154">
        <f t="shared" si="164"/>
        <v>0</v>
      </c>
      <c r="J412" s="220"/>
    </row>
    <row r="413" spans="1:10">
      <c r="A413" s="155"/>
      <c r="B413" s="153">
        <v>408</v>
      </c>
      <c r="C413" s="153" t="s">
        <v>205</v>
      </c>
      <c r="D413" s="153"/>
      <c r="E413" s="154"/>
      <c r="F413" s="154">
        <f t="shared" si="168"/>
        <v>0</v>
      </c>
      <c r="G413" s="154">
        <f t="shared" si="162"/>
        <v>0</v>
      </c>
      <c r="H413" s="154">
        <f t="shared" si="163"/>
        <v>0</v>
      </c>
      <c r="I413" s="154">
        <f t="shared" si="164"/>
        <v>0</v>
      </c>
      <c r="J413" s="220"/>
    </row>
    <row r="414" spans="1:10">
      <c r="A414" s="155"/>
      <c r="B414" s="153">
        <v>409</v>
      </c>
      <c r="C414" s="153" t="s">
        <v>205</v>
      </c>
      <c r="D414" s="153"/>
      <c r="E414" s="154"/>
      <c r="F414" s="154">
        <f t="shared" si="168"/>
        <v>0</v>
      </c>
      <c r="G414" s="154">
        <f t="shared" si="162"/>
        <v>0</v>
      </c>
      <c r="H414" s="154">
        <f t="shared" si="163"/>
        <v>0</v>
      </c>
      <c r="I414" s="154">
        <f t="shared" si="164"/>
        <v>0</v>
      </c>
      <c r="J414" s="220"/>
    </row>
    <row r="415" spans="1:10">
      <c r="A415" s="155"/>
      <c r="B415" s="153">
        <v>410</v>
      </c>
      <c r="C415" s="153" t="s">
        <v>205</v>
      </c>
      <c r="D415" s="153"/>
      <c r="E415" s="154"/>
      <c r="F415" s="154">
        <f t="shared" si="168"/>
        <v>0</v>
      </c>
      <c r="G415" s="154">
        <f t="shared" si="162"/>
        <v>0</v>
      </c>
      <c r="H415" s="154">
        <f t="shared" si="163"/>
        <v>0</v>
      </c>
      <c r="I415" s="154">
        <f t="shared" si="164"/>
        <v>0</v>
      </c>
      <c r="J415" s="220"/>
    </row>
    <row r="416" spans="1:10">
      <c r="A416" s="155"/>
      <c r="B416" s="153">
        <v>411</v>
      </c>
      <c r="C416" s="153" t="s">
        <v>205</v>
      </c>
      <c r="D416" s="153"/>
      <c r="E416" s="154"/>
      <c r="F416" s="154">
        <f t="shared" si="168"/>
        <v>0</v>
      </c>
      <c r="G416" s="154">
        <f t="shared" si="162"/>
        <v>0</v>
      </c>
      <c r="H416" s="154">
        <f t="shared" si="163"/>
        <v>0</v>
      </c>
      <c r="I416" s="154">
        <f t="shared" si="164"/>
        <v>0</v>
      </c>
      <c r="J416" s="220"/>
    </row>
    <row r="417" spans="1:10">
      <c r="A417" s="155"/>
      <c r="B417" s="153">
        <v>412</v>
      </c>
      <c r="C417" s="153" t="s">
        <v>205</v>
      </c>
      <c r="D417" s="153"/>
      <c r="E417" s="154"/>
      <c r="F417" s="154">
        <f t="shared" si="168"/>
        <v>0</v>
      </c>
      <c r="G417" s="154">
        <f t="shared" si="162"/>
        <v>0</v>
      </c>
      <c r="H417" s="154">
        <f t="shared" si="163"/>
        <v>0</v>
      </c>
      <c r="I417" s="154">
        <f t="shared" si="164"/>
        <v>0</v>
      </c>
      <c r="J417" s="220"/>
    </row>
    <row r="418" spans="1:10">
      <c r="A418" s="155"/>
      <c r="B418" s="153">
        <v>413</v>
      </c>
      <c r="C418" s="153" t="s">
        <v>205</v>
      </c>
      <c r="D418" s="153"/>
      <c r="E418" s="154"/>
      <c r="F418" s="154">
        <f t="shared" si="168"/>
        <v>0</v>
      </c>
      <c r="G418" s="154">
        <f t="shared" si="162"/>
        <v>0</v>
      </c>
      <c r="H418" s="154">
        <f t="shared" si="163"/>
        <v>0</v>
      </c>
      <c r="I418" s="154">
        <f t="shared" si="164"/>
        <v>0</v>
      </c>
      <c r="J418" s="220"/>
    </row>
    <row r="419" spans="1:10">
      <c r="A419" s="155"/>
      <c r="B419" s="153">
        <v>414</v>
      </c>
      <c r="C419" s="153" t="s">
        <v>821</v>
      </c>
      <c r="D419" s="153" t="s">
        <v>246</v>
      </c>
      <c r="E419" s="154">
        <v>3.24</v>
      </c>
      <c r="F419" s="154">
        <f t="shared" si="168"/>
        <v>0.49</v>
      </c>
      <c r="G419" s="154">
        <f t="shared" si="162"/>
        <v>3.7300000000000004</v>
      </c>
      <c r="H419" s="154">
        <f t="shared" si="163"/>
        <v>4.1099999999999994</v>
      </c>
      <c r="I419" s="154">
        <f t="shared" si="164"/>
        <v>0</v>
      </c>
      <c r="J419" s="220">
        <v>46066</v>
      </c>
    </row>
    <row r="420" spans="1:10">
      <c r="A420" s="155"/>
      <c r="B420" s="153">
        <v>415</v>
      </c>
      <c r="C420" s="153" t="s">
        <v>445</v>
      </c>
      <c r="D420" s="153" t="s">
        <v>246</v>
      </c>
      <c r="E420" s="154">
        <v>3.63</v>
      </c>
      <c r="F420" s="154">
        <f t="shared" si="168"/>
        <v>0.55000000000000004</v>
      </c>
      <c r="G420" s="154">
        <f t="shared" si="162"/>
        <v>4.18</v>
      </c>
      <c r="H420" s="154">
        <f t="shared" si="163"/>
        <v>4.5999999999999996</v>
      </c>
      <c r="I420" s="154">
        <f t="shared" si="164"/>
        <v>0</v>
      </c>
      <c r="J420" s="220">
        <v>44949</v>
      </c>
    </row>
    <row r="421" spans="1:10">
      <c r="A421" s="155"/>
      <c r="B421" s="153">
        <v>416</v>
      </c>
      <c r="C421" s="153" t="s">
        <v>446</v>
      </c>
      <c r="D421" s="153" t="s">
        <v>246</v>
      </c>
      <c r="E421" s="154">
        <v>3.93</v>
      </c>
      <c r="F421" s="154">
        <f t="shared" si="168"/>
        <v>0.59</v>
      </c>
      <c r="G421" s="154">
        <f t="shared" si="162"/>
        <v>4.5200000000000005</v>
      </c>
      <c r="H421" s="154">
        <f t="shared" si="163"/>
        <v>4.9799999999999995</v>
      </c>
      <c r="I421" s="154">
        <f t="shared" si="164"/>
        <v>0</v>
      </c>
      <c r="J421" s="220">
        <v>46066</v>
      </c>
    </row>
    <row r="422" spans="1:10">
      <c r="A422" s="155"/>
      <c r="B422" s="153">
        <v>417</v>
      </c>
      <c r="C422" s="153" t="s">
        <v>447</v>
      </c>
      <c r="D422" s="153" t="s">
        <v>246</v>
      </c>
      <c r="E422" s="154">
        <v>4.4000000000000004</v>
      </c>
      <c r="F422" s="154">
        <f t="shared" si="168"/>
        <v>0.66</v>
      </c>
      <c r="G422" s="154">
        <f t="shared" si="162"/>
        <v>5.0600000000000005</v>
      </c>
      <c r="H422" s="154">
        <f t="shared" si="163"/>
        <v>5.5699999999999994</v>
      </c>
      <c r="I422" s="154">
        <f t="shared" si="164"/>
        <v>0</v>
      </c>
      <c r="J422" s="220">
        <v>46066</v>
      </c>
    </row>
    <row r="423" spans="1:10">
      <c r="A423" s="155"/>
      <c r="B423" s="153">
        <v>418</v>
      </c>
      <c r="C423" s="153" t="s">
        <v>448</v>
      </c>
      <c r="D423" s="153" t="s">
        <v>246</v>
      </c>
      <c r="E423" s="154">
        <v>4.75</v>
      </c>
      <c r="F423" s="154">
        <f t="shared" si="168"/>
        <v>0.72</v>
      </c>
      <c r="G423" s="154">
        <f t="shared" si="162"/>
        <v>5.47</v>
      </c>
      <c r="H423" s="154">
        <f t="shared" si="163"/>
        <v>6.02</v>
      </c>
      <c r="I423" s="154">
        <f t="shared" si="164"/>
        <v>0</v>
      </c>
      <c r="J423" s="220">
        <v>46066</v>
      </c>
    </row>
    <row r="424" spans="1:10">
      <c r="A424" s="155"/>
      <c r="B424" s="153">
        <v>419</v>
      </c>
      <c r="C424" s="153" t="s">
        <v>449</v>
      </c>
      <c r="D424" s="153" t="s">
        <v>246</v>
      </c>
      <c r="E424" s="154">
        <v>5.34</v>
      </c>
      <c r="F424" s="154">
        <f t="shared" si="168"/>
        <v>0.81</v>
      </c>
      <c r="G424" s="154">
        <f t="shared" si="162"/>
        <v>6.15</v>
      </c>
      <c r="H424" s="154">
        <f t="shared" si="163"/>
        <v>6.77</v>
      </c>
      <c r="I424" s="154">
        <f t="shared" si="164"/>
        <v>0</v>
      </c>
      <c r="J424" s="220">
        <v>46066</v>
      </c>
    </row>
    <row r="425" spans="1:10">
      <c r="A425" s="155"/>
      <c r="B425" s="153">
        <v>420</v>
      </c>
      <c r="C425" s="153" t="s">
        <v>450</v>
      </c>
      <c r="D425" s="153" t="s">
        <v>246</v>
      </c>
      <c r="E425" s="154">
        <v>5.59</v>
      </c>
      <c r="F425" s="154">
        <f t="shared" si="168"/>
        <v>0.84</v>
      </c>
      <c r="G425" s="154">
        <f t="shared" si="162"/>
        <v>6.43</v>
      </c>
      <c r="H425" s="154">
        <f t="shared" si="163"/>
        <v>7.08</v>
      </c>
      <c r="I425" s="154">
        <f t="shared" si="164"/>
        <v>0</v>
      </c>
      <c r="J425" s="220">
        <v>46066</v>
      </c>
    </row>
    <row r="426" spans="1:10">
      <c r="A426" s="155"/>
      <c r="B426" s="153">
        <v>421</v>
      </c>
      <c r="C426" s="153" t="s">
        <v>451</v>
      </c>
      <c r="D426" s="153" t="s">
        <v>246</v>
      </c>
      <c r="E426" s="154">
        <v>6.53</v>
      </c>
      <c r="F426" s="154">
        <f t="shared" si="168"/>
        <v>0.98</v>
      </c>
      <c r="G426" s="154">
        <f t="shared" si="162"/>
        <v>7.51</v>
      </c>
      <c r="H426" s="154">
        <f t="shared" si="163"/>
        <v>8.27</v>
      </c>
      <c r="I426" s="154">
        <f t="shared" si="164"/>
        <v>0</v>
      </c>
      <c r="J426" s="220">
        <v>46066</v>
      </c>
    </row>
    <row r="427" spans="1:10">
      <c r="A427" s="155"/>
      <c r="B427" s="153">
        <v>422</v>
      </c>
      <c r="C427" s="153" t="s">
        <v>452</v>
      </c>
      <c r="D427" s="153" t="s">
        <v>246</v>
      </c>
      <c r="E427" s="154">
        <v>7.68</v>
      </c>
      <c r="F427" s="154">
        <f t="shared" si="168"/>
        <v>1.1599999999999999</v>
      </c>
      <c r="G427" s="154">
        <f t="shared" si="162"/>
        <v>8.84</v>
      </c>
      <c r="H427" s="154">
        <f t="shared" si="163"/>
        <v>9.73</v>
      </c>
      <c r="I427" s="154">
        <f t="shared" si="164"/>
        <v>0</v>
      </c>
      <c r="J427" s="220">
        <v>46066</v>
      </c>
    </row>
    <row r="428" spans="1:10">
      <c r="A428" s="155"/>
      <c r="B428" s="153">
        <v>423</v>
      </c>
      <c r="C428" s="153" t="s">
        <v>453</v>
      </c>
      <c r="D428" s="153" t="s">
        <v>246</v>
      </c>
      <c r="E428" s="154">
        <v>8.94</v>
      </c>
      <c r="F428" s="154">
        <f t="shared" si="168"/>
        <v>1.35</v>
      </c>
      <c r="G428" s="154">
        <f t="shared" si="162"/>
        <v>10.29</v>
      </c>
      <c r="H428" s="154">
        <f t="shared" si="163"/>
        <v>11.32</v>
      </c>
      <c r="I428" s="154">
        <f t="shared" si="164"/>
        <v>0</v>
      </c>
      <c r="J428" s="220">
        <v>46066</v>
      </c>
    </row>
    <row r="429" spans="1:10">
      <c r="A429" s="155"/>
      <c r="B429" s="153">
        <v>424</v>
      </c>
      <c r="C429" s="153" t="s">
        <v>454</v>
      </c>
      <c r="D429" s="153" t="s">
        <v>246</v>
      </c>
      <c r="E429" s="154">
        <v>10.59</v>
      </c>
      <c r="F429" s="154">
        <f t="shared" si="168"/>
        <v>1.59</v>
      </c>
      <c r="G429" s="154">
        <f t="shared" si="162"/>
        <v>12.18</v>
      </c>
      <c r="H429" s="154">
        <f t="shared" si="163"/>
        <v>13.4</v>
      </c>
      <c r="I429" s="154">
        <f t="shared" si="164"/>
        <v>0</v>
      </c>
      <c r="J429" s="220">
        <v>46066</v>
      </c>
    </row>
    <row r="430" spans="1:10">
      <c r="A430" s="155"/>
      <c r="B430" s="153">
        <v>425</v>
      </c>
      <c r="C430" s="153" t="s">
        <v>822</v>
      </c>
      <c r="D430" s="153" t="s">
        <v>246</v>
      </c>
      <c r="E430" s="154">
        <v>4.2300000000000004</v>
      </c>
      <c r="F430" s="154">
        <f t="shared" si="168"/>
        <v>0.64</v>
      </c>
      <c r="G430" s="154">
        <f t="shared" si="162"/>
        <v>4.87</v>
      </c>
      <c r="H430" s="154">
        <f t="shared" si="163"/>
        <v>5.3599999999999994</v>
      </c>
      <c r="I430" s="154">
        <f t="shared" si="164"/>
        <v>0</v>
      </c>
      <c r="J430" s="220">
        <v>44949</v>
      </c>
    </row>
    <row r="431" spans="1:10">
      <c r="A431" s="155"/>
      <c r="B431" s="153">
        <v>426</v>
      </c>
      <c r="C431" s="153" t="s">
        <v>823</v>
      </c>
      <c r="D431" s="153" t="s">
        <v>246</v>
      </c>
      <c r="E431" s="154">
        <v>3.85</v>
      </c>
      <c r="F431" s="154">
        <f t="shared" si="168"/>
        <v>0.57999999999999996</v>
      </c>
      <c r="G431" s="154">
        <f t="shared" si="162"/>
        <v>4.43</v>
      </c>
      <c r="H431" s="154">
        <f t="shared" si="163"/>
        <v>4.88</v>
      </c>
      <c r="I431" s="154">
        <f t="shared" si="164"/>
        <v>0</v>
      </c>
      <c r="J431" s="220">
        <v>44949</v>
      </c>
    </row>
    <row r="432" spans="1:10">
      <c r="A432" s="155"/>
      <c r="B432" s="153">
        <v>427</v>
      </c>
      <c r="C432" s="153" t="s">
        <v>824</v>
      </c>
      <c r="D432" s="153" t="s">
        <v>246</v>
      </c>
      <c r="E432" s="154">
        <v>4.16</v>
      </c>
      <c r="F432" s="154">
        <f t="shared" si="168"/>
        <v>0.63</v>
      </c>
      <c r="G432" s="154">
        <f t="shared" si="162"/>
        <v>4.79</v>
      </c>
      <c r="H432" s="154">
        <f t="shared" si="163"/>
        <v>5.27</v>
      </c>
      <c r="I432" s="154">
        <f t="shared" si="164"/>
        <v>0</v>
      </c>
      <c r="J432" s="220">
        <v>46066</v>
      </c>
    </row>
    <row r="433" spans="1:10">
      <c r="A433" s="155"/>
      <c r="B433" s="153">
        <v>428</v>
      </c>
      <c r="C433" s="153" t="s">
        <v>825</v>
      </c>
      <c r="D433" s="153" t="s">
        <v>246</v>
      </c>
      <c r="E433" s="154">
        <v>5.51</v>
      </c>
      <c r="F433" s="154">
        <f t="shared" si="168"/>
        <v>0.83</v>
      </c>
      <c r="G433" s="154">
        <f t="shared" si="162"/>
        <v>6.34</v>
      </c>
      <c r="H433" s="154">
        <f t="shared" si="163"/>
        <v>6.9799999999999995</v>
      </c>
      <c r="I433" s="154">
        <f t="shared" si="164"/>
        <v>0</v>
      </c>
      <c r="J433" s="220">
        <v>44949</v>
      </c>
    </row>
    <row r="434" spans="1:10">
      <c r="A434" s="155"/>
      <c r="B434" s="153">
        <v>429</v>
      </c>
      <c r="C434" s="153" t="s">
        <v>826</v>
      </c>
      <c r="D434" s="153" t="s">
        <v>246</v>
      </c>
      <c r="E434" s="154">
        <v>5.04</v>
      </c>
      <c r="F434" s="154">
        <f t="shared" si="168"/>
        <v>0.76</v>
      </c>
      <c r="G434" s="154">
        <f t="shared" si="162"/>
        <v>5.8</v>
      </c>
      <c r="H434" s="154">
        <f t="shared" si="163"/>
        <v>6.38</v>
      </c>
      <c r="I434" s="154">
        <f t="shared" si="164"/>
        <v>0</v>
      </c>
      <c r="J434" s="220">
        <v>46066</v>
      </c>
    </row>
    <row r="435" spans="1:10">
      <c r="A435" s="155"/>
      <c r="B435" s="153">
        <v>430</v>
      </c>
      <c r="C435" s="153" t="s">
        <v>827</v>
      </c>
      <c r="D435" s="153" t="s">
        <v>246</v>
      </c>
      <c r="E435" s="154">
        <v>5.88</v>
      </c>
      <c r="F435" s="154">
        <f t="shared" si="168"/>
        <v>0.89</v>
      </c>
      <c r="G435" s="154">
        <f t="shared" si="162"/>
        <v>6.77</v>
      </c>
      <c r="H435" s="154">
        <f t="shared" si="163"/>
        <v>7.45</v>
      </c>
      <c r="I435" s="154">
        <f t="shared" si="164"/>
        <v>0</v>
      </c>
      <c r="J435" s="220">
        <v>46066</v>
      </c>
    </row>
    <row r="436" spans="1:10">
      <c r="A436" s="155"/>
      <c r="B436" s="153">
        <v>431</v>
      </c>
      <c r="C436" s="153" t="s">
        <v>828</v>
      </c>
      <c r="D436" s="153" t="s">
        <v>246</v>
      </c>
      <c r="E436" s="154">
        <v>6.96</v>
      </c>
      <c r="F436" s="154">
        <f t="shared" si="168"/>
        <v>1.05</v>
      </c>
      <c r="G436" s="154">
        <f t="shared" si="162"/>
        <v>8.01</v>
      </c>
      <c r="H436" s="154">
        <f t="shared" si="163"/>
        <v>8.82</v>
      </c>
      <c r="I436" s="154">
        <f t="shared" si="164"/>
        <v>0</v>
      </c>
      <c r="J436" s="220">
        <v>46066</v>
      </c>
    </row>
    <row r="437" spans="1:10">
      <c r="A437" s="155"/>
      <c r="B437" s="153">
        <v>432</v>
      </c>
      <c r="C437" s="153" t="s">
        <v>829</v>
      </c>
      <c r="D437" s="153" t="s">
        <v>246</v>
      </c>
      <c r="E437" s="154">
        <v>8.4</v>
      </c>
      <c r="F437" s="154">
        <f t="shared" si="168"/>
        <v>1.26</v>
      </c>
      <c r="G437" s="154">
        <f t="shared" si="162"/>
        <v>9.66</v>
      </c>
      <c r="H437" s="154">
        <f t="shared" si="163"/>
        <v>10.629999999999999</v>
      </c>
      <c r="I437" s="154">
        <f t="shared" si="164"/>
        <v>0</v>
      </c>
      <c r="J437" s="220">
        <v>46066</v>
      </c>
    </row>
    <row r="438" spans="1:10">
      <c r="A438" s="155"/>
      <c r="B438" s="153">
        <v>433</v>
      </c>
      <c r="C438" s="153" t="s">
        <v>830</v>
      </c>
      <c r="D438" s="153" t="s">
        <v>246</v>
      </c>
      <c r="E438" s="154">
        <v>10.02</v>
      </c>
      <c r="F438" s="154">
        <f t="shared" si="168"/>
        <v>1.51</v>
      </c>
      <c r="G438" s="154">
        <f t="shared" si="162"/>
        <v>11.53</v>
      </c>
      <c r="H438" s="154">
        <f t="shared" si="163"/>
        <v>12.69</v>
      </c>
      <c r="I438" s="154">
        <f t="shared" si="164"/>
        <v>0</v>
      </c>
      <c r="J438" s="220">
        <v>46066</v>
      </c>
    </row>
    <row r="439" spans="1:10">
      <c r="A439" s="155"/>
      <c r="B439" s="153">
        <v>434</v>
      </c>
      <c r="C439" s="153" t="s">
        <v>1009</v>
      </c>
      <c r="D439" s="153" t="s">
        <v>246</v>
      </c>
      <c r="E439" s="154">
        <v>12.36</v>
      </c>
      <c r="F439" s="154">
        <f t="shared" si="168"/>
        <v>1.86</v>
      </c>
      <c r="G439" s="154">
        <f t="shared" si="162"/>
        <v>14.219999999999999</v>
      </c>
      <c r="H439" s="154">
        <f t="shared" si="163"/>
        <v>15.65</v>
      </c>
      <c r="I439" s="154">
        <f t="shared" si="164"/>
        <v>0</v>
      </c>
      <c r="J439" s="220">
        <v>46066</v>
      </c>
    </row>
    <row r="440" spans="1:10">
      <c r="A440" s="155"/>
      <c r="B440" s="153">
        <v>435</v>
      </c>
      <c r="C440" s="153" t="s">
        <v>205</v>
      </c>
      <c r="D440" s="153"/>
      <c r="E440" s="154"/>
      <c r="F440" s="154">
        <f t="shared" si="168"/>
        <v>0</v>
      </c>
      <c r="G440" s="154">
        <f t="shared" si="162"/>
        <v>0</v>
      </c>
      <c r="H440" s="154">
        <f t="shared" si="163"/>
        <v>0</v>
      </c>
      <c r="I440" s="154">
        <f t="shared" si="164"/>
        <v>0</v>
      </c>
      <c r="J440" s="220"/>
    </row>
    <row r="441" spans="1:10">
      <c r="A441" s="155"/>
      <c r="B441" s="153">
        <v>436</v>
      </c>
      <c r="C441" s="153" t="s">
        <v>205</v>
      </c>
      <c r="D441" s="153"/>
      <c r="E441" s="154"/>
      <c r="F441" s="154">
        <f t="shared" ref="F441:F472" si="169">ROUNDUP(E441*0.15,2)</f>
        <v>0</v>
      </c>
      <c r="G441" s="154">
        <f t="shared" si="162"/>
        <v>0</v>
      </c>
      <c r="H441" s="154">
        <f t="shared" si="163"/>
        <v>0</v>
      </c>
      <c r="I441" s="154">
        <f t="shared" si="164"/>
        <v>0</v>
      </c>
      <c r="J441" s="220"/>
    </row>
    <row r="442" spans="1:10">
      <c r="A442" s="155"/>
      <c r="B442" s="153">
        <v>437</v>
      </c>
      <c r="C442" s="153" t="s">
        <v>205</v>
      </c>
      <c r="D442" s="153"/>
      <c r="E442" s="154"/>
      <c r="F442" s="154">
        <f t="shared" si="169"/>
        <v>0</v>
      </c>
      <c r="G442" s="154">
        <f t="shared" si="162"/>
        <v>0</v>
      </c>
      <c r="H442" s="154">
        <f t="shared" si="163"/>
        <v>0</v>
      </c>
      <c r="I442" s="154">
        <f t="shared" si="164"/>
        <v>0</v>
      </c>
      <c r="J442" s="220"/>
    </row>
    <row r="443" spans="1:10">
      <c r="A443" s="155"/>
      <c r="B443" s="153">
        <v>438</v>
      </c>
      <c r="C443" s="153" t="s">
        <v>205</v>
      </c>
      <c r="D443" s="153"/>
      <c r="E443" s="154"/>
      <c r="F443" s="154">
        <f t="shared" si="169"/>
        <v>0</v>
      </c>
      <c r="G443" s="154">
        <f t="shared" si="162"/>
        <v>0</v>
      </c>
      <c r="H443" s="154">
        <f t="shared" si="163"/>
        <v>0</v>
      </c>
      <c r="I443" s="154">
        <f t="shared" si="164"/>
        <v>0</v>
      </c>
      <c r="J443" s="220"/>
    </row>
    <row r="444" spans="1:10">
      <c r="A444" s="155"/>
      <c r="B444" s="153">
        <v>439</v>
      </c>
      <c r="C444" s="153" t="s">
        <v>205</v>
      </c>
      <c r="D444" s="153"/>
      <c r="E444" s="154"/>
      <c r="F444" s="154">
        <f t="shared" si="169"/>
        <v>0</v>
      </c>
      <c r="G444" s="154">
        <f t="shared" si="162"/>
        <v>0</v>
      </c>
      <c r="H444" s="154">
        <f t="shared" si="163"/>
        <v>0</v>
      </c>
      <c r="I444" s="154">
        <f t="shared" si="164"/>
        <v>0</v>
      </c>
      <c r="J444" s="220"/>
    </row>
    <row r="445" spans="1:10">
      <c r="A445" s="155"/>
      <c r="B445" s="153">
        <v>440</v>
      </c>
      <c r="C445" s="153" t="s">
        <v>205</v>
      </c>
      <c r="D445" s="153"/>
      <c r="E445" s="154"/>
      <c r="F445" s="154">
        <f t="shared" si="169"/>
        <v>0</v>
      </c>
      <c r="G445" s="154">
        <f t="shared" si="162"/>
        <v>0</v>
      </c>
      <c r="H445" s="154">
        <f t="shared" si="163"/>
        <v>0</v>
      </c>
      <c r="I445" s="154">
        <f t="shared" si="164"/>
        <v>0</v>
      </c>
      <c r="J445" s="220"/>
    </row>
    <row r="446" spans="1:10">
      <c r="A446" s="155"/>
      <c r="B446" s="153">
        <v>441</v>
      </c>
      <c r="C446" s="153" t="s">
        <v>455</v>
      </c>
      <c r="D446" s="153" t="s">
        <v>312</v>
      </c>
      <c r="E446" s="154">
        <v>23</v>
      </c>
      <c r="F446" s="154">
        <f t="shared" si="169"/>
        <v>3.45</v>
      </c>
      <c r="G446" s="154">
        <f t="shared" si="162"/>
        <v>26.45</v>
      </c>
      <c r="H446" s="154">
        <f t="shared" si="163"/>
        <v>29.1</v>
      </c>
      <c r="I446" s="154">
        <f t="shared" si="164"/>
        <v>0</v>
      </c>
      <c r="J446" s="220"/>
    </row>
    <row r="447" spans="1:10">
      <c r="A447" s="155"/>
      <c r="B447" s="153">
        <v>442</v>
      </c>
      <c r="C447" s="153" t="s">
        <v>456</v>
      </c>
      <c r="D447" s="153" t="s">
        <v>228</v>
      </c>
      <c r="E447" s="154">
        <v>0.46</v>
      </c>
      <c r="F447" s="154">
        <f t="shared" si="169"/>
        <v>6.9999999999999993E-2</v>
      </c>
      <c r="G447" s="154">
        <f t="shared" si="162"/>
        <v>0.53</v>
      </c>
      <c r="H447" s="154">
        <f t="shared" si="163"/>
        <v>0.59</v>
      </c>
      <c r="I447" s="154">
        <f t="shared" si="164"/>
        <v>0</v>
      </c>
      <c r="J447" s="220"/>
    </row>
    <row r="448" spans="1:10">
      <c r="A448" s="155"/>
      <c r="B448" s="153">
        <v>443</v>
      </c>
      <c r="C448" s="153" t="s">
        <v>457</v>
      </c>
      <c r="D448" s="153" t="s">
        <v>312</v>
      </c>
      <c r="E448" s="154">
        <v>12.5</v>
      </c>
      <c r="F448" s="154">
        <f t="shared" si="169"/>
        <v>1.8800000000000001</v>
      </c>
      <c r="G448" s="154">
        <f t="shared" si="162"/>
        <v>14.38</v>
      </c>
      <c r="H448" s="154">
        <f t="shared" si="163"/>
        <v>15.82</v>
      </c>
      <c r="I448" s="154">
        <f t="shared" si="164"/>
        <v>0</v>
      </c>
      <c r="J448" s="220"/>
    </row>
    <row r="449" spans="1:10">
      <c r="A449" s="155"/>
      <c r="B449" s="153">
        <v>444</v>
      </c>
      <c r="C449" s="153" t="s">
        <v>458</v>
      </c>
      <c r="D449" s="153" t="s">
        <v>228</v>
      </c>
      <c r="E449" s="154">
        <v>0.25</v>
      </c>
      <c r="F449" s="154">
        <f t="shared" si="169"/>
        <v>0.04</v>
      </c>
      <c r="G449" s="154">
        <f t="shared" si="162"/>
        <v>0.28999999999999998</v>
      </c>
      <c r="H449" s="154">
        <f t="shared" si="163"/>
        <v>0.32</v>
      </c>
      <c r="I449" s="154">
        <f t="shared" si="164"/>
        <v>0</v>
      </c>
      <c r="J449" s="220"/>
    </row>
    <row r="450" spans="1:10">
      <c r="A450" s="155"/>
      <c r="B450" s="153">
        <v>445</v>
      </c>
      <c r="C450" s="153" t="s">
        <v>205</v>
      </c>
      <c r="D450" s="153"/>
      <c r="E450" s="154"/>
      <c r="F450" s="154">
        <f t="shared" si="169"/>
        <v>0</v>
      </c>
      <c r="G450" s="154">
        <f t="shared" si="162"/>
        <v>0</v>
      </c>
      <c r="H450" s="154">
        <f t="shared" si="163"/>
        <v>0</v>
      </c>
      <c r="I450" s="154">
        <f t="shared" si="164"/>
        <v>0</v>
      </c>
      <c r="J450" s="220"/>
    </row>
    <row r="451" spans="1:10">
      <c r="A451" s="155"/>
      <c r="B451" s="153">
        <v>446</v>
      </c>
      <c r="C451" s="153" t="s">
        <v>459</v>
      </c>
      <c r="D451" s="153" t="s">
        <v>460</v>
      </c>
      <c r="E451" s="154">
        <v>359</v>
      </c>
      <c r="F451" s="154">
        <f t="shared" si="169"/>
        <v>53.85</v>
      </c>
      <c r="G451" s="154">
        <f t="shared" si="162"/>
        <v>412.85</v>
      </c>
      <c r="H451" s="154">
        <f t="shared" si="163"/>
        <v>454.14</v>
      </c>
      <c r="I451" s="154">
        <f t="shared" si="164"/>
        <v>0</v>
      </c>
      <c r="J451" s="220">
        <v>44949</v>
      </c>
    </row>
    <row r="452" spans="1:10">
      <c r="A452" s="155"/>
      <c r="B452" s="153">
        <v>447</v>
      </c>
      <c r="C452" s="153" t="s">
        <v>205</v>
      </c>
      <c r="D452" s="153"/>
      <c r="E452" s="154"/>
      <c r="F452" s="154">
        <f t="shared" si="169"/>
        <v>0</v>
      </c>
      <c r="G452" s="154">
        <f t="shared" si="162"/>
        <v>0</v>
      </c>
      <c r="H452" s="154">
        <f t="shared" si="163"/>
        <v>0</v>
      </c>
      <c r="I452" s="154">
        <f t="shared" si="164"/>
        <v>0</v>
      </c>
      <c r="J452" s="220"/>
    </row>
    <row r="453" spans="1:10">
      <c r="A453" s="155"/>
      <c r="B453" s="153">
        <v>448</v>
      </c>
      <c r="C453" s="153" t="s">
        <v>461</v>
      </c>
      <c r="D453" s="153" t="s">
        <v>228</v>
      </c>
      <c r="E453" s="154">
        <v>18.79</v>
      </c>
      <c r="F453" s="154">
        <f t="shared" si="169"/>
        <v>2.82</v>
      </c>
      <c r="G453" s="154">
        <f t="shared" si="162"/>
        <v>21.61</v>
      </c>
      <c r="H453" s="154">
        <f t="shared" si="163"/>
        <v>23.78</v>
      </c>
      <c r="I453" s="154">
        <f t="shared" si="164"/>
        <v>0</v>
      </c>
      <c r="J453" s="220">
        <v>44949</v>
      </c>
    </row>
    <row r="454" spans="1:10">
      <c r="A454" s="155"/>
      <c r="B454" s="153">
        <v>449</v>
      </c>
      <c r="C454" s="153" t="s">
        <v>462</v>
      </c>
      <c r="D454" s="153" t="s">
        <v>460</v>
      </c>
      <c r="E454" s="154">
        <v>6.97</v>
      </c>
      <c r="F454" s="154">
        <f t="shared" si="169"/>
        <v>1.05</v>
      </c>
      <c r="G454" s="154">
        <f t="shared" ref="G454:G517" si="170">E454+F454</f>
        <v>8.02</v>
      </c>
      <c r="H454" s="154">
        <f t="shared" ref="H454:H517" si="171">ROUNDUP(($E454+F454)*1.1,2)</f>
        <v>8.83</v>
      </c>
      <c r="I454" s="154">
        <f t="shared" ref="I454:I517" si="172">IF($C$2="Inventory Cost",A454*G454,A454*H454)</f>
        <v>0</v>
      </c>
      <c r="J454" s="220"/>
    </row>
    <row r="455" spans="1:10">
      <c r="A455" s="155"/>
      <c r="B455" s="153">
        <v>450</v>
      </c>
      <c r="C455" s="153" t="s">
        <v>462</v>
      </c>
      <c r="D455" s="153" t="s">
        <v>246</v>
      </c>
      <c r="E455" s="154">
        <v>0.28000000000000003</v>
      </c>
      <c r="F455" s="154">
        <f t="shared" si="169"/>
        <v>0.05</v>
      </c>
      <c r="G455" s="154">
        <f t="shared" si="170"/>
        <v>0.33</v>
      </c>
      <c r="H455" s="154">
        <f t="shared" si="171"/>
        <v>0.37</v>
      </c>
      <c r="I455" s="154">
        <f t="shared" si="172"/>
        <v>0</v>
      </c>
      <c r="J455" s="220"/>
    </row>
    <row r="456" spans="1:10">
      <c r="A456" s="155"/>
      <c r="B456" s="153">
        <v>451</v>
      </c>
      <c r="C456" s="153" t="s">
        <v>463</v>
      </c>
      <c r="D456" s="153" t="s">
        <v>460</v>
      </c>
      <c r="E456" s="154">
        <v>8</v>
      </c>
      <c r="F456" s="154">
        <f t="shared" si="169"/>
        <v>1.2</v>
      </c>
      <c r="G456" s="154">
        <f t="shared" si="170"/>
        <v>9.1999999999999993</v>
      </c>
      <c r="H456" s="154">
        <f t="shared" si="171"/>
        <v>10.119999999999999</v>
      </c>
      <c r="I456" s="154">
        <f t="shared" si="172"/>
        <v>0</v>
      </c>
      <c r="J456" s="220"/>
    </row>
    <row r="457" spans="1:10">
      <c r="A457" s="155"/>
      <c r="B457" s="153">
        <v>452</v>
      </c>
      <c r="C457" s="153" t="s">
        <v>463</v>
      </c>
      <c r="D457" s="153" t="s">
        <v>246</v>
      </c>
      <c r="E457" s="154">
        <v>0.32</v>
      </c>
      <c r="F457" s="154">
        <f t="shared" si="169"/>
        <v>0.05</v>
      </c>
      <c r="G457" s="154">
        <f t="shared" si="170"/>
        <v>0.37</v>
      </c>
      <c r="H457" s="154">
        <f t="shared" si="171"/>
        <v>0.41000000000000003</v>
      </c>
      <c r="I457" s="154">
        <f t="shared" si="172"/>
        <v>0</v>
      </c>
      <c r="J457" s="220"/>
    </row>
    <row r="458" spans="1:10">
      <c r="A458" s="155"/>
      <c r="B458" s="153">
        <v>453</v>
      </c>
      <c r="C458" s="153" t="s">
        <v>205</v>
      </c>
      <c r="D458" s="153"/>
      <c r="E458" s="154"/>
      <c r="F458" s="154">
        <f t="shared" si="169"/>
        <v>0</v>
      </c>
      <c r="G458" s="154">
        <f t="shared" si="170"/>
        <v>0</v>
      </c>
      <c r="H458" s="154">
        <f t="shared" si="171"/>
        <v>0</v>
      </c>
      <c r="I458" s="154">
        <f t="shared" si="172"/>
        <v>0</v>
      </c>
      <c r="J458" s="220"/>
    </row>
    <row r="459" spans="1:10">
      <c r="A459" s="155"/>
      <c r="B459" s="153">
        <v>454</v>
      </c>
      <c r="C459" s="153" t="s">
        <v>205</v>
      </c>
      <c r="D459" s="153"/>
      <c r="E459" s="154"/>
      <c r="F459" s="154">
        <f t="shared" si="169"/>
        <v>0</v>
      </c>
      <c r="G459" s="154">
        <f t="shared" si="170"/>
        <v>0</v>
      </c>
      <c r="H459" s="154">
        <f t="shared" si="171"/>
        <v>0</v>
      </c>
      <c r="I459" s="154">
        <f t="shared" si="172"/>
        <v>0</v>
      </c>
      <c r="J459" s="220"/>
    </row>
    <row r="460" spans="1:10">
      <c r="A460" s="155"/>
      <c r="B460" s="153">
        <v>455</v>
      </c>
      <c r="C460" s="153" t="s">
        <v>205</v>
      </c>
      <c r="D460" s="153"/>
      <c r="E460" s="154"/>
      <c r="F460" s="154">
        <f t="shared" si="169"/>
        <v>0</v>
      </c>
      <c r="G460" s="154">
        <f t="shared" si="170"/>
        <v>0</v>
      </c>
      <c r="H460" s="154">
        <f t="shared" si="171"/>
        <v>0</v>
      </c>
      <c r="I460" s="154">
        <f t="shared" si="172"/>
        <v>0</v>
      </c>
      <c r="J460" s="220"/>
    </row>
    <row r="461" spans="1:10">
      <c r="A461" s="155"/>
      <c r="B461" s="153">
        <v>456</v>
      </c>
      <c r="C461" s="153" t="s">
        <v>205</v>
      </c>
      <c r="D461" s="153"/>
      <c r="E461" s="154"/>
      <c r="F461" s="154">
        <f t="shared" si="169"/>
        <v>0</v>
      </c>
      <c r="G461" s="154">
        <f t="shared" si="170"/>
        <v>0</v>
      </c>
      <c r="H461" s="154">
        <f t="shared" si="171"/>
        <v>0</v>
      </c>
      <c r="I461" s="154">
        <f t="shared" si="172"/>
        <v>0</v>
      </c>
      <c r="J461" s="220"/>
    </row>
    <row r="462" spans="1:10">
      <c r="A462" s="155"/>
      <c r="B462" s="153">
        <v>457</v>
      </c>
      <c r="C462" s="153" t="s">
        <v>205</v>
      </c>
      <c r="D462" s="153"/>
      <c r="E462" s="154"/>
      <c r="F462" s="154">
        <f t="shared" si="169"/>
        <v>0</v>
      </c>
      <c r="G462" s="154">
        <f t="shared" si="170"/>
        <v>0</v>
      </c>
      <c r="H462" s="154">
        <f t="shared" si="171"/>
        <v>0</v>
      </c>
      <c r="I462" s="154">
        <f t="shared" si="172"/>
        <v>0</v>
      </c>
      <c r="J462" s="220"/>
    </row>
    <row r="463" spans="1:10">
      <c r="A463" s="155"/>
      <c r="B463" s="153">
        <v>458</v>
      </c>
      <c r="C463" s="153" t="s">
        <v>205</v>
      </c>
      <c r="D463" s="153"/>
      <c r="E463" s="154"/>
      <c r="F463" s="154">
        <f t="shared" si="169"/>
        <v>0</v>
      </c>
      <c r="G463" s="154">
        <f t="shared" si="170"/>
        <v>0</v>
      </c>
      <c r="H463" s="154">
        <f t="shared" si="171"/>
        <v>0</v>
      </c>
      <c r="I463" s="154">
        <f t="shared" si="172"/>
        <v>0</v>
      </c>
      <c r="J463" s="220"/>
    </row>
    <row r="464" spans="1:10">
      <c r="A464" s="155"/>
      <c r="B464" s="153">
        <v>459</v>
      </c>
      <c r="C464" s="153" t="s">
        <v>205</v>
      </c>
      <c r="D464" s="153"/>
      <c r="E464" s="154"/>
      <c r="F464" s="154">
        <f t="shared" si="169"/>
        <v>0</v>
      </c>
      <c r="G464" s="154">
        <f t="shared" si="170"/>
        <v>0</v>
      </c>
      <c r="H464" s="154">
        <f t="shared" si="171"/>
        <v>0</v>
      </c>
      <c r="I464" s="154">
        <f t="shared" si="172"/>
        <v>0</v>
      </c>
      <c r="J464" s="220"/>
    </row>
    <row r="465" spans="1:10">
      <c r="A465" s="155"/>
      <c r="B465" s="153">
        <v>460</v>
      </c>
      <c r="C465" s="153" t="s">
        <v>205</v>
      </c>
      <c r="D465" s="153"/>
      <c r="E465" s="154"/>
      <c r="F465" s="154">
        <f t="shared" si="169"/>
        <v>0</v>
      </c>
      <c r="G465" s="154">
        <f t="shared" si="170"/>
        <v>0</v>
      </c>
      <c r="H465" s="154">
        <f t="shared" si="171"/>
        <v>0</v>
      </c>
      <c r="I465" s="154">
        <f t="shared" si="172"/>
        <v>0</v>
      </c>
      <c r="J465" s="220"/>
    </row>
    <row r="466" spans="1:10">
      <c r="A466" s="155"/>
      <c r="B466" s="153">
        <v>461</v>
      </c>
      <c r="C466" s="153" t="s">
        <v>205</v>
      </c>
      <c r="D466" s="153"/>
      <c r="E466" s="154"/>
      <c r="F466" s="154">
        <f t="shared" si="169"/>
        <v>0</v>
      </c>
      <c r="G466" s="154">
        <f t="shared" si="170"/>
        <v>0</v>
      </c>
      <c r="H466" s="154">
        <f t="shared" si="171"/>
        <v>0</v>
      </c>
      <c r="I466" s="154">
        <f t="shared" si="172"/>
        <v>0</v>
      </c>
      <c r="J466" s="220"/>
    </row>
    <row r="467" spans="1:10">
      <c r="A467" s="155"/>
      <c r="B467" s="153">
        <v>462</v>
      </c>
      <c r="C467" s="153" t="s">
        <v>205</v>
      </c>
      <c r="D467" s="153"/>
      <c r="E467" s="154"/>
      <c r="F467" s="154">
        <f t="shared" si="169"/>
        <v>0</v>
      </c>
      <c r="G467" s="154">
        <f t="shared" si="170"/>
        <v>0</v>
      </c>
      <c r="H467" s="154">
        <f t="shared" si="171"/>
        <v>0</v>
      </c>
      <c r="I467" s="154">
        <f t="shared" si="172"/>
        <v>0</v>
      </c>
      <c r="J467" s="220"/>
    </row>
    <row r="468" spans="1:10">
      <c r="A468" s="155"/>
      <c r="B468" s="153">
        <v>463</v>
      </c>
      <c r="C468" s="153" t="s">
        <v>205</v>
      </c>
      <c r="D468" s="153"/>
      <c r="E468" s="154"/>
      <c r="F468" s="154">
        <f t="shared" si="169"/>
        <v>0</v>
      </c>
      <c r="G468" s="154">
        <f t="shared" si="170"/>
        <v>0</v>
      </c>
      <c r="H468" s="154">
        <f t="shared" si="171"/>
        <v>0</v>
      </c>
      <c r="I468" s="154">
        <f t="shared" si="172"/>
        <v>0</v>
      </c>
      <c r="J468" s="220"/>
    </row>
    <row r="469" spans="1:10">
      <c r="A469" s="155"/>
      <c r="B469" s="153">
        <v>464</v>
      </c>
      <c r="C469" s="153" t="s">
        <v>205</v>
      </c>
      <c r="D469" s="153"/>
      <c r="E469" s="154"/>
      <c r="F469" s="154">
        <f t="shared" si="169"/>
        <v>0</v>
      </c>
      <c r="G469" s="154">
        <f t="shared" si="170"/>
        <v>0</v>
      </c>
      <c r="H469" s="154">
        <f t="shared" si="171"/>
        <v>0</v>
      </c>
      <c r="I469" s="154">
        <f t="shared" si="172"/>
        <v>0</v>
      </c>
      <c r="J469" s="220"/>
    </row>
    <row r="470" spans="1:10">
      <c r="A470" s="155"/>
      <c r="B470" s="153">
        <v>465</v>
      </c>
      <c r="C470" s="153" t="s">
        <v>205</v>
      </c>
      <c r="D470" s="153"/>
      <c r="E470" s="154"/>
      <c r="F470" s="154">
        <f t="shared" si="169"/>
        <v>0</v>
      </c>
      <c r="G470" s="154">
        <f t="shared" si="170"/>
        <v>0</v>
      </c>
      <c r="H470" s="154">
        <f t="shared" si="171"/>
        <v>0</v>
      </c>
      <c r="I470" s="154">
        <f t="shared" si="172"/>
        <v>0</v>
      </c>
      <c r="J470" s="220"/>
    </row>
    <row r="471" spans="1:10">
      <c r="A471" s="155"/>
      <c r="B471" s="153">
        <v>466</v>
      </c>
      <c r="C471" s="153" t="s">
        <v>205</v>
      </c>
      <c r="D471" s="153"/>
      <c r="E471" s="154"/>
      <c r="F471" s="154">
        <f t="shared" si="169"/>
        <v>0</v>
      </c>
      <c r="G471" s="154">
        <f t="shared" si="170"/>
        <v>0</v>
      </c>
      <c r="H471" s="154">
        <f t="shared" si="171"/>
        <v>0</v>
      </c>
      <c r="I471" s="154">
        <f t="shared" si="172"/>
        <v>0</v>
      </c>
      <c r="J471" s="220"/>
    </row>
    <row r="472" spans="1:10">
      <c r="A472" s="155"/>
      <c r="B472" s="153">
        <v>467</v>
      </c>
      <c r="C472" s="153" t="s">
        <v>205</v>
      </c>
      <c r="D472" s="153"/>
      <c r="E472" s="154"/>
      <c r="F472" s="154">
        <f t="shared" si="169"/>
        <v>0</v>
      </c>
      <c r="G472" s="154">
        <f t="shared" si="170"/>
        <v>0</v>
      </c>
      <c r="H472" s="154">
        <f t="shared" si="171"/>
        <v>0</v>
      </c>
      <c r="I472" s="154">
        <f t="shared" si="172"/>
        <v>0</v>
      </c>
      <c r="J472" s="220"/>
    </row>
    <row r="473" spans="1:10">
      <c r="A473" s="155"/>
      <c r="B473" s="153">
        <v>468</v>
      </c>
      <c r="C473" s="153" t="s">
        <v>205</v>
      </c>
      <c r="D473" s="153"/>
      <c r="E473" s="154"/>
      <c r="F473" s="154">
        <f t="shared" ref="F473:F504" si="173">ROUNDUP(E473*0.15,2)</f>
        <v>0</v>
      </c>
      <c r="G473" s="154">
        <f t="shared" si="170"/>
        <v>0</v>
      </c>
      <c r="H473" s="154">
        <f t="shared" si="171"/>
        <v>0</v>
      </c>
      <c r="I473" s="154">
        <f t="shared" si="172"/>
        <v>0</v>
      </c>
      <c r="J473" s="220"/>
    </row>
    <row r="474" spans="1:10">
      <c r="A474" s="155"/>
      <c r="B474" s="153">
        <v>469</v>
      </c>
      <c r="C474" s="153" t="s">
        <v>205</v>
      </c>
      <c r="D474" s="153"/>
      <c r="E474" s="154"/>
      <c r="F474" s="154">
        <f t="shared" si="173"/>
        <v>0</v>
      </c>
      <c r="G474" s="154">
        <f t="shared" si="170"/>
        <v>0</v>
      </c>
      <c r="H474" s="154">
        <f t="shared" si="171"/>
        <v>0</v>
      </c>
      <c r="I474" s="154">
        <f t="shared" si="172"/>
        <v>0</v>
      </c>
      <c r="J474" s="220"/>
    </row>
    <row r="475" spans="1:10">
      <c r="A475" s="155"/>
      <c r="B475" s="153">
        <v>470</v>
      </c>
      <c r="C475" s="153" t="s">
        <v>205</v>
      </c>
      <c r="D475" s="153"/>
      <c r="E475" s="154"/>
      <c r="F475" s="154">
        <f t="shared" si="173"/>
        <v>0</v>
      </c>
      <c r="G475" s="154">
        <f t="shared" si="170"/>
        <v>0</v>
      </c>
      <c r="H475" s="154">
        <f t="shared" si="171"/>
        <v>0</v>
      </c>
      <c r="I475" s="154">
        <f t="shared" si="172"/>
        <v>0</v>
      </c>
      <c r="J475" s="220"/>
    </row>
    <row r="476" spans="1:10">
      <c r="A476" s="155"/>
      <c r="B476" s="153">
        <v>471</v>
      </c>
      <c r="C476" s="153" t="s">
        <v>205</v>
      </c>
      <c r="D476" s="153"/>
      <c r="E476" s="154"/>
      <c r="F476" s="154">
        <f t="shared" si="173"/>
        <v>0</v>
      </c>
      <c r="G476" s="154">
        <f t="shared" si="170"/>
        <v>0</v>
      </c>
      <c r="H476" s="154">
        <f t="shared" si="171"/>
        <v>0</v>
      </c>
      <c r="I476" s="154">
        <f t="shared" si="172"/>
        <v>0</v>
      </c>
      <c r="J476" s="220"/>
    </row>
    <row r="477" spans="1:10">
      <c r="A477" s="155"/>
      <c r="B477" s="153">
        <v>472</v>
      </c>
      <c r="C477" s="153" t="s">
        <v>205</v>
      </c>
      <c r="D477" s="153"/>
      <c r="E477" s="154"/>
      <c r="F477" s="154">
        <f t="shared" si="173"/>
        <v>0</v>
      </c>
      <c r="G477" s="154">
        <f t="shared" si="170"/>
        <v>0</v>
      </c>
      <c r="H477" s="154">
        <f t="shared" si="171"/>
        <v>0</v>
      </c>
      <c r="I477" s="154">
        <f t="shared" si="172"/>
        <v>0</v>
      </c>
      <c r="J477" s="220"/>
    </row>
    <row r="478" spans="1:10">
      <c r="A478" s="155"/>
      <c r="B478" s="153">
        <v>473</v>
      </c>
      <c r="C478" s="153" t="s">
        <v>205</v>
      </c>
      <c r="D478" s="153"/>
      <c r="E478" s="154"/>
      <c r="F478" s="154">
        <f t="shared" si="173"/>
        <v>0</v>
      </c>
      <c r="G478" s="154">
        <f t="shared" si="170"/>
        <v>0</v>
      </c>
      <c r="H478" s="154">
        <f t="shared" si="171"/>
        <v>0</v>
      </c>
      <c r="I478" s="154">
        <f t="shared" si="172"/>
        <v>0</v>
      </c>
      <c r="J478" s="220"/>
    </row>
    <row r="479" spans="1:10">
      <c r="A479" s="155"/>
      <c r="B479" s="153">
        <v>474</v>
      </c>
      <c r="C479" s="153" t="s">
        <v>205</v>
      </c>
      <c r="D479" s="153"/>
      <c r="E479" s="154"/>
      <c r="F479" s="154">
        <f t="shared" si="173"/>
        <v>0</v>
      </c>
      <c r="G479" s="154">
        <f t="shared" si="170"/>
        <v>0</v>
      </c>
      <c r="H479" s="154">
        <f t="shared" si="171"/>
        <v>0</v>
      </c>
      <c r="I479" s="154">
        <f t="shared" si="172"/>
        <v>0</v>
      </c>
      <c r="J479" s="220"/>
    </row>
    <row r="480" spans="1:10">
      <c r="A480" s="155"/>
      <c r="B480" s="153">
        <v>475</v>
      </c>
      <c r="C480" s="153" t="s">
        <v>205</v>
      </c>
      <c r="D480" s="153"/>
      <c r="E480" s="154"/>
      <c r="F480" s="154">
        <f t="shared" si="173"/>
        <v>0</v>
      </c>
      <c r="G480" s="154">
        <f t="shared" si="170"/>
        <v>0</v>
      </c>
      <c r="H480" s="154">
        <f t="shared" si="171"/>
        <v>0</v>
      </c>
      <c r="I480" s="154">
        <f t="shared" si="172"/>
        <v>0</v>
      </c>
      <c r="J480" s="220"/>
    </row>
    <row r="481" spans="1:10">
      <c r="A481" s="155"/>
      <c r="B481" s="153">
        <v>476</v>
      </c>
      <c r="C481" s="153" t="s">
        <v>205</v>
      </c>
      <c r="D481" s="153"/>
      <c r="E481" s="154"/>
      <c r="F481" s="154">
        <f t="shared" si="173"/>
        <v>0</v>
      </c>
      <c r="G481" s="154">
        <f t="shared" si="170"/>
        <v>0</v>
      </c>
      <c r="H481" s="154">
        <f t="shared" si="171"/>
        <v>0</v>
      </c>
      <c r="I481" s="154">
        <f t="shared" si="172"/>
        <v>0</v>
      </c>
      <c r="J481" s="220"/>
    </row>
    <row r="482" spans="1:10">
      <c r="A482" s="155"/>
      <c r="B482" s="153">
        <v>477</v>
      </c>
      <c r="C482" s="153" t="s">
        <v>205</v>
      </c>
      <c r="D482" s="153"/>
      <c r="E482" s="154"/>
      <c r="F482" s="154">
        <f t="shared" si="173"/>
        <v>0</v>
      </c>
      <c r="G482" s="154">
        <f t="shared" si="170"/>
        <v>0</v>
      </c>
      <c r="H482" s="154">
        <f t="shared" si="171"/>
        <v>0</v>
      </c>
      <c r="I482" s="154">
        <f t="shared" si="172"/>
        <v>0</v>
      </c>
      <c r="J482" s="220"/>
    </row>
    <row r="483" spans="1:10">
      <c r="A483" s="155"/>
      <c r="B483" s="153">
        <v>478</v>
      </c>
      <c r="C483" s="153" t="s">
        <v>205</v>
      </c>
      <c r="D483" s="153"/>
      <c r="E483" s="154"/>
      <c r="F483" s="154">
        <f t="shared" si="173"/>
        <v>0</v>
      </c>
      <c r="G483" s="154">
        <f t="shared" si="170"/>
        <v>0</v>
      </c>
      <c r="H483" s="154">
        <f t="shared" si="171"/>
        <v>0</v>
      </c>
      <c r="I483" s="154">
        <f t="shared" si="172"/>
        <v>0</v>
      </c>
      <c r="J483" s="220"/>
    </row>
    <row r="484" spans="1:10">
      <c r="A484" s="155"/>
      <c r="B484" s="153">
        <v>479</v>
      </c>
      <c r="C484" s="153" t="s">
        <v>205</v>
      </c>
      <c r="D484" s="153"/>
      <c r="E484" s="154"/>
      <c r="F484" s="154">
        <f t="shared" si="173"/>
        <v>0</v>
      </c>
      <c r="G484" s="154">
        <f t="shared" si="170"/>
        <v>0</v>
      </c>
      <c r="H484" s="154">
        <f t="shared" si="171"/>
        <v>0</v>
      </c>
      <c r="I484" s="154">
        <f t="shared" si="172"/>
        <v>0</v>
      </c>
      <c r="J484" s="220"/>
    </row>
    <row r="485" spans="1:10">
      <c r="A485" s="155"/>
      <c r="B485" s="153">
        <v>480</v>
      </c>
      <c r="C485" s="153" t="s">
        <v>205</v>
      </c>
      <c r="D485" s="153"/>
      <c r="E485" s="154"/>
      <c r="F485" s="154">
        <f t="shared" si="173"/>
        <v>0</v>
      </c>
      <c r="G485" s="154">
        <f t="shared" si="170"/>
        <v>0</v>
      </c>
      <c r="H485" s="154">
        <f t="shared" si="171"/>
        <v>0</v>
      </c>
      <c r="I485" s="154">
        <f t="shared" si="172"/>
        <v>0</v>
      </c>
      <c r="J485" s="220"/>
    </row>
    <row r="486" spans="1:10">
      <c r="A486" s="155"/>
      <c r="B486" s="153">
        <v>481</v>
      </c>
      <c r="C486" s="153" t="s">
        <v>205</v>
      </c>
      <c r="D486" s="153"/>
      <c r="E486" s="154"/>
      <c r="F486" s="154">
        <f t="shared" si="173"/>
        <v>0</v>
      </c>
      <c r="G486" s="154">
        <f t="shared" si="170"/>
        <v>0</v>
      </c>
      <c r="H486" s="154">
        <f t="shared" si="171"/>
        <v>0</v>
      </c>
      <c r="I486" s="154">
        <f t="shared" si="172"/>
        <v>0</v>
      </c>
      <c r="J486" s="220"/>
    </row>
    <row r="487" spans="1:10">
      <c r="A487" s="155"/>
      <c r="B487" s="153">
        <v>482</v>
      </c>
      <c r="C487" s="153" t="s">
        <v>205</v>
      </c>
      <c r="D487" s="153"/>
      <c r="E487" s="154"/>
      <c r="F487" s="154">
        <f t="shared" si="173"/>
        <v>0</v>
      </c>
      <c r="G487" s="154">
        <f t="shared" si="170"/>
        <v>0</v>
      </c>
      <c r="H487" s="154">
        <f t="shared" si="171"/>
        <v>0</v>
      </c>
      <c r="I487" s="154">
        <f t="shared" si="172"/>
        <v>0</v>
      </c>
      <c r="J487" s="220"/>
    </row>
    <row r="488" spans="1:10">
      <c r="A488" s="155"/>
      <c r="B488" s="153">
        <v>483</v>
      </c>
      <c r="C488" s="153" t="s">
        <v>205</v>
      </c>
      <c r="D488" s="153"/>
      <c r="E488" s="154"/>
      <c r="F488" s="154">
        <f t="shared" si="173"/>
        <v>0</v>
      </c>
      <c r="G488" s="154">
        <f t="shared" si="170"/>
        <v>0</v>
      </c>
      <c r="H488" s="154">
        <f t="shared" si="171"/>
        <v>0</v>
      </c>
      <c r="I488" s="154">
        <f t="shared" si="172"/>
        <v>0</v>
      </c>
      <c r="J488" s="220"/>
    </row>
    <row r="489" spans="1:10">
      <c r="A489" s="155"/>
      <c r="B489" s="153">
        <v>484</v>
      </c>
      <c r="C489" s="153" t="s">
        <v>205</v>
      </c>
      <c r="D489" s="153"/>
      <c r="E489" s="154"/>
      <c r="F489" s="154">
        <f t="shared" si="173"/>
        <v>0</v>
      </c>
      <c r="G489" s="154">
        <f t="shared" si="170"/>
        <v>0</v>
      </c>
      <c r="H489" s="154">
        <f t="shared" si="171"/>
        <v>0</v>
      </c>
      <c r="I489" s="154">
        <f t="shared" si="172"/>
        <v>0</v>
      </c>
      <c r="J489" s="220"/>
    </row>
    <row r="490" spans="1:10">
      <c r="A490" s="155"/>
      <c r="B490" s="153">
        <v>485</v>
      </c>
      <c r="C490" s="153" t="s">
        <v>205</v>
      </c>
      <c r="D490" s="153"/>
      <c r="E490" s="154"/>
      <c r="F490" s="154">
        <f t="shared" si="173"/>
        <v>0</v>
      </c>
      <c r="G490" s="154">
        <f t="shared" si="170"/>
        <v>0</v>
      </c>
      <c r="H490" s="154">
        <f t="shared" si="171"/>
        <v>0</v>
      </c>
      <c r="I490" s="154">
        <f t="shared" si="172"/>
        <v>0</v>
      </c>
      <c r="J490" s="220"/>
    </row>
    <row r="491" spans="1:10">
      <c r="A491" s="155"/>
      <c r="B491" s="153">
        <v>486</v>
      </c>
      <c r="C491" s="153" t="s">
        <v>205</v>
      </c>
      <c r="D491" s="153"/>
      <c r="E491" s="154"/>
      <c r="F491" s="154">
        <f t="shared" si="173"/>
        <v>0</v>
      </c>
      <c r="G491" s="154">
        <f t="shared" si="170"/>
        <v>0</v>
      </c>
      <c r="H491" s="154">
        <f t="shared" si="171"/>
        <v>0</v>
      </c>
      <c r="I491" s="154">
        <f t="shared" si="172"/>
        <v>0</v>
      </c>
      <c r="J491" s="220"/>
    </row>
    <row r="492" spans="1:10">
      <c r="A492" s="155"/>
      <c r="B492" s="153">
        <v>487</v>
      </c>
      <c r="C492" s="153" t="s">
        <v>205</v>
      </c>
      <c r="D492" s="153"/>
      <c r="E492" s="154"/>
      <c r="F492" s="154">
        <f t="shared" si="173"/>
        <v>0</v>
      </c>
      <c r="G492" s="154">
        <f t="shared" si="170"/>
        <v>0</v>
      </c>
      <c r="H492" s="154">
        <f t="shared" si="171"/>
        <v>0</v>
      </c>
      <c r="I492" s="154">
        <f t="shared" si="172"/>
        <v>0</v>
      </c>
      <c r="J492" s="220"/>
    </row>
    <row r="493" spans="1:10">
      <c r="A493" s="155"/>
      <c r="B493" s="153">
        <v>488</v>
      </c>
      <c r="C493" s="153" t="s">
        <v>205</v>
      </c>
      <c r="D493" s="153"/>
      <c r="E493" s="154"/>
      <c r="F493" s="154">
        <f t="shared" si="173"/>
        <v>0</v>
      </c>
      <c r="G493" s="154">
        <f t="shared" si="170"/>
        <v>0</v>
      </c>
      <c r="H493" s="154">
        <f t="shared" si="171"/>
        <v>0</v>
      </c>
      <c r="I493" s="154">
        <f t="shared" si="172"/>
        <v>0</v>
      </c>
      <c r="J493" s="220"/>
    </row>
    <row r="494" spans="1:10">
      <c r="A494" s="155"/>
      <c r="B494" s="153">
        <v>489</v>
      </c>
      <c r="C494" s="153" t="s">
        <v>205</v>
      </c>
      <c r="D494" s="153"/>
      <c r="E494" s="154"/>
      <c r="F494" s="154">
        <f t="shared" si="173"/>
        <v>0</v>
      </c>
      <c r="G494" s="154">
        <f t="shared" si="170"/>
        <v>0</v>
      </c>
      <c r="H494" s="154">
        <f t="shared" si="171"/>
        <v>0</v>
      </c>
      <c r="I494" s="154">
        <f t="shared" si="172"/>
        <v>0</v>
      </c>
      <c r="J494" s="220"/>
    </row>
    <row r="495" spans="1:10">
      <c r="A495" s="155"/>
      <c r="B495" s="153">
        <v>490</v>
      </c>
      <c r="C495" s="153" t="s">
        <v>205</v>
      </c>
      <c r="D495" s="153"/>
      <c r="E495" s="154"/>
      <c r="F495" s="154">
        <f t="shared" si="173"/>
        <v>0</v>
      </c>
      <c r="G495" s="154">
        <f t="shared" si="170"/>
        <v>0</v>
      </c>
      <c r="H495" s="154">
        <f t="shared" si="171"/>
        <v>0</v>
      </c>
      <c r="I495" s="154">
        <f t="shared" si="172"/>
        <v>0</v>
      </c>
      <c r="J495" s="220"/>
    </row>
    <row r="496" spans="1:10">
      <c r="A496" s="155"/>
      <c r="B496" s="153">
        <v>491</v>
      </c>
      <c r="C496" s="153" t="s">
        <v>205</v>
      </c>
      <c r="D496" s="153"/>
      <c r="E496" s="154"/>
      <c r="F496" s="154">
        <f t="shared" si="173"/>
        <v>0</v>
      </c>
      <c r="G496" s="154">
        <f t="shared" si="170"/>
        <v>0</v>
      </c>
      <c r="H496" s="154">
        <f t="shared" si="171"/>
        <v>0</v>
      </c>
      <c r="I496" s="154">
        <f t="shared" si="172"/>
        <v>0</v>
      </c>
      <c r="J496" s="220"/>
    </row>
    <row r="497" spans="1:10">
      <c r="A497" s="155"/>
      <c r="B497" s="153">
        <v>492</v>
      </c>
      <c r="C497" s="153" t="s">
        <v>205</v>
      </c>
      <c r="D497" s="153"/>
      <c r="E497" s="154"/>
      <c r="F497" s="154">
        <f t="shared" si="173"/>
        <v>0</v>
      </c>
      <c r="G497" s="154">
        <f t="shared" si="170"/>
        <v>0</v>
      </c>
      <c r="H497" s="154">
        <f t="shared" si="171"/>
        <v>0</v>
      </c>
      <c r="I497" s="154">
        <f t="shared" si="172"/>
        <v>0</v>
      </c>
      <c r="J497" s="220"/>
    </row>
    <row r="498" spans="1:10">
      <c r="A498" s="155"/>
      <c r="B498" s="153">
        <v>493</v>
      </c>
      <c r="C498" s="153" t="s">
        <v>205</v>
      </c>
      <c r="D498" s="153"/>
      <c r="E498" s="154"/>
      <c r="F498" s="154">
        <f t="shared" si="173"/>
        <v>0</v>
      </c>
      <c r="G498" s="154">
        <f t="shared" si="170"/>
        <v>0</v>
      </c>
      <c r="H498" s="154">
        <f t="shared" si="171"/>
        <v>0</v>
      </c>
      <c r="I498" s="154">
        <f t="shared" si="172"/>
        <v>0</v>
      </c>
      <c r="J498" s="220"/>
    </row>
    <row r="499" spans="1:10">
      <c r="A499" s="155"/>
      <c r="B499" s="153">
        <v>494</v>
      </c>
      <c r="C499" s="153" t="s">
        <v>205</v>
      </c>
      <c r="D499" s="153"/>
      <c r="E499" s="154"/>
      <c r="F499" s="154">
        <f t="shared" si="173"/>
        <v>0</v>
      </c>
      <c r="G499" s="154">
        <f t="shared" si="170"/>
        <v>0</v>
      </c>
      <c r="H499" s="154">
        <f t="shared" si="171"/>
        <v>0</v>
      </c>
      <c r="I499" s="154">
        <f t="shared" si="172"/>
        <v>0</v>
      </c>
      <c r="J499" s="220"/>
    </row>
    <row r="500" spans="1:10">
      <c r="A500" s="155"/>
      <c r="B500" s="153">
        <v>495</v>
      </c>
      <c r="C500" s="153" t="s">
        <v>205</v>
      </c>
      <c r="D500" s="153"/>
      <c r="E500" s="154"/>
      <c r="F500" s="154">
        <f t="shared" si="173"/>
        <v>0</v>
      </c>
      <c r="G500" s="154">
        <f t="shared" si="170"/>
        <v>0</v>
      </c>
      <c r="H500" s="154">
        <f t="shared" si="171"/>
        <v>0</v>
      </c>
      <c r="I500" s="154">
        <f t="shared" si="172"/>
        <v>0</v>
      </c>
      <c r="J500" s="220"/>
    </row>
    <row r="501" spans="1:10">
      <c r="A501" s="155"/>
      <c r="B501" s="153">
        <v>496</v>
      </c>
      <c r="C501" s="153" t="s">
        <v>205</v>
      </c>
      <c r="D501" s="153"/>
      <c r="E501" s="154"/>
      <c r="F501" s="154">
        <f t="shared" si="173"/>
        <v>0</v>
      </c>
      <c r="G501" s="154">
        <f t="shared" si="170"/>
        <v>0</v>
      </c>
      <c r="H501" s="154">
        <f t="shared" si="171"/>
        <v>0</v>
      </c>
      <c r="I501" s="154">
        <f t="shared" si="172"/>
        <v>0</v>
      </c>
      <c r="J501" s="220"/>
    </row>
    <row r="502" spans="1:10">
      <c r="A502" s="155"/>
      <c r="B502" s="153">
        <v>497</v>
      </c>
      <c r="C502" s="153" t="s">
        <v>205</v>
      </c>
      <c r="D502" s="153"/>
      <c r="E502" s="154"/>
      <c r="F502" s="154">
        <f t="shared" si="173"/>
        <v>0</v>
      </c>
      <c r="G502" s="154">
        <f t="shared" si="170"/>
        <v>0</v>
      </c>
      <c r="H502" s="154">
        <f t="shared" si="171"/>
        <v>0</v>
      </c>
      <c r="I502" s="154">
        <f t="shared" si="172"/>
        <v>0</v>
      </c>
      <c r="J502" s="220"/>
    </row>
    <row r="503" spans="1:10">
      <c r="A503" s="155"/>
      <c r="B503" s="153">
        <v>498</v>
      </c>
      <c r="C503" s="153" t="s">
        <v>205</v>
      </c>
      <c r="D503" s="153"/>
      <c r="E503" s="154"/>
      <c r="F503" s="154">
        <f t="shared" si="173"/>
        <v>0</v>
      </c>
      <c r="G503" s="154">
        <f t="shared" si="170"/>
        <v>0</v>
      </c>
      <c r="H503" s="154">
        <f t="shared" si="171"/>
        <v>0</v>
      </c>
      <c r="I503" s="154">
        <f t="shared" si="172"/>
        <v>0</v>
      </c>
      <c r="J503" s="220"/>
    </row>
    <row r="504" spans="1:10">
      <c r="A504" s="155"/>
      <c r="B504" s="153">
        <v>499</v>
      </c>
      <c r="C504" s="153" t="s">
        <v>205</v>
      </c>
      <c r="D504" s="153"/>
      <c r="E504" s="154"/>
      <c r="F504" s="154">
        <f t="shared" si="173"/>
        <v>0</v>
      </c>
      <c r="G504" s="154">
        <f t="shared" si="170"/>
        <v>0</v>
      </c>
      <c r="H504" s="154">
        <f t="shared" si="171"/>
        <v>0</v>
      </c>
      <c r="I504" s="154">
        <f t="shared" si="172"/>
        <v>0</v>
      </c>
      <c r="J504" s="220"/>
    </row>
    <row r="505" spans="1:10">
      <c r="A505" s="155"/>
      <c r="B505" s="153">
        <v>500</v>
      </c>
      <c r="C505" s="153" t="s">
        <v>205</v>
      </c>
      <c r="D505" s="153"/>
      <c r="E505" s="154"/>
      <c r="F505" s="154">
        <f t="shared" ref="F505:F536" si="174">ROUNDUP(E505*0.15,2)</f>
        <v>0</v>
      </c>
      <c r="G505" s="154">
        <f t="shared" si="170"/>
        <v>0</v>
      </c>
      <c r="H505" s="154">
        <f t="shared" si="171"/>
        <v>0</v>
      </c>
      <c r="I505" s="154">
        <f t="shared" si="172"/>
        <v>0</v>
      </c>
      <c r="J505" s="220"/>
    </row>
    <row r="506" spans="1:10">
      <c r="A506" s="155"/>
      <c r="B506" s="153">
        <v>501</v>
      </c>
      <c r="C506" s="153" t="s">
        <v>205</v>
      </c>
      <c r="D506" s="153"/>
      <c r="E506" s="154"/>
      <c r="F506" s="154">
        <f t="shared" si="174"/>
        <v>0</v>
      </c>
      <c r="G506" s="154">
        <f t="shared" si="170"/>
        <v>0</v>
      </c>
      <c r="H506" s="154">
        <f t="shared" si="171"/>
        <v>0</v>
      </c>
      <c r="I506" s="154">
        <f t="shared" si="172"/>
        <v>0</v>
      </c>
      <c r="J506" s="220"/>
    </row>
    <row r="507" spans="1:10">
      <c r="A507" s="155"/>
      <c r="B507" s="153">
        <v>502</v>
      </c>
      <c r="C507" s="153" t="s">
        <v>205</v>
      </c>
      <c r="D507" s="153"/>
      <c r="E507" s="154"/>
      <c r="F507" s="154">
        <f t="shared" si="174"/>
        <v>0</v>
      </c>
      <c r="G507" s="154">
        <f t="shared" si="170"/>
        <v>0</v>
      </c>
      <c r="H507" s="154">
        <f t="shared" si="171"/>
        <v>0</v>
      </c>
      <c r="I507" s="154">
        <f t="shared" si="172"/>
        <v>0</v>
      </c>
      <c r="J507" s="220"/>
    </row>
    <row r="508" spans="1:10">
      <c r="A508" s="155"/>
      <c r="B508" s="153">
        <v>503</v>
      </c>
      <c r="C508" s="153" t="s">
        <v>205</v>
      </c>
      <c r="D508" s="153"/>
      <c r="E508" s="154"/>
      <c r="F508" s="154">
        <f t="shared" si="174"/>
        <v>0</v>
      </c>
      <c r="G508" s="154">
        <f t="shared" si="170"/>
        <v>0</v>
      </c>
      <c r="H508" s="154">
        <f t="shared" si="171"/>
        <v>0</v>
      </c>
      <c r="I508" s="154">
        <f t="shared" si="172"/>
        <v>0</v>
      </c>
      <c r="J508" s="220"/>
    </row>
    <row r="509" spans="1:10">
      <c r="A509" s="155"/>
      <c r="B509" s="153">
        <v>504</v>
      </c>
      <c r="C509" s="153" t="s">
        <v>205</v>
      </c>
      <c r="D509" s="153"/>
      <c r="E509" s="154"/>
      <c r="F509" s="154">
        <f t="shared" si="174"/>
        <v>0</v>
      </c>
      <c r="G509" s="154">
        <f t="shared" si="170"/>
        <v>0</v>
      </c>
      <c r="H509" s="154">
        <f t="shared" si="171"/>
        <v>0</v>
      </c>
      <c r="I509" s="154">
        <f t="shared" si="172"/>
        <v>0</v>
      </c>
      <c r="J509" s="220"/>
    </row>
    <row r="510" spans="1:10">
      <c r="A510" s="155"/>
      <c r="B510" s="153">
        <v>505</v>
      </c>
      <c r="C510" s="153" t="s">
        <v>205</v>
      </c>
      <c r="D510" s="153"/>
      <c r="E510" s="154"/>
      <c r="F510" s="154">
        <f t="shared" si="174"/>
        <v>0</v>
      </c>
      <c r="G510" s="154">
        <f t="shared" si="170"/>
        <v>0</v>
      </c>
      <c r="H510" s="154">
        <f t="shared" si="171"/>
        <v>0</v>
      </c>
      <c r="I510" s="154">
        <f t="shared" si="172"/>
        <v>0</v>
      </c>
      <c r="J510" s="220"/>
    </row>
    <row r="511" spans="1:10">
      <c r="A511" s="155"/>
      <c r="B511" s="153">
        <v>506</v>
      </c>
      <c r="C511" s="153" t="s">
        <v>205</v>
      </c>
      <c r="D511" s="153"/>
      <c r="E511" s="154"/>
      <c r="F511" s="154">
        <f t="shared" si="174"/>
        <v>0</v>
      </c>
      <c r="G511" s="154">
        <f t="shared" si="170"/>
        <v>0</v>
      </c>
      <c r="H511" s="154">
        <f t="shared" si="171"/>
        <v>0</v>
      </c>
      <c r="I511" s="154">
        <f t="shared" si="172"/>
        <v>0</v>
      </c>
      <c r="J511" s="220"/>
    </row>
    <row r="512" spans="1:10">
      <c r="A512" s="155"/>
      <c r="B512" s="153">
        <v>507</v>
      </c>
      <c r="C512" s="153" t="s">
        <v>205</v>
      </c>
      <c r="D512" s="153"/>
      <c r="E512" s="154"/>
      <c r="F512" s="154">
        <f t="shared" si="174"/>
        <v>0</v>
      </c>
      <c r="G512" s="154">
        <f t="shared" si="170"/>
        <v>0</v>
      </c>
      <c r="H512" s="154">
        <f t="shared" si="171"/>
        <v>0</v>
      </c>
      <c r="I512" s="154">
        <f t="shared" si="172"/>
        <v>0</v>
      </c>
      <c r="J512" s="220"/>
    </row>
    <row r="513" spans="1:10">
      <c r="A513" s="155"/>
      <c r="B513" s="153">
        <v>508</v>
      </c>
      <c r="C513" s="153" t="s">
        <v>205</v>
      </c>
      <c r="D513" s="153"/>
      <c r="E513" s="154"/>
      <c r="F513" s="154">
        <f t="shared" si="174"/>
        <v>0</v>
      </c>
      <c r="G513" s="154">
        <f t="shared" si="170"/>
        <v>0</v>
      </c>
      <c r="H513" s="154">
        <f t="shared" si="171"/>
        <v>0</v>
      </c>
      <c r="I513" s="154">
        <f t="shared" si="172"/>
        <v>0</v>
      </c>
      <c r="J513" s="220"/>
    </row>
    <row r="514" spans="1:10">
      <c r="A514" s="155"/>
      <c r="B514" s="153">
        <v>509</v>
      </c>
      <c r="C514" s="153" t="s">
        <v>205</v>
      </c>
      <c r="D514" s="153"/>
      <c r="E514" s="154"/>
      <c r="F514" s="154">
        <f t="shared" si="174"/>
        <v>0</v>
      </c>
      <c r="G514" s="154">
        <f t="shared" si="170"/>
        <v>0</v>
      </c>
      <c r="H514" s="154">
        <f t="shared" si="171"/>
        <v>0</v>
      </c>
      <c r="I514" s="154">
        <f t="shared" si="172"/>
        <v>0</v>
      </c>
      <c r="J514" s="220"/>
    </row>
    <row r="515" spans="1:10">
      <c r="A515" s="155"/>
      <c r="B515" s="153">
        <v>510</v>
      </c>
      <c r="C515" s="153" t="s">
        <v>205</v>
      </c>
      <c r="D515" s="153"/>
      <c r="E515" s="154"/>
      <c r="F515" s="154">
        <f t="shared" si="174"/>
        <v>0</v>
      </c>
      <c r="G515" s="154">
        <f t="shared" si="170"/>
        <v>0</v>
      </c>
      <c r="H515" s="154">
        <f t="shared" si="171"/>
        <v>0</v>
      </c>
      <c r="I515" s="154">
        <f t="shared" si="172"/>
        <v>0</v>
      </c>
      <c r="J515" s="220"/>
    </row>
    <row r="516" spans="1:10">
      <c r="A516" s="155"/>
      <c r="B516" s="153">
        <v>511</v>
      </c>
      <c r="C516" s="153" t="s">
        <v>205</v>
      </c>
      <c r="D516" s="153"/>
      <c r="E516" s="154"/>
      <c r="F516" s="154">
        <f t="shared" si="174"/>
        <v>0</v>
      </c>
      <c r="G516" s="154">
        <f t="shared" si="170"/>
        <v>0</v>
      </c>
      <c r="H516" s="154">
        <f t="shared" si="171"/>
        <v>0</v>
      </c>
      <c r="I516" s="154">
        <f t="shared" si="172"/>
        <v>0</v>
      </c>
      <c r="J516" s="220"/>
    </row>
    <row r="517" spans="1:10">
      <c r="A517" s="155"/>
      <c r="B517" s="153">
        <v>512</v>
      </c>
      <c r="C517" s="153" t="s">
        <v>205</v>
      </c>
      <c r="D517" s="153"/>
      <c r="E517" s="154"/>
      <c r="F517" s="154">
        <f t="shared" si="174"/>
        <v>0</v>
      </c>
      <c r="G517" s="154">
        <f t="shared" si="170"/>
        <v>0</v>
      </c>
      <c r="H517" s="154">
        <f t="shared" si="171"/>
        <v>0</v>
      </c>
      <c r="I517" s="154">
        <f t="shared" si="172"/>
        <v>0</v>
      </c>
      <c r="J517" s="220"/>
    </row>
    <row r="518" spans="1:10">
      <c r="A518" s="155"/>
      <c r="B518" s="153">
        <v>513</v>
      </c>
      <c r="C518" s="153" t="s">
        <v>205</v>
      </c>
      <c r="D518" s="153"/>
      <c r="E518" s="154"/>
      <c r="F518" s="154">
        <f t="shared" si="174"/>
        <v>0</v>
      </c>
      <c r="G518" s="154">
        <f t="shared" ref="G518:G581" si="175">E518+F518</f>
        <v>0</v>
      </c>
      <c r="H518" s="154">
        <f t="shared" ref="H518:H581" si="176">ROUNDUP(($E518+F518)*1.1,2)</f>
        <v>0</v>
      </c>
      <c r="I518" s="154">
        <f t="shared" ref="I518:I581" si="177">IF($C$2="Inventory Cost",A518*G518,A518*H518)</f>
        <v>0</v>
      </c>
      <c r="J518" s="220"/>
    </row>
    <row r="519" spans="1:10">
      <c r="A519" s="155"/>
      <c r="B519" s="153">
        <v>514</v>
      </c>
      <c r="C519" s="153" t="s">
        <v>205</v>
      </c>
      <c r="D519" s="153"/>
      <c r="E519" s="154"/>
      <c r="F519" s="154">
        <f t="shared" si="174"/>
        <v>0</v>
      </c>
      <c r="G519" s="154">
        <f t="shared" si="175"/>
        <v>0</v>
      </c>
      <c r="H519" s="154">
        <f t="shared" si="176"/>
        <v>0</v>
      </c>
      <c r="I519" s="154">
        <f t="shared" si="177"/>
        <v>0</v>
      </c>
      <c r="J519" s="220"/>
    </row>
    <row r="520" spans="1:10">
      <c r="A520" s="155"/>
      <c r="B520" s="153">
        <v>515</v>
      </c>
      <c r="C520" s="153" t="s">
        <v>205</v>
      </c>
      <c r="D520" s="153"/>
      <c r="E520" s="154"/>
      <c r="F520" s="154">
        <f t="shared" si="174"/>
        <v>0</v>
      </c>
      <c r="G520" s="154">
        <f t="shared" si="175"/>
        <v>0</v>
      </c>
      <c r="H520" s="154">
        <f t="shared" si="176"/>
        <v>0</v>
      </c>
      <c r="I520" s="154">
        <f t="shared" si="177"/>
        <v>0</v>
      </c>
      <c r="J520" s="220"/>
    </row>
    <row r="521" spans="1:10">
      <c r="A521" s="155"/>
      <c r="B521" s="153">
        <v>516</v>
      </c>
      <c r="C521" s="153" t="s">
        <v>205</v>
      </c>
      <c r="D521" s="153"/>
      <c r="E521" s="154"/>
      <c r="F521" s="154">
        <f t="shared" si="174"/>
        <v>0</v>
      </c>
      <c r="G521" s="154">
        <f t="shared" si="175"/>
        <v>0</v>
      </c>
      <c r="H521" s="154">
        <f t="shared" si="176"/>
        <v>0</v>
      </c>
      <c r="I521" s="154">
        <f t="shared" si="177"/>
        <v>0</v>
      </c>
      <c r="J521" s="220"/>
    </row>
    <row r="522" spans="1:10">
      <c r="A522" s="155"/>
      <c r="B522" s="153">
        <v>517</v>
      </c>
      <c r="C522" s="153" t="s">
        <v>205</v>
      </c>
      <c r="D522" s="153"/>
      <c r="E522" s="154"/>
      <c r="F522" s="154">
        <f t="shared" si="174"/>
        <v>0</v>
      </c>
      <c r="G522" s="154">
        <f t="shared" si="175"/>
        <v>0</v>
      </c>
      <c r="H522" s="154">
        <f t="shared" si="176"/>
        <v>0</v>
      </c>
      <c r="I522" s="154">
        <f t="shared" si="177"/>
        <v>0</v>
      </c>
      <c r="J522" s="220"/>
    </row>
    <row r="523" spans="1:10">
      <c r="A523" s="155"/>
      <c r="B523" s="153">
        <v>518</v>
      </c>
      <c r="C523" s="153" t="s">
        <v>205</v>
      </c>
      <c r="D523" s="153"/>
      <c r="E523" s="154"/>
      <c r="F523" s="154">
        <f t="shared" si="174"/>
        <v>0</v>
      </c>
      <c r="G523" s="154">
        <f t="shared" si="175"/>
        <v>0</v>
      </c>
      <c r="H523" s="154">
        <f t="shared" si="176"/>
        <v>0</v>
      </c>
      <c r="I523" s="154">
        <f t="shared" si="177"/>
        <v>0</v>
      </c>
      <c r="J523" s="220"/>
    </row>
    <row r="524" spans="1:10">
      <c r="A524" s="155"/>
      <c r="B524" s="153">
        <v>519</v>
      </c>
      <c r="C524" s="153" t="s">
        <v>205</v>
      </c>
      <c r="D524" s="153"/>
      <c r="E524" s="154"/>
      <c r="F524" s="154">
        <f t="shared" si="174"/>
        <v>0</v>
      </c>
      <c r="G524" s="154">
        <f t="shared" si="175"/>
        <v>0</v>
      </c>
      <c r="H524" s="154">
        <f t="shared" si="176"/>
        <v>0</v>
      </c>
      <c r="I524" s="154">
        <f t="shared" si="177"/>
        <v>0</v>
      </c>
      <c r="J524" s="220"/>
    </row>
    <row r="525" spans="1:10">
      <c r="A525" s="155"/>
      <c r="B525" s="153">
        <v>520</v>
      </c>
      <c r="C525" s="153" t="s">
        <v>205</v>
      </c>
      <c r="D525" s="153"/>
      <c r="E525" s="154"/>
      <c r="F525" s="154">
        <f t="shared" si="174"/>
        <v>0</v>
      </c>
      <c r="G525" s="154">
        <f t="shared" si="175"/>
        <v>0</v>
      </c>
      <c r="H525" s="154">
        <f t="shared" si="176"/>
        <v>0</v>
      </c>
      <c r="I525" s="154">
        <f t="shared" si="177"/>
        <v>0</v>
      </c>
      <c r="J525" s="220"/>
    </row>
    <row r="526" spans="1:10">
      <c r="A526" s="155"/>
      <c r="B526" s="153">
        <v>521</v>
      </c>
      <c r="C526" s="153" t="s">
        <v>205</v>
      </c>
      <c r="D526" s="153"/>
      <c r="E526" s="154"/>
      <c r="F526" s="154">
        <f t="shared" si="174"/>
        <v>0</v>
      </c>
      <c r="G526" s="154">
        <f t="shared" si="175"/>
        <v>0</v>
      </c>
      <c r="H526" s="154">
        <f t="shared" si="176"/>
        <v>0</v>
      </c>
      <c r="I526" s="154">
        <f t="shared" si="177"/>
        <v>0</v>
      </c>
      <c r="J526" s="220"/>
    </row>
    <row r="527" spans="1:10">
      <c r="A527" s="155"/>
      <c r="B527" s="153">
        <v>522</v>
      </c>
      <c r="C527" s="153" t="s">
        <v>205</v>
      </c>
      <c r="D527" s="153"/>
      <c r="E527" s="154"/>
      <c r="F527" s="154">
        <f t="shared" si="174"/>
        <v>0</v>
      </c>
      <c r="G527" s="154">
        <f t="shared" si="175"/>
        <v>0</v>
      </c>
      <c r="H527" s="154">
        <f t="shared" si="176"/>
        <v>0</v>
      </c>
      <c r="I527" s="154">
        <f t="shared" si="177"/>
        <v>0</v>
      </c>
      <c r="J527" s="220"/>
    </row>
    <row r="528" spans="1:10">
      <c r="A528" s="155"/>
      <c r="B528" s="153">
        <v>523</v>
      </c>
      <c r="C528" s="153" t="s">
        <v>205</v>
      </c>
      <c r="D528" s="153"/>
      <c r="E528" s="154"/>
      <c r="F528" s="154">
        <f t="shared" si="174"/>
        <v>0</v>
      </c>
      <c r="G528" s="154">
        <f t="shared" si="175"/>
        <v>0</v>
      </c>
      <c r="H528" s="154">
        <f t="shared" si="176"/>
        <v>0</v>
      </c>
      <c r="I528" s="154">
        <f t="shared" si="177"/>
        <v>0</v>
      </c>
      <c r="J528" s="220"/>
    </row>
    <row r="529" spans="1:10">
      <c r="A529" s="155"/>
      <c r="B529" s="153">
        <v>524</v>
      </c>
      <c r="C529" s="153" t="s">
        <v>205</v>
      </c>
      <c r="D529" s="153"/>
      <c r="E529" s="154"/>
      <c r="F529" s="154">
        <f t="shared" si="174"/>
        <v>0</v>
      </c>
      <c r="G529" s="154">
        <f t="shared" si="175"/>
        <v>0</v>
      </c>
      <c r="H529" s="154">
        <f t="shared" si="176"/>
        <v>0</v>
      </c>
      <c r="I529" s="154">
        <f t="shared" si="177"/>
        <v>0</v>
      </c>
      <c r="J529" s="220"/>
    </row>
    <row r="530" spans="1:10">
      <c r="A530" s="155"/>
      <c r="B530" s="153">
        <v>525</v>
      </c>
      <c r="C530" s="153" t="s">
        <v>205</v>
      </c>
      <c r="D530" s="153"/>
      <c r="E530" s="154"/>
      <c r="F530" s="154">
        <f t="shared" si="174"/>
        <v>0</v>
      </c>
      <c r="G530" s="154">
        <f t="shared" si="175"/>
        <v>0</v>
      </c>
      <c r="H530" s="154">
        <f t="shared" si="176"/>
        <v>0</v>
      </c>
      <c r="I530" s="154">
        <f t="shared" si="177"/>
        <v>0</v>
      </c>
      <c r="J530" s="220"/>
    </row>
    <row r="531" spans="1:10">
      <c r="A531" s="155"/>
      <c r="B531" s="153">
        <v>526</v>
      </c>
      <c r="C531" s="153" t="s">
        <v>205</v>
      </c>
      <c r="D531" s="153"/>
      <c r="E531" s="154"/>
      <c r="F531" s="154">
        <f t="shared" si="174"/>
        <v>0</v>
      </c>
      <c r="G531" s="154">
        <f t="shared" si="175"/>
        <v>0</v>
      </c>
      <c r="H531" s="154">
        <f t="shared" si="176"/>
        <v>0</v>
      </c>
      <c r="I531" s="154">
        <f t="shared" si="177"/>
        <v>0</v>
      </c>
      <c r="J531" s="220"/>
    </row>
    <row r="532" spans="1:10">
      <c r="A532" s="155"/>
      <c r="B532" s="153">
        <v>527</v>
      </c>
      <c r="C532" s="153" t="s">
        <v>205</v>
      </c>
      <c r="D532" s="153"/>
      <c r="E532" s="154"/>
      <c r="F532" s="154">
        <f t="shared" si="174"/>
        <v>0</v>
      </c>
      <c r="G532" s="154">
        <f t="shared" si="175"/>
        <v>0</v>
      </c>
      <c r="H532" s="154">
        <f t="shared" si="176"/>
        <v>0</v>
      </c>
      <c r="I532" s="154">
        <f t="shared" si="177"/>
        <v>0</v>
      </c>
      <c r="J532" s="220"/>
    </row>
    <row r="533" spans="1:10">
      <c r="A533" s="155"/>
      <c r="B533" s="153">
        <v>528</v>
      </c>
      <c r="C533" s="153" t="s">
        <v>205</v>
      </c>
      <c r="D533" s="153"/>
      <c r="E533" s="154"/>
      <c r="F533" s="154">
        <f t="shared" si="174"/>
        <v>0</v>
      </c>
      <c r="G533" s="154">
        <f t="shared" si="175"/>
        <v>0</v>
      </c>
      <c r="H533" s="154">
        <f t="shared" si="176"/>
        <v>0</v>
      </c>
      <c r="I533" s="154">
        <f t="shared" si="177"/>
        <v>0</v>
      </c>
      <c r="J533" s="220"/>
    </row>
    <row r="534" spans="1:10">
      <c r="A534" s="155"/>
      <c r="B534" s="153">
        <v>529</v>
      </c>
      <c r="C534" s="153" t="s">
        <v>205</v>
      </c>
      <c r="D534" s="153"/>
      <c r="E534" s="154"/>
      <c r="F534" s="154">
        <f t="shared" si="174"/>
        <v>0</v>
      </c>
      <c r="G534" s="154">
        <f t="shared" si="175"/>
        <v>0</v>
      </c>
      <c r="H534" s="154">
        <f t="shared" si="176"/>
        <v>0</v>
      </c>
      <c r="I534" s="154">
        <f t="shared" si="177"/>
        <v>0</v>
      </c>
      <c r="J534" s="220"/>
    </row>
    <row r="535" spans="1:10">
      <c r="A535" s="155"/>
      <c r="B535" s="153">
        <v>530</v>
      </c>
      <c r="C535" s="153" t="s">
        <v>205</v>
      </c>
      <c r="D535" s="153"/>
      <c r="E535" s="154"/>
      <c r="F535" s="154">
        <f t="shared" si="174"/>
        <v>0</v>
      </c>
      <c r="G535" s="154">
        <f t="shared" si="175"/>
        <v>0</v>
      </c>
      <c r="H535" s="154">
        <f t="shared" si="176"/>
        <v>0</v>
      </c>
      <c r="I535" s="154">
        <f t="shared" si="177"/>
        <v>0</v>
      </c>
      <c r="J535" s="220"/>
    </row>
    <row r="536" spans="1:10">
      <c r="A536" s="155"/>
      <c r="B536" s="153">
        <v>531</v>
      </c>
      <c r="C536" s="153" t="s">
        <v>205</v>
      </c>
      <c r="D536" s="153"/>
      <c r="E536" s="154"/>
      <c r="F536" s="154">
        <f t="shared" si="174"/>
        <v>0</v>
      </c>
      <c r="G536" s="154">
        <f t="shared" si="175"/>
        <v>0</v>
      </c>
      <c r="H536" s="154">
        <f t="shared" si="176"/>
        <v>0</v>
      </c>
      <c r="I536" s="154">
        <f t="shared" si="177"/>
        <v>0</v>
      </c>
      <c r="J536" s="220"/>
    </row>
    <row r="537" spans="1:10">
      <c r="A537" s="155"/>
      <c r="B537" s="153">
        <v>532</v>
      </c>
      <c r="C537" s="153" t="s">
        <v>205</v>
      </c>
      <c r="D537" s="153"/>
      <c r="E537" s="154"/>
      <c r="F537" s="154">
        <f>ROUNDUP(E537*0.15,2)</f>
        <v>0</v>
      </c>
      <c r="G537" s="154">
        <f t="shared" si="175"/>
        <v>0</v>
      </c>
      <c r="H537" s="154">
        <f t="shared" si="176"/>
        <v>0</v>
      </c>
      <c r="I537" s="154">
        <f t="shared" si="177"/>
        <v>0</v>
      </c>
      <c r="J537" s="220"/>
    </row>
    <row r="538" spans="1:10">
      <c r="A538" s="155"/>
      <c r="B538" s="153">
        <v>533</v>
      </c>
      <c r="C538" s="153" t="s">
        <v>464</v>
      </c>
      <c r="D538" s="153" t="s">
        <v>228</v>
      </c>
      <c r="E538" s="154">
        <v>0.63</v>
      </c>
      <c r="F538" s="154">
        <f>ROUNDUP(E538*0.15,2)</f>
        <v>9.9999999999999992E-2</v>
      </c>
      <c r="G538" s="154">
        <f t="shared" si="175"/>
        <v>0.73</v>
      </c>
      <c r="H538" s="154">
        <f t="shared" si="176"/>
        <v>0.81</v>
      </c>
      <c r="I538" s="154">
        <f t="shared" si="177"/>
        <v>0</v>
      </c>
      <c r="J538" s="220"/>
    </row>
    <row r="539" spans="1:10">
      <c r="A539" s="155"/>
      <c r="B539" s="153">
        <v>534</v>
      </c>
      <c r="C539" s="153" t="s">
        <v>205</v>
      </c>
      <c r="D539" s="153"/>
      <c r="E539" s="154"/>
      <c r="F539" s="154">
        <f>ROUNDUP(E539*0.15,2)</f>
        <v>0</v>
      </c>
      <c r="G539" s="154">
        <f t="shared" si="175"/>
        <v>0</v>
      </c>
      <c r="H539" s="154">
        <f t="shared" si="176"/>
        <v>0</v>
      </c>
      <c r="I539" s="154">
        <f t="shared" si="177"/>
        <v>0</v>
      </c>
      <c r="J539" s="220"/>
    </row>
    <row r="540" spans="1:10">
      <c r="A540" s="155"/>
      <c r="B540" s="153">
        <v>535</v>
      </c>
      <c r="C540" s="153" t="s">
        <v>465</v>
      </c>
      <c r="D540" s="153" t="s">
        <v>460</v>
      </c>
      <c r="E540" s="154">
        <v>100</v>
      </c>
      <c r="F540" s="154">
        <f>ROUNDUP(E540*0.1,2)</f>
        <v>10</v>
      </c>
      <c r="G540" s="154">
        <f t="shared" si="175"/>
        <v>110</v>
      </c>
      <c r="H540" s="154">
        <f t="shared" si="176"/>
        <v>121</v>
      </c>
      <c r="I540" s="154">
        <f t="shared" si="177"/>
        <v>0</v>
      </c>
      <c r="J540" s="220"/>
    </row>
    <row r="541" spans="1:10">
      <c r="A541" s="155"/>
      <c r="B541" s="153">
        <v>536</v>
      </c>
      <c r="C541" s="153" t="s">
        <v>465</v>
      </c>
      <c r="D541" s="153" t="s">
        <v>246</v>
      </c>
      <c r="E541" s="154">
        <v>0.2</v>
      </c>
      <c r="F541" s="154">
        <f>ROUNDUP(E541*0.1,2)</f>
        <v>0.02</v>
      </c>
      <c r="G541" s="154">
        <f t="shared" si="175"/>
        <v>0.22</v>
      </c>
      <c r="H541" s="154">
        <f t="shared" si="176"/>
        <v>0.25</v>
      </c>
      <c r="I541" s="154">
        <f t="shared" si="177"/>
        <v>0</v>
      </c>
      <c r="J541" s="220"/>
    </row>
    <row r="542" spans="1:10">
      <c r="A542" s="155"/>
      <c r="B542" s="153">
        <v>537</v>
      </c>
      <c r="C542" s="153" t="s">
        <v>466</v>
      </c>
      <c r="D542" s="153" t="s">
        <v>460</v>
      </c>
      <c r="E542" s="154">
        <v>100</v>
      </c>
      <c r="F542" s="154">
        <f>ROUNDUP(E542*0.1,2)</f>
        <v>10</v>
      </c>
      <c r="G542" s="154">
        <f t="shared" si="175"/>
        <v>110</v>
      </c>
      <c r="H542" s="154">
        <f t="shared" si="176"/>
        <v>121</v>
      </c>
      <c r="I542" s="154">
        <f t="shared" si="177"/>
        <v>0</v>
      </c>
      <c r="J542" s="220"/>
    </row>
    <row r="543" spans="1:10">
      <c r="A543" s="155"/>
      <c r="B543" s="153">
        <v>538</v>
      </c>
      <c r="C543" s="153" t="s">
        <v>466</v>
      </c>
      <c r="D543" s="153" t="s">
        <v>246</v>
      </c>
      <c r="E543" s="154">
        <v>0.15</v>
      </c>
      <c r="F543" s="154">
        <f>ROUNDUP(E543*0.1,2)</f>
        <v>0.02</v>
      </c>
      <c r="G543" s="154">
        <f t="shared" si="175"/>
        <v>0.16999999999999998</v>
      </c>
      <c r="H543" s="154">
        <f t="shared" si="176"/>
        <v>0.19</v>
      </c>
      <c r="I543" s="154">
        <f t="shared" si="177"/>
        <v>0</v>
      </c>
      <c r="J543" s="220"/>
    </row>
    <row r="544" spans="1:10">
      <c r="A544" s="155"/>
      <c r="B544" s="153">
        <v>539</v>
      </c>
      <c r="C544" s="153" t="s">
        <v>205</v>
      </c>
      <c r="D544" s="153"/>
      <c r="E544" s="154"/>
      <c r="F544" s="154">
        <f t="shared" ref="F544:F607" si="178">ROUNDUP(E544*0.15,2)</f>
        <v>0</v>
      </c>
      <c r="G544" s="154">
        <f t="shared" si="175"/>
        <v>0</v>
      </c>
      <c r="H544" s="154">
        <f t="shared" si="176"/>
        <v>0</v>
      </c>
      <c r="I544" s="154">
        <f t="shared" si="177"/>
        <v>0</v>
      </c>
      <c r="J544" s="220"/>
    </row>
    <row r="545" spans="1:10">
      <c r="A545" s="155"/>
      <c r="B545" s="153">
        <v>540</v>
      </c>
      <c r="C545" s="153" t="s">
        <v>467</v>
      </c>
      <c r="D545" s="153" t="s">
        <v>228</v>
      </c>
      <c r="E545" s="154">
        <v>0.84</v>
      </c>
      <c r="F545" s="154">
        <f t="shared" si="178"/>
        <v>0.13</v>
      </c>
      <c r="G545" s="154">
        <f t="shared" si="175"/>
        <v>0.97</v>
      </c>
      <c r="H545" s="154">
        <f t="shared" si="176"/>
        <v>1.07</v>
      </c>
      <c r="I545" s="154">
        <f t="shared" si="177"/>
        <v>0</v>
      </c>
      <c r="J545" s="220"/>
    </row>
    <row r="546" spans="1:10">
      <c r="A546" s="155"/>
      <c r="B546" s="153">
        <v>541</v>
      </c>
      <c r="C546" s="153" t="s">
        <v>468</v>
      </c>
      <c r="D546" s="153" t="s">
        <v>228</v>
      </c>
      <c r="E546" s="154">
        <v>0.49</v>
      </c>
      <c r="F546" s="154">
        <f t="shared" si="178"/>
        <v>0.08</v>
      </c>
      <c r="G546" s="154">
        <f t="shared" si="175"/>
        <v>0.56999999999999995</v>
      </c>
      <c r="H546" s="154">
        <f t="shared" si="176"/>
        <v>0.63</v>
      </c>
      <c r="I546" s="154">
        <f t="shared" si="177"/>
        <v>0</v>
      </c>
      <c r="J546" s="220"/>
    </row>
    <row r="547" spans="1:10">
      <c r="A547" s="155"/>
      <c r="B547" s="153">
        <v>542</v>
      </c>
      <c r="C547" s="153" t="s">
        <v>205</v>
      </c>
      <c r="D547" s="153"/>
      <c r="E547" s="154"/>
      <c r="F547" s="154">
        <f t="shared" si="178"/>
        <v>0</v>
      </c>
      <c r="G547" s="154">
        <f t="shared" si="175"/>
        <v>0</v>
      </c>
      <c r="H547" s="154">
        <f t="shared" si="176"/>
        <v>0</v>
      </c>
      <c r="I547" s="154">
        <f t="shared" si="177"/>
        <v>0</v>
      </c>
      <c r="J547" s="220"/>
    </row>
    <row r="548" spans="1:10">
      <c r="A548" s="155"/>
      <c r="B548" s="153">
        <v>543</v>
      </c>
      <c r="C548" s="153" t="s">
        <v>469</v>
      </c>
      <c r="D548" s="153" t="s">
        <v>228</v>
      </c>
      <c r="E548" s="154">
        <v>0.28000000000000003</v>
      </c>
      <c r="F548" s="154">
        <f t="shared" si="178"/>
        <v>0.05</v>
      </c>
      <c r="G548" s="154">
        <f t="shared" si="175"/>
        <v>0.33</v>
      </c>
      <c r="H548" s="154">
        <f t="shared" si="176"/>
        <v>0.37</v>
      </c>
      <c r="I548" s="154">
        <f t="shared" si="177"/>
        <v>0</v>
      </c>
      <c r="J548" s="220"/>
    </row>
    <row r="549" spans="1:10">
      <c r="A549" s="155"/>
      <c r="B549" s="153">
        <v>544</v>
      </c>
      <c r="C549" s="153" t="s">
        <v>831</v>
      </c>
      <c r="D549" s="153" t="s">
        <v>228</v>
      </c>
      <c r="E549" s="154">
        <v>5.1100000000000003</v>
      </c>
      <c r="F549" s="154">
        <f t="shared" si="178"/>
        <v>0.77</v>
      </c>
      <c r="G549" s="154">
        <f t="shared" si="175"/>
        <v>5.8800000000000008</v>
      </c>
      <c r="H549" s="154">
        <f t="shared" si="176"/>
        <v>6.47</v>
      </c>
      <c r="I549" s="154">
        <f t="shared" si="177"/>
        <v>0</v>
      </c>
      <c r="J549" s="220">
        <v>44949</v>
      </c>
    </row>
    <row r="550" spans="1:10">
      <c r="A550" s="155"/>
      <c r="B550" s="153">
        <v>545</v>
      </c>
      <c r="C550" s="153" t="s">
        <v>832</v>
      </c>
      <c r="D550" s="153" t="s">
        <v>228</v>
      </c>
      <c r="E550" s="154">
        <v>4.79</v>
      </c>
      <c r="F550" s="154">
        <f t="shared" si="178"/>
        <v>0.72</v>
      </c>
      <c r="G550" s="154">
        <f t="shared" si="175"/>
        <v>5.51</v>
      </c>
      <c r="H550" s="154">
        <f t="shared" si="176"/>
        <v>6.0699999999999994</v>
      </c>
      <c r="I550" s="154">
        <f t="shared" si="177"/>
        <v>0</v>
      </c>
      <c r="J550" s="220">
        <v>44476</v>
      </c>
    </row>
    <row r="551" spans="1:10">
      <c r="A551" s="155"/>
      <c r="B551" s="153">
        <v>546</v>
      </c>
      <c r="C551" s="153" t="s">
        <v>470</v>
      </c>
      <c r="D551" s="153" t="s">
        <v>228</v>
      </c>
      <c r="E551" s="154">
        <v>21</v>
      </c>
      <c r="F551" s="154">
        <f t="shared" si="178"/>
        <v>3.15</v>
      </c>
      <c r="G551" s="154">
        <f t="shared" si="175"/>
        <v>24.15</v>
      </c>
      <c r="H551" s="154">
        <f t="shared" si="176"/>
        <v>26.57</v>
      </c>
      <c r="I551" s="154">
        <f t="shared" si="177"/>
        <v>0</v>
      </c>
      <c r="J551" s="220"/>
    </row>
    <row r="552" spans="1:10">
      <c r="A552" s="155"/>
      <c r="B552" s="153">
        <v>547</v>
      </c>
      <c r="C552" s="153" t="s">
        <v>471</v>
      </c>
      <c r="D552" s="153" t="s">
        <v>228</v>
      </c>
      <c r="E552" s="154">
        <v>0.19</v>
      </c>
      <c r="F552" s="154">
        <f t="shared" si="178"/>
        <v>0.03</v>
      </c>
      <c r="G552" s="154">
        <f t="shared" si="175"/>
        <v>0.22</v>
      </c>
      <c r="H552" s="154">
        <f t="shared" si="176"/>
        <v>0.25</v>
      </c>
      <c r="I552" s="154">
        <f t="shared" si="177"/>
        <v>0</v>
      </c>
      <c r="J552" s="220"/>
    </row>
    <row r="553" spans="1:10">
      <c r="A553" s="155"/>
      <c r="B553" s="153">
        <v>548</v>
      </c>
      <c r="C553" s="153" t="s">
        <v>833</v>
      </c>
      <c r="D553" s="153" t="s">
        <v>228</v>
      </c>
      <c r="E553" s="154">
        <v>39.86</v>
      </c>
      <c r="F553" s="154">
        <f t="shared" si="178"/>
        <v>5.9799999999999995</v>
      </c>
      <c r="G553" s="154">
        <f t="shared" si="175"/>
        <v>45.839999999999996</v>
      </c>
      <c r="H553" s="154">
        <f t="shared" si="176"/>
        <v>50.43</v>
      </c>
      <c r="I553" s="154">
        <f t="shared" si="177"/>
        <v>0</v>
      </c>
      <c r="J553" s="220">
        <v>44476</v>
      </c>
    </row>
    <row r="554" spans="1:10">
      <c r="A554" s="155"/>
      <c r="B554" s="153">
        <v>549</v>
      </c>
      <c r="C554" s="153" t="s">
        <v>834</v>
      </c>
      <c r="D554" s="153" t="s">
        <v>228</v>
      </c>
      <c r="E554" s="154">
        <v>81.349999999999994</v>
      </c>
      <c r="F554" s="154">
        <f t="shared" si="178"/>
        <v>12.209999999999999</v>
      </c>
      <c r="G554" s="154">
        <f t="shared" si="175"/>
        <v>93.559999999999988</v>
      </c>
      <c r="H554" s="154">
        <f t="shared" si="176"/>
        <v>102.92</v>
      </c>
      <c r="I554" s="154">
        <f t="shared" si="177"/>
        <v>0</v>
      </c>
      <c r="J554" s="220">
        <v>44476</v>
      </c>
    </row>
    <row r="555" spans="1:10">
      <c r="A555" s="155"/>
      <c r="B555" s="153">
        <v>550</v>
      </c>
      <c r="C555" s="153" t="s">
        <v>472</v>
      </c>
      <c r="D555" s="153" t="s">
        <v>228</v>
      </c>
      <c r="E555" s="154">
        <v>0.28000000000000003</v>
      </c>
      <c r="F555" s="154">
        <f t="shared" si="178"/>
        <v>0.05</v>
      </c>
      <c r="G555" s="154">
        <f t="shared" si="175"/>
        <v>0.33</v>
      </c>
      <c r="H555" s="154">
        <f t="shared" si="176"/>
        <v>0.37</v>
      </c>
      <c r="I555" s="154">
        <f t="shared" si="177"/>
        <v>0</v>
      </c>
      <c r="J555" s="220"/>
    </row>
    <row r="556" spans="1:10">
      <c r="A556" s="155"/>
      <c r="B556" s="153">
        <v>551</v>
      </c>
      <c r="C556" s="153" t="s">
        <v>835</v>
      </c>
      <c r="D556" s="153" t="s">
        <v>228</v>
      </c>
      <c r="E556" s="154">
        <v>9.9499999999999993</v>
      </c>
      <c r="F556" s="154">
        <f t="shared" si="178"/>
        <v>1.5</v>
      </c>
      <c r="G556" s="154">
        <f t="shared" si="175"/>
        <v>11.45</v>
      </c>
      <c r="H556" s="154">
        <f t="shared" si="176"/>
        <v>12.6</v>
      </c>
      <c r="I556" s="154">
        <f t="shared" si="177"/>
        <v>0</v>
      </c>
      <c r="J556" s="220"/>
    </row>
    <row r="557" spans="1:10">
      <c r="A557" s="155"/>
      <c r="B557" s="153">
        <v>552</v>
      </c>
      <c r="C557" s="153" t="s">
        <v>836</v>
      </c>
      <c r="D557" s="153" t="s">
        <v>228</v>
      </c>
      <c r="E557" s="154">
        <v>9.9499999999999993</v>
      </c>
      <c r="F557" s="154">
        <f t="shared" si="178"/>
        <v>1.5</v>
      </c>
      <c r="G557" s="154">
        <f t="shared" si="175"/>
        <v>11.45</v>
      </c>
      <c r="H557" s="154">
        <f t="shared" si="176"/>
        <v>12.6</v>
      </c>
      <c r="I557" s="154">
        <f t="shared" si="177"/>
        <v>0</v>
      </c>
      <c r="J557" s="220"/>
    </row>
    <row r="558" spans="1:10">
      <c r="A558" s="155"/>
      <c r="B558" s="153">
        <v>553</v>
      </c>
      <c r="C558" s="153" t="s">
        <v>837</v>
      </c>
      <c r="D558" s="153" t="s">
        <v>228</v>
      </c>
      <c r="E558" s="154">
        <v>11</v>
      </c>
      <c r="F558" s="154">
        <f t="shared" si="178"/>
        <v>1.65</v>
      </c>
      <c r="G558" s="154">
        <f t="shared" si="175"/>
        <v>12.65</v>
      </c>
      <c r="H558" s="154">
        <f t="shared" si="176"/>
        <v>13.92</v>
      </c>
      <c r="I558" s="154">
        <f t="shared" si="177"/>
        <v>0</v>
      </c>
      <c r="J558" s="220"/>
    </row>
    <row r="559" spans="1:10">
      <c r="A559" s="155"/>
      <c r="B559" s="153">
        <v>554</v>
      </c>
      <c r="C559" s="153" t="s">
        <v>766</v>
      </c>
      <c r="D559" s="153" t="s">
        <v>228</v>
      </c>
      <c r="E559" s="154">
        <v>2.02</v>
      </c>
      <c r="F559" s="154">
        <f t="shared" si="178"/>
        <v>0.31</v>
      </c>
      <c r="G559" s="154">
        <f t="shared" si="175"/>
        <v>2.33</v>
      </c>
      <c r="H559" s="154">
        <f t="shared" si="176"/>
        <v>2.57</v>
      </c>
      <c r="I559" s="154">
        <f t="shared" si="177"/>
        <v>0</v>
      </c>
      <c r="J559" s="220"/>
    </row>
    <row r="560" spans="1:10">
      <c r="A560" s="155"/>
      <c r="B560" s="153">
        <v>555</v>
      </c>
      <c r="C560" s="153" t="s">
        <v>838</v>
      </c>
      <c r="D560" s="153" t="s">
        <v>228</v>
      </c>
      <c r="E560" s="154">
        <v>16</v>
      </c>
      <c r="F560" s="154">
        <f t="shared" si="178"/>
        <v>2.4</v>
      </c>
      <c r="G560" s="154">
        <f t="shared" si="175"/>
        <v>18.399999999999999</v>
      </c>
      <c r="H560" s="154">
        <f t="shared" si="176"/>
        <v>20.239999999999998</v>
      </c>
      <c r="I560" s="154">
        <f t="shared" si="177"/>
        <v>0</v>
      </c>
      <c r="J560" s="220"/>
    </row>
    <row r="561" spans="1:10">
      <c r="A561" s="155"/>
      <c r="B561" s="153">
        <v>556</v>
      </c>
      <c r="C561" s="153" t="s">
        <v>839</v>
      </c>
      <c r="D561" s="153" t="s">
        <v>460</v>
      </c>
      <c r="E561" s="154">
        <v>7</v>
      </c>
      <c r="F561" s="154">
        <f t="shared" si="178"/>
        <v>1.05</v>
      </c>
      <c r="G561" s="154">
        <f t="shared" si="175"/>
        <v>8.0500000000000007</v>
      </c>
      <c r="H561" s="154">
        <f t="shared" si="176"/>
        <v>8.86</v>
      </c>
      <c r="I561" s="154">
        <f t="shared" si="177"/>
        <v>0</v>
      </c>
      <c r="J561" s="220"/>
    </row>
    <row r="562" spans="1:10">
      <c r="A562" s="155"/>
      <c r="B562" s="153">
        <v>557</v>
      </c>
      <c r="C562" s="153" t="s">
        <v>473</v>
      </c>
      <c r="D562" s="153" t="s">
        <v>196</v>
      </c>
      <c r="E562" s="154">
        <v>0.63</v>
      </c>
      <c r="F562" s="154">
        <f t="shared" si="178"/>
        <v>9.9999999999999992E-2</v>
      </c>
      <c r="G562" s="154">
        <f t="shared" si="175"/>
        <v>0.73</v>
      </c>
      <c r="H562" s="154">
        <f t="shared" si="176"/>
        <v>0.81</v>
      </c>
      <c r="I562" s="154">
        <f t="shared" si="177"/>
        <v>0</v>
      </c>
      <c r="J562" s="220"/>
    </row>
    <row r="563" spans="1:10">
      <c r="A563" s="155"/>
      <c r="B563" s="153">
        <v>558</v>
      </c>
      <c r="C563" s="153" t="s">
        <v>474</v>
      </c>
      <c r="D563" s="153" t="s">
        <v>196</v>
      </c>
      <c r="E563" s="154">
        <v>0.71</v>
      </c>
      <c r="F563" s="154">
        <f t="shared" si="178"/>
        <v>0.11</v>
      </c>
      <c r="G563" s="154">
        <f t="shared" si="175"/>
        <v>0.82</v>
      </c>
      <c r="H563" s="154">
        <f t="shared" si="176"/>
        <v>0.91</v>
      </c>
      <c r="I563" s="154">
        <f t="shared" si="177"/>
        <v>0</v>
      </c>
      <c r="J563" s="220"/>
    </row>
    <row r="564" spans="1:10">
      <c r="A564" s="155"/>
      <c r="B564" s="153">
        <v>559</v>
      </c>
      <c r="C564" s="153" t="s">
        <v>475</v>
      </c>
      <c r="D564" s="153" t="s">
        <v>196</v>
      </c>
      <c r="E564" s="154">
        <v>0.59</v>
      </c>
      <c r="F564" s="154">
        <f t="shared" si="178"/>
        <v>0.09</v>
      </c>
      <c r="G564" s="154">
        <f t="shared" si="175"/>
        <v>0.67999999999999994</v>
      </c>
      <c r="H564" s="154">
        <f t="shared" si="176"/>
        <v>0.75</v>
      </c>
      <c r="I564" s="154">
        <f t="shared" si="177"/>
        <v>0</v>
      </c>
      <c r="J564" s="220"/>
    </row>
    <row r="565" spans="1:10">
      <c r="A565" s="155"/>
      <c r="B565" s="153">
        <v>560</v>
      </c>
      <c r="C565" s="153" t="s">
        <v>476</v>
      </c>
      <c r="D565" s="153" t="s">
        <v>228</v>
      </c>
      <c r="E565" s="154"/>
      <c r="F565" s="154">
        <f t="shared" si="178"/>
        <v>0</v>
      </c>
      <c r="G565" s="154">
        <f t="shared" si="175"/>
        <v>0</v>
      </c>
      <c r="H565" s="154">
        <f t="shared" si="176"/>
        <v>0</v>
      </c>
      <c r="I565" s="154">
        <f t="shared" si="177"/>
        <v>0</v>
      </c>
      <c r="J565" s="220"/>
    </row>
    <row r="566" spans="1:10">
      <c r="A566" s="155"/>
      <c r="B566" s="153">
        <v>561</v>
      </c>
      <c r="C566" s="153" t="s">
        <v>477</v>
      </c>
      <c r="D566" s="153" t="s">
        <v>228</v>
      </c>
      <c r="E566" s="154">
        <v>0.02</v>
      </c>
      <c r="F566" s="154">
        <f t="shared" si="178"/>
        <v>0.01</v>
      </c>
      <c r="G566" s="154">
        <f t="shared" si="175"/>
        <v>0.03</v>
      </c>
      <c r="H566" s="154">
        <f t="shared" si="176"/>
        <v>0.04</v>
      </c>
      <c r="I566" s="154">
        <f t="shared" si="177"/>
        <v>0</v>
      </c>
      <c r="J566" s="220">
        <v>44949</v>
      </c>
    </row>
    <row r="567" spans="1:10">
      <c r="A567" s="155"/>
      <c r="B567" s="153">
        <v>562</v>
      </c>
      <c r="C567" s="153" t="s">
        <v>478</v>
      </c>
      <c r="D567" s="153" t="s">
        <v>228</v>
      </c>
      <c r="E567" s="154">
        <v>0.03</v>
      </c>
      <c r="F567" s="154">
        <f t="shared" si="178"/>
        <v>0.01</v>
      </c>
      <c r="G567" s="154">
        <f t="shared" si="175"/>
        <v>0.04</v>
      </c>
      <c r="H567" s="154">
        <f t="shared" si="176"/>
        <v>0.05</v>
      </c>
      <c r="I567" s="154">
        <f t="shared" si="177"/>
        <v>0</v>
      </c>
      <c r="J567" s="220">
        <v>44949</v>
      </c>
    </row>
    <row r="568" spans="1:10">
      <c r="A568" s="155"/>
      <c r="B568" s="153">
        <v>563</v>
      </c>
      <c r="C568" s="153" t="s">
        <v>479</v>
      </c>
      <c r="D568" s="153" t="s">
        <v>228</v>
      </c>
      <c r="E568" s="154">
        <v>0.04</v>
      </c>
      <c r="F568" s="154">
        <f t="shared" si="178"/>
        <v>0.01</v>
      </c>
      <c r="G568" s="154">
        <f t="shared" si="175"/>
        <v>0.05</v>
      </c>
      <c r="H568" s="154">
        <f t="shared" si="176"/>
        <v>6.0000000000000005E-2</v>
      </c>
      <c r="I568" s="154">
        <f t="shared" si="177"/>
        <v>0</v>
      </c>
      <c r="J568" s="220">
        <v>44949</v>
      </c>
    </row>
    <row r="569" spans="1:10">
      <c r="A569" s="155"/>
      <c r="B569" s="153">
        <v>564</v>
      </c>
      <c r="C569" s="153" t="s">
        <v>480</v>
      </c>
      <c r="D569" s="153" t="s">
        <v>228</v>
      </c>
      <c r="E569" s="154">
        <v>0.12</v>
      </c>
      <c r="F569" s="154">
        <f t="shared" si="178"/>
        <v>0.02</v>
      </c>
      <c r="G569" s="154">
        <f t="shared" si="175"/>
        <v>0.13999999999999999</v>
      </c>
      <c r="H569" s="154">
        <f t="shared" si="176"/>
        <v>0.16</v>
      </c>
      <c r="I569" s="154">
        <f t="shared" si="177"/>
        <v>0</v>
      </c>
      <c r="J569" s="220">
        <v>44949</v>
      </c>
    </row>
    <row r="570" spans="1:10">
      <c r="A570" s="155"/>
      <c r="B570" s="153">
        <v>565</v>
      </c>
      <c r="C570" s="153" t="s">
        <v>481</v>
      </c>
      <c r="D570" s="153" t="s">
        <v>228</v>
      </c>
      <c r="E570" s="154">
        <v>0.2</v>
      </c>
      <c r="F570" s="154">
        <f t="shared" si="178"/>
        <v>0.03</v>
      </c>
      <c r="G570" s="154">
        <f t="shared" si="175"/>
        <v>0.23</v>
      </c>
      <c r="H570" s="154">
        <f t="shared" si="176"/>
        <v>0.26</v>
      </c>
      <c r="I570" s="154">
        <f t="shared" si="177"/>
        <v>0</v>
      </c>
      <c r="J570" s="220">
        <v>44949</v>
      </c>
    </row>
    <row r="571" spans="1:10">
      <c r="A571" s="155"/>
      <c r="B571" s="153">
        <v>566</v>
      </c>
      <c r="C571" s="153" t="s">
        <v>482</v>
      </c>
      <c r="D571" s="153" t="s">
        <v>228</v>
      </c>
      <c r="E571" s="154">
        <v>0.31</v>
      </c>
      <c r="F571" s="154">
        <f t="shared" si="178"/>
        <v>0.05</v>
      </c>
      <c r="G571" s="154">
        <f t="shared" si="175"/>
        <v>0.36</v>
      </c>
      <c r="H571" s="154">
        <f t="shared" si="176"/>
        <v>0.4</v>
      </c>
      <c r="I571" s="154">
        <f t="shared" si="177"/>
        <v>0</v>
      </c>
      <c r="J571" s="220">
        <v>44949</v>
      </c>
    </row>
    <row r="572" spans="1:10">
      <c r="A572" s="155"/>
      <c r="B572" s="153">
        <v>567</v>
      </c>
      <c r="C572" s="153" t="s">
        <v>483</v>
      </c>
      <c r="D572" s="153" t="s">
        <v>228</v>
      </c>
      <c r="E572" s="154">
        <v>0.08</v>
      </c>
      <c r="F572" s="154">
        <f t="shared" si="178"/>
        <v>0.02</v>
      </c>
      <c r="G572" s="154">
        <f t="shared" si="175"/>
        <v>0.1</v>
      </c>
      <c r="H572" s="154">
        <f t="shared" si="176"/>
        <v>0.11</v>
      </c>
      <c r="I572" s="154">
        <f t="shared" si="177"/>
        <v>0</v>
      </c>
      <c r="J572" s="220">
        <v>46066</v>
      </c>
    </row>
    <row r="573" spans="1:10">
      <c r="A573" s="155"/>
      <c r="B573" s="153">
        <v>568</v>
      </c>
      <c r="C573" s="153" t="s">
        <v>484</v>
      </c>
      <c r="D573" s="153" t="s">
        <v>228</v>
      </c>
      <c r="E573" s="154">
        <v>0.11</v>
      </c>
      <c r="F573" s="154">
        <f t="shared" si="178"/>
        <v>0.02</v>
      </c>
      <c r="G573" s="154">
        <f t="shared" si="175"/>
        <v>0.13</v>
      </c>
      <c r="H573" s="154">
        <f t="shared" si="176"/>
        <v>0.15000000000000002</v>
      </c>
      <c r="I573" s="154">
        <f t="shared" si="177"/>
        <v>0</v>
      </c>
      <c r="J573" s="220">
        <v>46066</v>
      </c>
    </row>
    <row r="574" spans="1:10">
      <c r="A574" s="155"/>
      <c r="B574" s="153">
        <v>569</v>
      </c>
      <c r="C574" s="153" t="s">
        <v>485</v>
      </c>
      <c r="D574" s="153" t="s">
        <v>228</v>
      </c>
      <c r="E574" s="154">
        <v>0.15</v>
      </c>
      <c r="F574" s="154">
        <f t="shared" si="178"/>
        <v>0.03</v>
      </c>
      <c r="G574" s="154">
        <f t="shared" si="175"/>
        <v>0.18</v>
      </c>
      <c r="H574" s="154">
        <f t="shared" si="176"/>
        <v>0.2</v>
      </c>
      <c r="I574" s="154">
        <f t="shared" si="177"/>
        <v>0</v>
      </c>
      <c r="J574" s="220">
        <v>46066</v>
      </c>
    </row>
    <row r="575" spans="1:10">
      <c r="A575" s="155"/>
      <c r="B575" s="153">
        <v>570</v>
      </c>
      <c r="C575" s="153" t="s">
        <v>486</v>
      </c>
      <c r="D575" s="153" t="s">
        <v>228</v>
      </c>
      <c r="E575" s="154">
        <v>0.28000000000000003</v>
      </c>
      <c r="F575" s="154">
        <f t="shared" si="178"/>
        <v>0.05</v>
      </c>
      <c r="G575" s="154">
        <f t="shared" si="175"/>
        <v>0.33</v>
      </c>
      <c r="H575" s="154">
        <f t="shared" si="176"/>
        <v>0.37</v>
      </c>
      <c r="I575" s="154">
        <f t="shared" si="177"/>
        <v>0</v>
      </c>
      <c r="J575" s="220">
        <v>46066</v>
      </c>
    </row>
    <row r="576" spans="1:10">
      <c r="A576" s="155"/>
      <c r="B576" s="153">
        <v>571</v>
      </c>
      <c r="C576" s="153" t="s">
        <v>487</v>
      </c>
      <c r="D576" s="153" t="s">
        <v>228</v>
      </c>
      <c r="E576" s="154">
        <v>5.89</v>
      </c>
      <c r="F576" s="154">
        <f t="shared" si="178"/>
        <v>0.89</v>
      </c>
      <c r="G576" s="154">
        <f t="shared" si="175"/>
        <v>6.7799999999999994</v>
      </c>
      <c r="H576" s="154">
        <f t="shared" si="176"/>
        <v>7.46</v>
      </c>
      <c r="I576" s="154">
        <f t="shared" si="177"/>
        <v>0</v>
      </c>
      <c r="J576" s="220">
        <v>44476</v>
      </c>
    </row>
    <row r="577" spans="1:10">
      <c r="A577" s="155"/>
      <c r="B577" s="153">
        <v>572</v>
      </c>
      <c r="C577" s="153" t="s">
        <v>205</v>
      </c>
      <c r="D577" s="153"/>
      <c r="E577" s="154"/>
      <c r="F577" s="154">
        <f t="shared" si="178"/>
        <v>0</v>
      </c>
      <c r="G577" s="154">
        <f t="shared" si="175"/>
        <v>0</v>
      </c>
      <c r="H577" s="154">
        <f t="shared" si="176"/>
        <v>0</v>
      </c>
      <c r="I577" s="154">
        <f t="shared" si="177"/>
        <v>0</v>
      </c>
      <c r="J577" s="220"/>
    </row>
    <row r="578" spans="1:10">
      <c r="A578" s="155"/>
      <c r="B578" s="153">
        <v>573</v>
      </c>
      <c r="C578" s="153" t="s">
        <v>767</v>
      </c>
      <c r="D578" s="153" t="s">
        <v>228</v>
      </c>
      <c r="E578" s="154">
        <v>4.78</v>
      </c>
      <c r="F578" s="154">
        <f t="shared" si="178"/>
        <v>0.72</v>
      </c>
      <c r="G578" s="154">
        <f t="shared" si="175"/>
        <v>5.5</v>
      </c>
      <c r="H578" s="154">
        <f t="shared" si="176"/>
        <v>6.05</v>
      </c>
      <c r="I578" s="154">
        <f t="shared" si="177"/>
        <v>0</v>
      </c>
      <c r="J578" s="220"/>
    </row>
    <row r="579" spans="1:10">
      <c r="A579" s="155"/>
      <c r="B579" s="153">
        <v>574</v>
      </c>
      <c r="C579" s="153" t="s">
        <v>205</v>
      </c>
      <c r="D579" s="153"/>
      <c r="E579" s="154"/>
      <c r="F579" s="154">
        <f t="shared" si="178"/>
        <v>0</v>
      </c>
      <c r="G579" s="154">
        <f t="shared" si="175"/>
        <v>0</v>
      </c>
      <c r="H579" s="154">
        <f t="shared" si="176"/>
        <v>0</v>
      </c>
      <c r="I579" s="154">
        <f t="shared" si="177"/>
        <v>0</v>
      </c>
      <c r="J579" s="220"/>
    </row>
    <row r="580" spans="1:10">
      <c r="A580" s="155"/>
      <c r="B580" s="153">
        <v>575</v>
      </c>
      <c r="C580" s="153" t="s">
        <v>488</v>
      </c>
      <c r="D580" s="153" t="s">
        <v>228</v>
      </c>
      <c r="E580" s="154">
        <v>0.37</v>
      </c>
      <c r="F580" s="154">
        <f t="shared" si="178"/>
        <v>6.0000000000000005E-2</v>
      </c>
      <c r="G580" s="154">
        <f t="shared" si="175"/>
        <v>0.43</v>
      </c>
      <c r="H580" s="154">
        <f t="shared" si="176"/>
        <v>0.48</v>
      </c>
      <c r="I580" s="154">
        <f t="shared" si="177"/>
        <v>0</v>
      </c>
      <c r="J580" s="220">
        <v>46066</v>
      </c>
    </row>
    <row r="581" spans="1:10">
      <c r="A581" s="155"/>
      <c r="B581" s="153">
        <v>576</v>
      </c>
      <c r="C581" s="153" t="s">
        <v>489</v>
      </c>
      <c r="D581" s="153" t="s">
        <v>246</v>
      </c>
      <c r="E581" s="154">
        <v>0.53</v>
      </c>
      <c r="F581" s="154">
        <f t="shared" si="178"/>
        <v>0.08</v>
      </c>
      <c r="G581" s="154">
        <f t="shared" si="175"/>
        <v>0.61</v>
      </c>
      <c r="H581" s="154">
        <f t="shared" si="176"/>
        <v>0.68</v>
      </c>
      <c r="I581" s="154">
        <f t="shared" si="177"/>
        <v>0</v>
      </c>
      <c r="J581" s="220"/>
    </row>
    <row r="582" spans="1:10">
      <c r="A582" s="155"/>
      <c r="B582" s="153">
        <v>577</v>
      </c>
      <c r="C582" s="153" t="s">
        <v>490</v>
      </c>
      <c r="D582" s="153" t="s">
        <v>246</v>
      </c>
      <c r="E582" s="154">
        <v>1.31</v>
      </c>
      <c r="F582" s="154">
        <f t="shared" si="178"/>
        <v>0.2</v>
      </c>
      <c r="G582" s="154">
        <f t="shared" ref="G582:G645" si="179">E582+F582</f>
        <v>1.51</v>
      </c>
      <c r="H582" s="154">
        <f t="shared" ref="H582:H645" si="180">ROUNDUP(($E582+F582)*1.1,2)</f>
        <v>1.67</v>
      </c>
      <c r="I582" s="154">
        <f t="shared" ref="I582:I645" si="181">IF($C$2="Inventory Cost",A582*G582,A582*H582)</f>
        <v>0</v>
      </c>
      <c r="J582" s="220"/>
    </row>
    <row r="583" spans="1:10">
      <c r="A583" s="155"/>
      <c r="B583" s="153">
        <v>578</v>
      </c>
      <c r="C583" s="153" t="s">
        <v>205</v>
      </c>
      <c r="D583" s="153"/>
      <c r="E583" s="154"/>
      <c r="F583" s="154">
        <f t="shared" si="178"/>
        <v>0</v>
      </c>
      <c r="G583" s="154">
        <f t="shared" si="179"/>
        <v>0</v>
      </c>
      <c r="H583" s="154">
        <f t="shared" si="180"/>
        <v>0</v>
      </c>
      <c r="I583" s="154">
        <f t="shared" si="181"/>
        <v>0</v>
      </c>
      <c r="J583" s="220"/>
    </row>
    <row r="584" spans="1:10">
      <c r="A584" s="155"/>
      <c r="B584" s="153">
        <v>579</v>
      </c>
      <c r="C584" s="153" t="s">
        <v>205</v>
      </c>
      <c r="D584" s="153"/>
      <c r="E584" s="154"/>
      <c r="F584" s="154">
        <f t="shared" si="178"/>
        <v>0</v>
      </c>
      <c r="G584" s="154">
        <f t="shared" si="179"/>
        <v>0</v>
      </c>
      <c r="H584" s="154">
        <f t="shared" si="180"/>
        <v>0</v>
      </c>
      <c r="I584" s="154">
        <f t="shared" si="181"/>
        <v>0</v>
      </c>
      <c r="J584" s="220"/>
    </row>
    <row r="585" spans="1:10">
      <c r="A585" s="155"/>
      <c r="B585" s="153">
        <v>580</v>
      </c>
      <c r="C585" s="153" t="s">
        <v>205</v>
      </c>
      <c r="D585" s="153"/>
      <c r="E585" s="154"/>
      <c r="F585" s="154">
        <f t="shared" si="178"/>
        <v>0</v>
      </c>
      <c r="G585" s="154">
        <f t="shared" si="179"/>
        <v>0</v>
      </c>
      <c r="H585" s="154">
        <f t="shared" si="180"/>
        <v>0</v>
      </c>
      <c r="I585" s="154">
        <f t="shared" si="181"/>
        <v>0</v>
      </c>
      <c r="J585" s="220"/>
    </row>
    <row r="586" spans="1:10">
      <c r="A586" s="155"/>
      <c r="B586" s="153">
        <v>581</v>
      </c>
      <c r="C586" s="153" t="s">
        <v>205</v>
      </c>
      <c r="D586" s="153"/>
      <c r="E586" s="154"/>
      <c r="F586" s="154">
        <f t="shared" si="178"/>
        <v>0</v>
      </c>
      <c r="G586" s="154">
        <f t="shared" si="179"/>
        <v>0</v>
      </c>
      <c r="H586" s="154">
        <f t="shared" si="180"/>
        <v>0</v>
      </c>
      <c r="I586" s="154">
        <f t="shared" si="181"/>
        <v>0</v>
      </c>
      <c r="J586" s="220"/>
    </row>
    <row r="587" spans="1:10">
      <c r="A587" s="155"/>
      <c r="B587" s="153">
        <v>582</v>
      </c>
      <c r="C587" s="153" t="s">
        <v>205</v>
      </c>
      <c r="D587" s="153"/>
      <c r="E587" s="154"/>
      <c r="F587" s="154">
        <f t="shared" si="178"/>
        <v>0</v>
      </c>
      <c r="G587" s="154">
        <f t="shared" si="179"/>
        <v>0</v>
      </c>
      <c r="H587" s="154">
        <f t="shared" si="180"/>
        <v>0</v>
      </c>
      <c r="I587" s="154">
        <f t="shared" si="181"/>
        <v>0</v>
      </c>
      <c r="J587" s="220"/>
    </row>
    <row r="588" spans="1:10">
      <c r="A588" s="155"/>
      <c r="B588" s="153">
        <v>583</v>
      </c>
      <c r="C588" s="153" t="s">
        <v>491</v>
      </c>
      <c r="D588" s="153" t="s">
        <v>246</v>
      </c>
      <c r="E588" s="154">
        <v>1.99</v>
      </c>
      <c r="F588" s="154">
        <f t="shared" si="178"/>
        <v>0.3</v>
      </c>
      <c r="G588" s="154">
        <f t="shared" si="179"/>
        <v>2.29</v>
      </c>
      <c r="H588" s="154">
        <f t="shared" si="180"/>
        <v>2.5199999999999996</v>
      </c>
      <c r="I588" s="154">
        <f t="shared" si="181"/>
        <v>0</v>
      </c>
      <c r="J588" s="220">
        <v>44949</v>
      </c>
    </row>
    <row r="589" spans="1:10">
      <c r="A589" s="155"/>
      <c r="B589" s="153">
        <v>584</v>
      </c>
      <c r="C589" s="153" t="s">
        <v>492</v>
      </c>
      <c r="D589" s="153" t="s">
        <v>246</v>
      </c>
      <c r="E589" s="154">
        <v>2.87</v>
      </c>
      <c r="F589" s="154">
        <f t="shared" si="178"/>
        <v>0.44</v>
      </c>
      <c r="G589" s="154">
        <f t="shared" si="179"/>
        <v>3.31</v>
      </c>
      <c r="H589" s="154">
        <f t="shared" si="180"/>
        <v>3.65</v>
      </c>
      <c r="I589" s="154">
        <f t="shared" si="181"/>
        <v>0</v>
      </c>
      <c r="J589" s="220">
        <v>46066</v>
      </c>
    </row>
    <row r="590" spans="1:10">
      <c r="A590" s="155"/>
      <c r="B590" s="153">
        <v>585</v>
      </c>
      <c r="C590" s="153" t="s">
        <v>493</v>
      </c>
      <c r="D590" s="153" t="s">
        <v>246</v>
      </c>
      <c r="E590" s="154">
        <v>3.29</v>
      </c>
      <c r="F590" s="154">
        <f t="shared" si="178"/>
        <v>0.5</v>
      </c>
      <c r="G590" s="154">
        <f t="shared" si="179"/>
        <v>3.79</v>
      </c>
      <c r="H590" s="154">
        <f t="shared" si="180"/>
        <v>4.17</v>
      </c>
      <c r="I590" s="154">
        <f t="shared" si="181"/>
        <v>0</v>
      </c>
      <c r="J590" s="220">
        <v>46066</v>
      </c>
    </row>
    <row r="591" spans="1:10">
      <c r="A591" s="155"/>
      <c r="B591" s="153">
        <v>586</v>
      </c>
      <c r="C591" s="153" t="s">
        <v>494</v>
      </c>
      <c r="D591" s="153" t="s">
        <v>246</v>
      </c>
      <c r="E591" s="154">
        <v>3.54</v>
      </c>
      <c r="F591" s="154">
        <f t="shared" si="178"/>
        <v>0.54</v>
      </c>
      <c r="G591" s="154">
        <f t="shared" si="179"/>
        <v>4.08</v>
      </c>
      <c r="H591" s="154">
        <f t="shared" si="180"/>
        <v>4.49</v>
      </c>
      <c r="I591" s="154">
        <f t="shared" si="181"/>
        <v>0</v>
      </c>
      <c r="J591" s="220">
        <v>46066</v>
      </c>
    </row>
    <row r="592" spans="1:10">
      <c r="A592" s="155"/>
      <c r="B592" s="153">
        <v>587</v>
      </c>
      <c r="C592" s="153" t="s">
        <v>495</v>
      </c>
      <c r="D592" s="153" t="s">
        <v>246</v>
      </c>
      <c r="E592" s="154">
        <v>4.0999999999999996</v>
      </c>
      <c r="F592" s="154">
        <f t="shared" si="178"/>
        <v>0.62</v>
      </c>
      <c r="G592" s="154">
        <f t="shared" si="179"/>
        <v>4.72</v>
      </c>
      <c r="H592" s="154">
        <f t="shared" si="180"/>
        <v>5.2</v>
      </c>
      <c r="I592" s="154">
        <f t="shared" si="181"/>
        <v>0</v>
      </c>
      <c r="J592" s="220">
        <v>46066</v>
      </c>
    </row>
    <row r="593" spans="1:10">
      <c r="A593" s="155"/>
      <c r="B593" s="153">
        <v>588</v>
      </c>
      <c r="C593" s="153" t="s">
        <v>496</v>
      </c>
      <c r="D593" s="153" t="s">
        <v>246</v>
      </c>
      <c r="E593" s="154">
        <v>4.72</v>
      </c>
      <c r="F593" s="154">
        <f t="shared" si="178"/>
        <v>0.71</v>
      </c>
      <c r="G593" s="154">
        <f t="shared" si="179"/>
        <v>5.43</v>
      </c>
      <c r="H593" s="154">
        <f t="shared" si="180"/>
        <v>5.9799999999999995</v>
      </c>
      <c r="I593" s="154">
        <f t="shared" si="181"/>
        <v>0</v>
      </c>
      <c r="J593" s="220">
        <v>46066</v>
      </c>
    </row>
    <row r="594" spans="1:10">
      <c r="A594" s="155"/>
      <c r="B594" s="153">
        <v>589</v>
      </c>
      <c r="C594" s="153" t="s">
        <v>497</v>
      </c>
      <c r="D594" s="153" t="s">
        <v>246</v>
      </c>
      <c r="E594" s="154">
        <v>5.53</v>
      </c>
      <c r="F594" s="154">
        <f t="shared" si="178"/>
        <v>0.83</v>
      </c>
      <c r="G594" s="154">
        <f t="shared" si="179"/>
        <v>6.36</v>
      </c>
      <c r="H594" s="154">
        <f t="shared" si="180"/>
        <v>7</v>
      </c>
      <c r="I594" s="154">
        <f t="shared" si="181"/>
        <v>0</v>
      </c>
      <c r="J594" s="220">
        <v>46066</v>
      </c>
    </row>
    <row r="595" spans="1:10">
      <c r="A595" s="155"/>
      <c r="B595" s="153">
        <v>590</v>
      </c>
      <c r="C595" s="153" t="s">
        <v>498</v>
      </c>
      <c r="D595" s="153" t="s">
        <v>246</v>
      </c>
      <c r="E595" s="154">
        <v>5.76</v>
      </c>
      <c r="F595" s="154">
        <f t="shared" si="178"/>
        <v>0.87</v>
      </c>
      <c r="G595" s="154">
        <f t="shared" si="179"/>
        <v>6.63</v>
      </c>
      <c r="H595" s="154">
        <f t="shared" si="180"/>
        <v>7.3</v>
      </c>
      <c r="I595" s="154">
        <f t="shared" si="181"/>
        <v>0</v>
      </c>
      <c r="J595" s="220">
        <v>46066</v>
      </c>
    </row>
    <row r="596" spans="1:10">
      <c r="A596" s="155"/>
      <c r="B596" s="153">
        <v>591</v>
      </c>
      <c r="C596" s="153" t="s">
        <v>499</v>
      </c>
      <c r="D596" s="153" t="s">
        <v>246</v>
      </c>
      <c r="E596" s="154">
        <v>6.81</v>
      </c>
      <c r="F596" s="154">
        <f t="shared" si="178"/>
        <v>1.03</v>
      </c>
      <c r="G596" s="154">
        <f t="shared" si="179"/>
        <v>7.84</v>
      </c>
      <c r="H596" s="154">
        <f t="shared" si="180"/>
        <v>8.629999999999999</v>
      </c>
      <c r="I596" s="154">
        <f t="shared" si="181"/>
        <v>0</v>
      </c>
      <c r="J596" s="220">
        <v>46066</v>
      </c>
    </row>
    <row r="597" spans="1:10">
      <c r="A597" s="155"/>
      <c r="B597" s="153">
        <v>592</v>
      </c>
      <c r="C597" s="153" t="s">
        <v>500</v>
      </c>
      <c r="D597" s="153" t="s">
        <v>246</v>
      </c>
      <c r="E597" s="154">
        <v>8.41</v>
      </c>
      <c r="F597" s="154">
        <f t="shared" si="178"/>
        <v>1.27</v>
      </c>
      <c r="G597" s="154">
        <f t="shared" si="179"/>
        <v>9.68</v>
      </c>
      <c r="H597" s="154">
        <f t="shared" si="180"/>
        <v>10.65</v>
      </c>
      <c r="I597" s="154">
        <f t="shared" si="181"/>
        <v>0</v>
      </c>
      <c r="J597" s="220">
        <v>46066</v>
      </c>
    </row>
    <row r="598" spans="1:10">
      <c r="A598" s="155"/>
      <c r="B598" s="153">
        <v>593</v>
      </c>
      <c r="C598" s="153" t="s">
        <v>501</v>
      </c>
      <c r="D598" s="153" t="s">
        <v>246</v>
      </c>
      <c r="E598" s="154">
        <v>10.68</v>
      </c>
      <c r="F598" s="154">
        <f t="shared" si="178"/>
        <v>1.61</v>
      </c>
      <c r="G598" s="154">
        <f t="shared" si="179"/>
        <v>12.29</v>
      </c>
      <c r="H598" s="154">
        <f t="shared" si="180"/>
        <v>13.52</v>
      </c>
      <c r="I598" s="154">
        <f t="shared" si="181"/>
        <v>0</v>
      </c>
      <c r="J598" s="220">
        <v>46066</v>
      </c>
    </row>
    <row r="599" spans="1:10">
      <c r="A599" s="155"/>
      <c r="B599" s="153">
        <v>594</v>
      </c>
      <c r="C599" s="153" t="s">
        <v>502</v>
      </c>
      <c r="D599" s="153" t="s">
        <v>246</v>
      </c>
      <c r="E599" s="154">
        <v>16.13</v>
      </c>
      <c r="F599" s="154">
        <f t="shared" si="178"/>
        <v>2.42</v>
      </c>
      <c r="G599" s="154">
        <f t="shared" si="179"/>
        <v>18.549999999999997</v>
      </c>
      <c r="H599" s="154">
        <f t="shared" si="180"/>
        <v>20.41</v>
      </c>
      <c r="I599" s="154">
        <f t="shared" si="181"/>
        <v>0</v>
      </c>
      <c r="J599" s="220">
        <v>46066</v>
      </c>
    </row>
    <row r="600" spans="1:10">
      <c r="A600" s="155"/>
      <c r="B600" s="153">
        <v>595</v>
      </c>
      <c r="C600" s="153" t="s">
        <v>503</v>
      </c>
      <c r="D600" s="153" t="s">
        <v>246</v>
      </c>
      <c r="E600" s="154">
        <v>20.18</v>
      </c>
      <c r="F600" s="154">
        <f t="shared" si="178"/>
        <v>3.03</v>
      </c>
      <c r="G600" s="154">
        <f t="shared" si="179"/>
        <v>23.21</v>
      </c>
      <c r="H600" s="154">
        <f t="shared" si="180"/>
        <v>25.540000000000003</v>
      </c>
      <c r="I600" s="154">
        <f t="shared" si="181"/>
        <v>0</v>
      </c>
      <c r="J600" s="220">
        <v>46066</v>
      </c>
    </row>
    <row r="601" spans="1:10">
      <c r="A601" s="155"/>
      <c r="B601" s="153">
        <v>596</v>
      </c>
      <c r="C601" s="153" t="s">
        <v>504</v>
      </c>
      <c r="D601" s="153" t="s">
        <v>246</v>
      </c>
      <c r="E601" s="154">
        <v>22.39</v>
      </c>
      <c r="F601" s="154">
        <f t="shared" si="178"/>
        <v>3.36</v>
      </c>
      <c r="G601" s="154">
        <f t="shared" si="179"/>
        <v>25.75</v>
      </c>
      <c r="H601" s="154">
        <f t="shared" si="180"/>
        <v>28.330000000000002</v>
      </c>
      <c r="I601" s="154">
        <f t="shared" si="181"/>
        <v>0</v>
      </c>
      <c r="J601" s="220">
        <v>44949</v>
      </c>
    </row>
    <row r="602" spans="1:10">
      <c r="A602" s="155"/>
      <c r="B602" s="153">
        <v>597</v>
      </c>
      <c r="C602" s="153" t="s">
        <v>505</v>
      </c>
      <c r="D602" s="153" t="s">
        <v>246</v>
      </c>
      <c r="E602" s="154">
        <v>25.35</v>
      </c>
      <c r="F602" s="154">
        <f t="shared" si="178"/>
        <v>3.8099999999999996</v>
      </c>
      <c r="G602" s="154">
        <f t="shared" si="179"/>
        <v>29.16</v>
      </c>
      <c r="H602" s="154">
        <f t="shared" si="180"/>
        <v>32.08</v>
      </c>
      <c r="I602" s="154">
        <f t="shared" si="181"/>
        <v>0</v>
      </c>
      <c r="J602" s="220">
        <v>44949</v>
      </c>
    </row>
    <row r="603" spans="1:10">
      <c r="A603" s="155"/>
      <c r="B603" s="153">
        <v>598</v>
      </c>
      <c r="C603" s="153" t="s">
        <v>506</v>
      </c>
      <c r="D603" s="153" t="s">
        <v>246</v>
      </c>
      <c r="E603" s="154">
        <v>1.69</v>
      </c>
      <c r="F603" s="154">
        <f t="shared" si="178"/>
        <v>0.26</v>
      </c>
      <c r="G603" s="154">
        <f t="shared" si="179"/>
        <v>1.95</v>
      </c>
      <c r="H603" s="154">
        <f t="shared" si="180"/>
        <v>2.15</v>
      </c>
      <c r="I603" s="154">
        <f t="shared" si="181"/>
        <v>0</v>
      </c>
      <c r="J603" s="220">
        <v>44949</v>
      </c>
    </row>
    <row r="604" spans="1:10">
      <c r="A604" s="155"/>
      <c r="B604" s="153">
        <v>599</v>
      </c>
      <c r="C604" s="153" t="s">
        <v>507</v>
      </c>
      <c r="D604" s="153" t="s">
        <v>228</v>
      </c>
      <c r="E604" s="154">
        <v>0.1</v>
      </c>
      <c r="F604" s="154">
        <f t="shared" si="178"/>
        <v>0.02</v>
      </c>
      <c r="G604" s="154">
        <f t="shared" si="179"/>
        <v>0.12000000000000001</v>
      </c>
      <c r="H604" s="154">
        <f t="shared" si="180"/>
        <v>0.14000000000000001</v>
      </c>
      <c r="I604" s="154">
        <f t="shared" si="181"/>
        <v>0</v>
      </c>
      <c r="J604" s="220"/>
    </row>
    <row r="605" spans="1:10">
      <c r="A605" s="155"/>
      <c r="B605" s="153">
        <v>600</v>
      </c>
      <c r="C605" s="153" t="s">
        <v>508</v>
      </c>
      <c r="D605" s="153" t="s">
        <v>228</v>
      </c>
      <c r="E605" s="154">
        <v>0.05</v>
      </c>
      <c r="F605" s="154">
        <f t="shared" si="178"/>
        <v>0.01</v>
      </c>
      <c r="G605" s="154">
        <f t="shared" si="179"/>
        <v>6.0000000000000005E-2</v>
      </c>
      <c r="H605" s="154">
        <f t="shared" si="180"/>
        <v>6.9999999999999993E-2</v>
      </c>
      <c r="I605" s="154">
        <f t="shared" si="181"/>
        <v>0</v>
      </c>
      <c r="J605" s="220"/>
    </row>
    <row r="606" spans="1:10">
      <c r="A606" s="155"/>
      <c r="B606" s="153">
        <v>601</v>
      </c>
      <c r="C606" s="153" t="s">
        <v>509</v>
      </c>
      <c r="D606" s="153" t="s">
        <v>228</v>
      </c>
      <c r="E606" s="154">
        <v>0.03</v>
      </c>
      <c r="F606" s="154">
        <f t="shared" si="178"/>
        <v>0.01</v>
      </c>
      <c r="G606" s="154">
        <f t="shared" si="179"/>
        <v>0.04</v>
      </c>
      <c r="H606" s="154">
        <f t="shared" si="180"/>
        <v>0.05</v>
      </c>
      <c r="I606" s="154">
        <f t="shared" si="181"/>
        <v>0</v>
      </c>
      <c r="J606" s="220"/>
    </row>
    <row r="607" spans="1:10">
      <c r="A607" s="155"/>
      <c r="B607" s="153">
        <v>602</v>
      </c>
      <c r="C607" s="153" t="s">
        <v>510</v>
      </c>
      <c r="D607" s="153" t="s">
        <v>228</v>
      </c>
      <c r="E607" s="154">
        <v>0.3</v>
      </c>
      <c r="F607" s="154">
        <f t="shared" si="178"/>
        <v>0.05</v>
      </c>
      <c r="G607" s="154">
        <f t="shared" si="179"/>
        <v>0.35</v>
      </c>
      <c r="H607" s="154">
        <f t="shared" si="180"/>
        <v>0.39</v>
      </c>
      <c r="I607" s="154">
        <f t="shared" si="181"/>
        <v>0</v>
      </c>
      <c r="J607" s="220"/>
    </row>
    <row r="608" spans="1:10">
      <c r="A608" s="155"/>
      <c r="B608" s="153">
        <v>603</v>
      </c>
      <c r="C608" s="153" t="s">
        <v>511</v>
      </c>
      <c r="D608" s="153" t="s">
        <v>228</v>
      </c>
      <c r="E608" s="154">
        <v>0.43</v>
      </c>
      <c r="F608" s="154">
        <f t="shared" ref="F608:F671" si="182">ROUNDUP(E608*0.15,2)</f>
        <v>6.9999999999999993E-2</v>
      </c>
      <c r="G608" s="154">
        <f t="shared" si="179"/>
        <v>0.5</v>
      </c>
      <c r="H608" s="154">
        <f t="shared" si="180"/>
        <v>0.55000000000000004</v>
      </c>
      <c r="I608" s="154">
        <f t="shared" si="181"/>
        <v>0</v>
      </c>
      <c r="J608" s="220"/>
    </row>
    <row r="609" spans="1:10">
      <c r="A609" s="155"/>
      <c r="B609" s="153">
        <v>604</v>
      </c>
      <c r="C609" s="153" t="s">
        <v>512</v>
      </c>
      <c r="D609" s="153" t="s">
        <v>228</v>
      </c>
      <c r="E609" s="154">
        <v>0.04</v>
      </c>
      <c r="F609" s="154">
        <f t="shared" si="182"/>
        <v>0.01</v>
      </c>
      <c r="G609" s="154">
        <f t="shared" si="179"/>
        <v>0.05</v>
      </c>
      <c r="H609" s="154">
        <f t="shared" si="180"/>
        <v>6.0000000000000005E-2</v>
      </c>
      <c r="I609" s="154">
        <f t="shared" si="181"/>
        <v>0</v>
      </c>
      <c r="J609" s="220"/>
    </row>
    <row r="610" spans="1:10">
      <c r="A610" s="155"/>
      <c r="B610" s="153">
        <v>605</v>
      </c>
      <c r="C610" s="153" t="s">
        <v>513</v>
      </c>
      <c r="D610" s="153" t="s">
        <v>228</v>
      </c>
      <c r="E610" s="154">
        <v>0.17</v>
      </c>
      <c r="F610" s="154">
        <f t="shared" si="182"/>
        <v>0.03</v>
      </c>
      <c r="G610" s="154">
        <f t="shared" si="179"/>
        <v>0.2</v>
      </c>
      <c r="H610" s="154">
        <f t="shared" si="180"/>
        <v>0.22</v>
      </c>
      <c r="I610" s="154">
        <f t="shared" si="181"/>
        <v>0</v>
      </c>
      <c r="J610" s="220"/>
    </row>
    <row r="611" spans="1:10">
      <c r="A611" s="155"/>
      <c r="B611" s="153">
        <v>606</v>
      </c>
      <c r="C611" s="153" t="s">
        <v>205</v>
      </c>
      <c r="D611" s="153"/>
      <c r="E611" s="154"/>
      <c r="F611" s="154">
        <f t="shared" si="182"/>
        <v>0</v>
      </c>
      <c r="G611" s="154">
        <f t="shared" si="179"/>
        <v>0</v>
      </c>
      <c r="H611" s="154">
        <f t="shared" si="180"/>
        <v>0</v>
      </c>
      <c r="I611" s="154">
        <f t="shared" si="181"/>
        <v>0</v>
      </c>
      <c r="J611" s="220"/>
    </row>
    <row r="612" spans="1:10">
      <c r="A612" s="155"/>
      <c r="B612" s="153">
        <v>607</v>
      </c>
      <c r="C612" s="153" t="s">
        <v>205</v>
      </c>
      <c r="D612" s="153"/>
      <c r="E612" s="154"/>
      <c r="F612" s="154">
        <f t="shared" si="182"/>
        <v>0</v>
      </c>
      <c r="G612" s="154">
        <f t="shared" si="179"/>
        <v>0</v>
      </c>
      <c r="H612" s="154">
        <f t="shared" si="180"/>
        <v>0</v>
      </c>
      <c r="I612" s="154">
        <f t="shared" si="181"/>
        <v>0</v>
      </c>
      <c r="J612" s="220"/>
    </row>
    <row r="613" spans="1:10">
      <c r="A613" s="155"/>
      <c r="B613" s="153">
        <v>608</v>
      </c>
      <c r="C613" s="153" t="s">
        <v>205</v>
      </c>
      <c r="D613" s="153"/>
      <c r="E613" s="154"/>
      <c r="F613" s="154">
        <f t="shared" si="182"/>
        <v>0</v>
      </c>
      <c r="G613" s="154">
        <f t="shared" si="179"/>
        <v>0</v>
      </c>
      <c r="H613" s="154">
        <f t="shared" si="180"/>
        <v>0</v>
      </c>
      <c r="I613" s="154">
        <f t="shared" si="181"/>
        <v>0</v>
      </c>
      <c r="J613" s="220"/>
    </row>
    <row r="614" spans="1:10">
      <c r="A614" s="155"/>
      <c r="B614" s="153">
        <v>609</v>
      </c>
      <c r="C614" s="153" t="s">
        <v>205</v>
      </c>
      <c r="D614" s="153"/>
      <c r="E614" s="154"/>
      <c r="F614" s="154">
        <f t="shared" si="182"/>
        <v>0</v>
      </c>
      <c r="G614" s="154">
        <f t="shared" si="179"/>
        <v>0</v>
      </c>
      <c r="H614" s="154">
        <f t="shared" si="180"/>
        <v>0</v>
      </c>
      <c r="I614" s="154">
        <f t="shared" si="181"/>
        <v>0</v>
      </c>
      <c r="J614" s="220"/>
    </row>
    <row r="615" spans="1:10">
      <c r="A615" s="155"/>
      <c r="B615" s="153">
        <v>610</v>
      </c>
      <c r="C615" s="153" t="s">
        <v>205</v>
      </c>
      <c r="D615" s="153"/>
      <c r="E615" s="154"/>
      <c r="F615" s="154">
        <f t="shared" si="182"/>
        <v>0</v>
      </c>
      <c r="G615" s="154">
        <f t="shared" si="179"/>
        <v>0</v>
      </c>
      <c r="H615" s="154">
        <f t="shared" si="180"/>
        <v>0</v>
      </c>
      <c r="I615" s="154">
        <f t="shared" si="181"/>
        <v>0</v>
      </c>
      <c r="J615" s="220"/>
    </row>
    <row r="616" spans="1:10">
      <c r="A616" s="155"/>
      <c r="B616" s="153">
        <v>611</v>
      </c>
      <c r="C616" s="153" t="s">
        <v>205</v>
      </c>
      <c r="D616" s="153"/>
      <c r="E616" s="154"/>
      <c r="F616" s="154">
        <f t="shared" si="182"/>
        <v>0</v>
      </c>
      <c r="G616" s="154">
        <f t="shared" si="179"/>
        <v>0</v>
      </c>
      <c r="H616" s="154">
        <f t="shared" si="180"/>
        <v>0</v>
      </c>
      <c r="I616" s="154">
        <f t="shared" si="181"/>
        <v>0</v>
      </c>
      <c r="J616" s="220"/>
    </row>
    <row r="617" spans="1:10">
      <c r="A617" s="155"/>
      <c r="B617" s="153">
        <v>612</v>
      </c>
      <c r="C617" s="153" t="s">
        <v>205</v>
      </c>
      <c r="D617" s="153"/>
      <c r="E617" s="154"/>
      <c r="F617" s="154">
        <f t="shared" si="182"/>
        <v>0</v>
      </c>
      <c r="G617" s="154">
        <f t="shared" si="179"/>
        <v>0</v>
      </c>
      <c r="H617" s="154">
        <f t="shared" si="180"/>
        <v>0</v>
      </c>
      <c r="I617" s="154">
        <f t="shared" si="181"/>
        <v>0</v>
      </c>
      <c r="J617" s="220"/>
    </row>
    <row r="618" spans="1:10">
      <c r="A618" s="155"/>
      <c r="B618" s="153">
        <v>613</v>
      </c>
      <c r="C618" s="153" t="s">
        <v>205</v>
      </c>
      <c r="D618" s="153"/>
      <c r="E618" s="154"/>
      <c r="F618" s="154">
        <f t="shared" si="182"/>
        <v>0</v>
      </c>
      <c r="G618" s="154">
        <f t="shared" si="179"/>
        <v>0</v>
      </c>
      <c r="H618" s="154">
        <f t="shared" si="180"/>
        <v>0</v>
      </c>
      <c r="I618" s="154">
        <f t="shared" si="181"/>
        <v>0</v>
      </c>
      <c r="J618" s="220"/>
    </row>
    <row r="619" spans="1:10">
      <c r="A619" s="155"/>
      <c r="B619" s="153">
        <v>614</v>
      </c>
      <c r="C619" s="153" t="s">
        <v>205</v>
      </c>
      <c r="D619" s="153"/>
      <c r="E619" s="154"/>
      <c r="F619" s="154">
        <f t="shared" si="182"/>
        <v>0</v>
      </c>
      <c r="G619" s="154">
        <f t="shared" si="179"/>
        <v>0</v>
      </c>
      <c r="H619" s="154">
        <f t="shared" si="180"/>
        <v>0</v>
      </c>
      <c r="I619" s="154">
        <f t="shared" si="181"/>
        <v>0</v>
      </c>
      <c r="J619" s="220"/>
    </row>
    <row r="620" spans="1:10">
      <c r="A620" s="155"/>
      <c r="B620" s="153">
        <v>615</v>
      </c>
      <c r="C620" s="153" t="s">
        <v>205</v>
      </c>
      <c r="D620" s="153"/>
      <c r="E620" s="154"/>
      <c r="F620" s="154">
        <f t="shared" si="182"/>
        <v>0</v>
      </c>
      <c r="G620" s="154">
        <f t="shared" si="179"/>
        <v>0</v>
      </c>
      <c r="H620" s="154">
        <f t="shared" si="180"/>
        <v>0</v>
      </c>
      <c r="I620" s="154">
        <f t="shared" si="181"/>
        <v>0</v>
      </c>
      <c r="J620" s="220"/>
    </row>
    <row r="621" spans="1:10">
      <c r="A621" s="155"/>
      <c r="B621" s="153">
        <v>616</v>
      </c>
      <c r="C621" s="153" t="s">
        <v>205</v>
      </c>
      <c r="D621" s="153"/>
      <c r="E621" s="154"/>
      <c r="F621" s="154">
        <f t="shared" si="182"/>
        <v>0</v>
      </c>
      <c r="G621" s="154">
        <f t="shared" si="179"/>
        <v>0</v>
      </c>
      <c r="H621" s="154">
        <f t="shared" si="180"/>
        <v>0</v>
      </c>
      <c r="I621" s="154">
        <f t="shared" si="181"/>
        <v>0</v>
      </c>
      <c r="J621" s="220"/>
    </row>
    <row r="622" spans="1:10">
      <c r="A622" s="155"/>
      <c r="B622" s="153">
        <v>617</v>
      </c>
      <c r="C622" s="153" t="s">
        <v>514</v>
      </c>
      <c r="D622" s="153" t="s">
        <v>228</v>
      </c>
      <c r="E622" s="154">
        <v>4.75</v>
      </c>
      <c r="F622" s="154">
        <f t="shared" si="182"/>
        <v>0.72</v>
      </c>
      <c r="G622" s="154">
        <f t="shared" si="179"/>
        <v>5.47</v>
      </c>
      <c r="H622" s="154">
        <f t="shared" si="180"/>
        <v>6.02</v>
      </c>
      <c r="I622" s="154">
        <f t="shared" si="181"/>
        <v>0</v>
      </c>
      <c r="J622" s="220"/>
    </row>
    <row r="623" spans="1:10">
      <c r="A623" s="155"/>
      <c r="B623" s="153">
        <v>618</v>
      </c>
      <c r="C623" s="153" t="s">
        <v>515</v>
      </c>
      <c r="D623" s="153" t="s">
        <v>228</v>
      </c>
      <c r="E623" s="154">
        <v>8.98</v>
      </c>
      <c r="F623" s="154">
        <f t="shared" si="182"/>
        <v>1.35</v>
      </c>
      <c r="G623" s="154">
        <f t="shared" si="179"/>
        <v>10.33</v>
      </c>
      <c r="H623" s="154">
        <f t="shared" si="180"/>
        <v>11.37</v>
      </c>
      <c r="I623" s="154">
        <f t="shared" si="181"/>
        <v>0</v>
      </c>
      <c r="J623" s="220">
        <v>45505</v>
      </c>
    </row>
    <row r="624" spans="1:10">
      <c r="A624" s="155"/>
      <c r="B624" s="153">
        <v>619</v>
      </c>
      <c r="C624" s="153" t="s">
        <v>516</v>
      </c>
      <c r="D624" s="153" t="s">
        <v>228</v>
      </c>
      <c r="E624" s="154">
        <v>9.06</v>
      </c>
      <c r="F624" s="154">
        <f t="shared" si="182"/>
        <v>1.36</v>
      </c>
      <c r="G624" s="154">
        <f t="shared" si="179"/>
        <v>10.42</v>
      </c>
      <c r="H624" s="154">
        <f t="shared" si="180"/>
        <v>11.47</v>
      </c>
      <c r="I624" s="154">
        <f t="shared" si="181"/>
        <v>0</v>
      </c>
      <c r="J624" s="220">
        <v>45505</v>
      </c>
    </row>
    <row r="625" spans="1:10">
      <c r="A625" s="155"/>
      <c r="B625" s="153">
        <v>620</v>
      </c>
      <c r="C625" s="153" t="s">
        <v>517</v>
      </c>
      <c r="D625" s="153" t="s">
        <v>228</v>
      </c>
      <c r="E625" s="154">
        <v>10</v>
      </c>
      <c r="F625" s="154">
        <f t="shared" si="182"/>
        <v>1.5</v>
      </c>
      <c r="G625" s="154">
        <f t="shared" si="179"/>
        <v>11.5</v>
      </c>
      <c r="H625" s="154">
        <f t="shared" si="180"/>
        <v>12.65</v>
      </c>
      <c r="I625" s="154">
        <f t="shared" si="181"/>
        <v>0</v>
      </c>
      <c r="J625" s="220">
        <v>45505</v>
      </c>
    </row>
    <row r="626" spans="1:10">
      <c r="A626" s="155"/>
      <c r="B626" s="153">
        <v>621</v>
      </c>
      <c r="C626" s="153" t="s">
        <v>518</v>
      </c>
      <c r="D626" s="153" t="s">
        <v>228</v>
      </c>
      <c r="E626" s="154">
        <v>11.11</v>
      </c>
      <c r="F626" s="154">
        <f t="shared" si="182"/>
        <v>1.67</v>
      </c>
      <c r="G626" s="154">
        <f t="shared" si="179"/>
        <v>12.78</v>
      </c>
      <c r="H626" s="154">
        <f t="shared" si="180"/>
        <v>14.06</v>
      </c>
      <c r="I626" s="154">
        <f t="shared" si="181"/>
        <v>0</v>
      </c>
      <c r="J626" s="220">
        <v>45505</v>
      </c>
    </row>
    <row r="627" spans="1:10">
      <c r="A627" s="155"/>
      <c r="B627" s="153">
        <v>622</v>
      </c>
      <c r="C627" s="153" t="s">
        <v>519</v>
      </c>
      <c r="D627" s="153" t="s">
        <v>228</v>
      </c>
      <c r="E627" s="154">
        <v>10.8</v>
      </c>
      <c r="F627" s="154">
        <f t="shared" si="182"/>
        <v>1.62</v>
      </c>
      <c r="G627" s="154">
        <f t="shared" si="179"/>
        <v>12.420000000000002</v>
      </c>
      <c r="H627" s="154">
        <f t="shared" si="180"/>
        <v>13.67</v>
      </c>
      <c r="I627" s="154">
        <f t="shared" si="181"/>
        <v>0</v>
      </c>
      <c r="J627" s="220">
        <v>45505</v>
      </c>
    </row>
    <row r="628" spans="1:10">
      <c r="A628" s="155"/>
      <c r="B628" s="153">
        <v>623</v>
      </c>
      <c r="C628" s="153" t="s">
        <v>520</v>
      </c>
      <c r="D628" s="153" t="s">
        <v>228</v>
      </c>
      <c r="E628" s="154">
        <v>14.73</v>
      </c>
      <c r="F628" s="154">
        <f t="shared" si="182"/>
        <v>2.21</v>
      </c>
      <c r="G628" s="154">
        <f t="shared" si="179"/>
        <v>16.940000000000001</v>
      </c>
      <c r="H628" s="154">
        <f t="shared" si="180"/>
        <v>18.64</v>
      </c>
      <c r="I628" s="154">
        <f t="shared" si="181"/>
        <v>0</v>
      </c>
      <c r="J628" s="220">
        <v>45505</v>
      </c>
    </row>
    <row r="629" spans="1:10">
      <c r="A629" s="155"/>
      <c r="B629" s="153">
        <v>624</v>
      </c>
      <c r="C629" s="153" t="s">
        <v>521</v>
      </c>
      <c r="D629" s="153" t="s">
        <v>228</v>
      </c>
      <c r="E629" s="154">
        <v>14.38</v>
      </c>
      <c r="F629" s="154">
        <f t="shared" si="182"/>
        <v>2.1599999999999997</v>
      </c>
      <c r="G629" s="154">
        <f t="shared" si="179"/>
        <v>16.54</v>
      </c>
      <c r="H629" s="154">
        <f t="shared" si="180"/>
        <v>18.200000000000003</v>
      </c>
      <c r="I629" s="154">
        <f t="shared" si="181"/>
        <v>0</v>
      </c>
      <c r="J629" s="220">
        <v>45505</v>
      </c>
    </row>
    <row r="630" spans="1:10">
      <c r="A630" s="155"/>
      <c r="B630" s="153">
        <v>625</v>
      </c>
      <c r="C630" s="153" t="s">
        <v>522</v>
      </c>
      <c r="D630" s="153" t="s">
        <v>228</v>
      </c>
      <c r="E630" s="154">
        <v>21.73</v>
      </c>
      <c r="F630" s="154">
        <f t="shared" si="182"/>
        <v>3.26</v>
      </c>
      <c r="G630" s="154">
        <f t="shared" si="179"/>
        <v>24.990000000000002</v>
      </c>
      <c r="H630" s="154">
        <f t="shared" si="180"/>
        <v>27.490000000000002</v>
      </c>
      <c r="I630" s="154">
        <f t="shared" si="181"/>
        <v>0</v>
      </c>
      <c r="J630" s="220">
        <v>45505</v>
      </c>
    </row>
    <row r="631" spans="1:10">
      <c r="A631" s="155"/>
      <c r="B631" s="153">
        <v>626</v>
      </c>
      <c r="C631" s="153" t="s">
        <v>523</v>
      </c>
      <c r="D631" s="153" t="s">
        <v>228</v>
      </c>
      <c r="E631" s="154">
        <v>24.16</v>
      </c>
      <c r="F631" s="154">
        <f t="shared" si="182"/>
        <v>3.63</v>
      </c>
      <c r="G631" s="154">
        <f t="shared" si="179"/>
        <v>27.79</v>
      </c>
      <c r="H631" s="154">
        <f t="shared" si="180"/>
        <v>30.57</v>
      </c>
      <c r="I631" s="154">
        <f t="shared" si="181"/>
        <v>0</v>
      </c>
      <c r="J631" s="220">
        <v>45505</v>
      </c>
    </row>
    <row r="632" spans="1:10">
      <c r="A632" s="155"/>
      <c r="B632" s="153">
        <v>627</v>
      </c>
      <c r="C632" s="153" t="s">
        <v>524</v>
      </c>
      <c r="D632" s="153" t="s">
        <v>228</v>
      </c>
      <c r="E632" s="154">
        <v>30.16</v>
      </c>
      <c r="F632" s="154">
        <f t="shared" si="182"/>
        <v>4.5299999999999994</v>
      </c>
      <c r="G632" s="154">
        <f t="shared" si="179"/>
        <v>34.69</v>
      </c>
      <c r="H632" s="154">
        <f t="shared" si="180"/>
        <v>38.159999999999997</v>
      </c>
      <c r="I632" s="154">
        <f t="shared" si="181"/>
        <v>0</v>
      </c>
      <c r="J632" s="220">
        <v>45505</v>
      </c>
    </row>
    <row r="633" spans="1:10">
      <c r="A633" s="155"/>
      <c r="B633" s="153">
        <v>628</v>
      </c>
      <c r="C633" s="153" t="s">
        <v>525</v>
      </c>
      <c r="D633" s="153" t="s">
        <v>243</v>
      </c>
      <c r="E633" s="154">
        <v>19.95</v>
      </c>
      <c r="F633" s="154">
        <f t="shared" si="182"/>
        <v>3</v>
      </c>
      <c r="G633" s="154">
        <f t="shared" si="179"/>
        <v>22.95</v>
      </c>
      <c r="H633" s="154">
        <f t="shared" si="180"/>
        <v>25.25</v>
      </c>
      <c r="I633" s="154">
        <f t="shared" si="181"/>
        <v>0</v>
      </c>
      <c r="J633" s="220"/>
    </row>
    <row r="634" spans="1:10">
      <c r="A634" s="155"/>
      <c r="B634" s="153">
        <v>629</v>
      </c>
      <c r="C634" s="153" t="s">
        <v>526</v>
      </c>
      <c r="D634" s="153" t="s">
        <v>246</v>
      </c>
      <c r="E634" s="154">
        <v>0.57999999999999996</v>
      </c>
      <c r="F634" s="154">
        <f t="shared" si="182"/>
        <v>0.09</v>
      </c>
      <c r="G634" s="154">
        <f t="shared" si="179"/>
        <v>0.66999999999999993</v>
      </c>
      <c r="H634" s="154">
        <f t="shared" si="180"/>
        <v>0.74</v>
      </c>
      <c r="I634" s="154">
        <f t="shared" si="181"/>
        <v>0</v>
      </c>
      <c r="J634" s="220"/>
    </row>
    <row r="635" spans="1:10">
      <c r="A635" s="155"/>
      <c r="B635" s="153">
        <v>630</v>
      </c>
      <c r="C635" s="153" t="s">
        <v>205</v>
      </c>
      <c r="D635" s="153"/>
      <c r="E635" s="154"/>
      <c r="F635" s="154">
        <f t="shared" si="182"/>
        <v>0</v>
      </c>
      <c r="G635" s="154">
        <f t="shared" si="179"/>
        <v>0</v>
      </c>
      <c r="H635" s="154">
        <f t="shared" si="180"/>
        <v>0</v>
      </c>
      <c r="I635" s="154">
        <f t="shared" si="181"/>
        <v>0</v>
      </c>
      <c r="J635" s="220"/>
    </row>
    <row r="636" spans="1:10">
      <c r="A636" s="155"/>
      <c r="B636" s="153">
        <v>631</v>
      </c>
      <c r="C636" s="153" t="s">
        <v>205</v>
      </c>
      <c r="D636" s="153"/>
      <c r="E636" s="154"/>
      <c r="F636" s="154">
        <f t="shared" si="182"/>
        <v>0</v>
      </c>
      <c r="G636" s="154">
        <f t="shared" si="179"/>
        <v>0</v>
      </c>
      <c r="H636" s="154">
        <f t="shared" si="180"/>
        <v>0</v>
      </c>
      <c r="I636" s="154">
        <f t="shared" si="181"/>
        <v>0</v>
      </c>
      <c r="J636" s="220"/>
    </row>
    <row r="637" spans="1:10">
      <c r="A637" s="155"/>
      <c r="B637" s="153">
        <v>632</v>
      </c>
      <c r="C637" s="153" t="s">
        <v>527</v>
      </c>
      <c r="D637" s="153" t="s">
        <v>246</v>
      </c>
      <c r="E637" s="154">
        <v>8.34</v>
      </c>
      <c r="F637" s="154">
        <f t="shared" si="182"/>
        <v>1.26</v>
      </c>
      <c r="G637" s="154">
        <f t="shared" si="179"/>
        <v>9.6</v>
      </c>
      <c r="H637" s="154">
        <f t="shared" si="180"/>
        <v>10.56</v>
      </c>
      <c r="I637" s="154">
        <f t="shared" si="181"/>
        <v>0</v>
      </c>
      <c r="J637" s="220"/>
    </row>
    <row r="638" spans="1:10">
      <c r="A638" s="155"/>
      <c r="B638" s="153">
        <v>633</v>
      </c>
      <c r="C638" s="153" t="s">
        <v>205</v>
      </c>
      <c r="D638" s="153"/>
      <c r="E638" s="154"/>
      <c r="F638" s="154">
        <f t="shared" si="182"/>
        <v>0</v>
      </c>
      <c r="G638" s="154">
        <f t="shared" si="179"/>
        <v>0</v>
      </c>
      <c r="H638" s="154">
        <f t="shared" si="180"/>
        <v>0</v>
      </c>
      <c r="I638" s="154">
        <f t="shared" si="181"/>
        <v>0</v>
      </c>
      <c r="J638" s="220"/>
    </row>
    <row r="639" spans="1:10">
      <c r="A639" s="155"/>
      <c r="B639" s="153">
        <v>634</v>
      </c>
      <c r="C639" s="153" t="s">
        <v>528</v>
      </c>
      <c r="D639" s="153" t="s">
        <v>246</v>
      </c>
      <c r="E639" s="154">
        <v>10.24</v>
      </c>
      <c r="F639" s="154">
        <f t="shared" si="182"/>
        <v>1.54</v>
      </c>
      <c r="G639" s="154">
        <f t="shared" si="179"/>
        <v>11.780000000000001</v>
      </c>
      <c r="H639" s="154">
        <f t="shared" si="180"/>
        <v>12.959999999999999</v>
      </c>
      <c r="I639" s="154">
        <f t="shared" si="181"/>
        <v>0</v>
      </c>
      <c r="J639" s="220"/>
    </row>
    <row r="640" spans="1:10">
      <c r="A640" s="155"/>
      <c r="B640" s="153">
        <v>635</v>
      </c>
      <c r="C640" s="153" t="s">
        <v>205</v>
      </c>
      <c r="D640" s="153"/>
      <c r="E640" s="154"/>
      <c r="F640" s="154">
        <f t="shared" si="182"/>
        <v>0</v>
      </c>
      <c r="G640" s="154">
        <f t="shared" si="179"/>
        <v>0</v>
      </c>
      <c r="H640" s="154">
        <f t="shared" si="180"/>
        <v>0</v>
      </c>
      <c r="I640" s="154">
        <f t="shared" si="181"/>
        <v>0</v>
      </c>
      <c r="J640" s="220"/>
    </row>
    <row r="641" spans="1:10">
      <c r="A641" s="155"/>
      <c r="B641" s="153">
        <v>636</v>
      </c>
      <c r="C641" s="153" t="s">
        <v>529</v>
      </c>
      <c r="D641" s="153" t="s">
        <v>246</v>
      </c>
      <c r="E641" s="154">
        <v>11.64</v>
      </c>
      <c r="F641" s="154">
        <f t="shared" si="182"/>
        <v>1.75</v>
      </c>
      <c r="G641" s="154">
        <f t="shared" si="179"/>
        <v>13.39</v>
      </c>
      <c r="H641" s="154">
        <f t="shared" si="180"/>
        <v>14.73</v>
      </c>
      <c r="I641" s="154">
        <f t="shared" si="181"/>
        <v>0</v>
      </c>
      <c r="J641" s="220"/>
    </row>
    <row r="642" spans="1:10">
      <c r="A642" s="155"/>
      <c r="B642" s="153">
        <v>637</v>
      </c>
      <c r="C642" s="153" t="s">
        <v>530</v>
      </c>
      <c r="D642" s="153" t="s">
        <v>246</v>
      </c>
      <c r="E642" s="154">
        <v>13</v>
      </c>
      <c r="F642" s="154">
        <f t="shared" si="182"/>
        <v>1.95</v>
      </c>
      <c r="G642" s="154">
        <f t="shared" si="179"/>
        <v>14.95</v>
      </c>
      <c r="H642" s="154">
        <f t="shared" si="180"/>
        <v>16.450000000000003</v>
      </c>
      <c r="I642" s="154">
        <f t="shared" si="181"/>
        <v>0</v>
      </c>
      <c r="J642" s="220"/>
    </row>
    <row r="643" spans="1:10">
      <c r="A643" s="155"/>
      <c r="B643" s="153">
        <v>638</v>
      </c>
      <c r="C643" s="153" t="s">
        <v>531</v>
      </c>
      <c r="D643" s="153" t="s">
        <v>246</v>
      </c>
      <c r="E643" s="154">
        <v>15.4</v>
      </c>
      <c r="F643" s="154">
        <f t="shared" si="182"/>
        <v>2.31</v>
      </c>
      <c r="G643" s="154">
        <f t="shared" si="179"/>
        <v>17.71</v>
      </c>
      <c r="H643" s="154">
        <f t="shared" si="180"/>
        <v>19.490000000000002</v>
      </c>
      <c r="I643" s="154">
        <f t="shared" si="181"/>
        <v>0</v>
      </c>
      <c r="J643" s="220"/>
    </row>
    <row r="644" spans="1:10">
      <c r="A644" s="155"/>
      <c r="B644" s="153">
        <v>639</v>
      </c>
      <c r="C644" s="153" t="s">
        <v>532</v>
      </c>
      <c r="D644" s="153" t="s">
        <v>246</v>
      </c>
      <c r="E644" s="154">
        <v>18.64</v>
      </c>
      <c r="F644" s="154">
        <f t="shared" si="182"/>
        <v>2.8</v>
      </c>
      <c r="G644" s="154">
        <f t="shared" si="179"/>
        <v>21.44</v>
      </c>
      <c r="H644" s="154">
        <f t="shared" si="180"/>
        <v>23.59</v>
      </c>
      <c r="I644" s="154">
        <f t="shared" si="181"/>
        <v>0</v>
      </c>
      <c r="J644" s="220"/>
    </row>
    <row r="645" spans="1:10">
      <c r="A645" s="155"/>
      <c r="B645" s="153">
        <v>640</v>
      </c>
      <c r="C645" s="153" t="s">
        <v>533</v>
      </c>
      <c r="D645" s="153" t="s">
        <v>246</v>
      </c>
      <c r="E645" s="154">
        <v>22.5</v>
      </c>
      <c r="F645" s="154">
        <f t="shared" si="182"/>
        <v>3.38</v>
      </c>
      <c r="G645" s="154">
        <f t="shared" si="179"/>
        <v>25.88</v>
      </c>
      <c r="H645" s="154">
        <f t="shared" si="180"/>
        <v>28.470000000000002</v>
      </c>
      <c r="I645" s="154">
        <f t="shared" si="181"/>
        <v>0</v>
      </c>
      <c r="J645" s="220"/>
    </row>
    <row r="646" spans="1:10">
      <c r="A646" s="155"/>
      <c r="B646" s="153">
        <v>641</v>
      </c>
      <c r="C646" s="153" t="s">
        <v>880</v>
      </c>
      <c r="D646" s="153" t="s">
        <v>246</v>
      </c>
      <c r="E646" s="154">
        <v>4.4400000000000004</v>
      </c>
      <c r="F646" s="154">
        <f t="shared" si="182"/>
        <v>0.67</v>
      </c>
      <c r="G646" s="154">
        <f t="shared" ref="G646:G709" si="183">E646+F646</f>
        <v>5.1100000000000003</v>
      </c>
      <c r="H646" s="154">
        <f t="shared" ref="H646:H709" si="184">ROUNDUP(($E646+F646)*1.1,2)</f>
        <v>5.63</v>
      </c>
      <c r="I646" s="154">
        <f t="shared" ref="I646:I709" si="185">IF($C$2="Inventory Cost",A646*G646,A646*H646)</f>
        <v>0</v>
      </c>
      <c r="J646" s="220">
        <v>44476</v>
      </c>
    </row>
    <row r="647" spans="1:10">
      <c r="A647" s="155"/>
      <c r="B647" s="153">
        <v>642</v>
      </c>
      <c r="C647" s="153" t="s">
        <v>881</v>
      </c>
      <c r="D647" s="153" t="s">
        <v>246</v>
      </c>
      <c r="E647" s="154">
        <v>5.17</v>
      </c>
      <c r="F647" s="154">
        <f t="shared" si="182"/>
        <v>0.78</v>
      </c>
      <c r="G647" s="154">
        <f t="shared" si="183"/>
        <v>5.95</v>
      </c>
      <c r="H647" s="154">
        <f t="shared" si="184"/>
        <v>6.55</v>
      </c>
      <c r="I647" s="154">
        <f t="shared" si="185"/>
        <v>0</v>
      </c>
      <c r="J647" s="220">
        <v>44476</v>
      </c>
    </row>
    <row r="648" spans="1:10">
      <c r="A648" s="155"/>
      <c r="B648" s="153">
        <v>643</v>
      </c>
      <c r="C648" s="153" t="s">
        <v>205</v>
      </c>
      <c r="D648" s="153"/>
      <c r="E648" s="154"/>
      <c r="F648" s="154">
        <f t="shared" si="182"/>
        <v>0</v>
      </c>
      <c r="G648" s="154">
        <f t="shared" si="183"/>
        <v>0</v>
      </c>
      <c r="H648" s="154">
        <f t="shared" si="184"/>
        <v>0</v>
      </c>
      <c r="I648" s="154">
        <f t="shared" si="185"/>
        <v>0</v>
      </c>
      <c r="J648" s="220"/>
    </row>
    <row r="649" spans="1:10">
      <c r="A649" s="155"/>
      <c r="B649" s="153">
        <v>644</v>
      </c>
      <c r="C649" s="153" t="s">
        <v>534</v>
      </c>
      <c r="D649" s="153" t="s">
        <v>246</v>
      </c>
      <c r="E649" s="154">
        <v>1.1299999999999999</v>
      </c>
      <c r="F649" s="154">
        <f t="shared" si="182"/>
        <v>0.17</v>
      </c>
      <c r="G649" s="154">
        <f t="shared" si="183"/>
        <v>1.2999999999999998</v>
      </c>
      <c r="H649" s="154">
        <f t="shared" si="184"/>
        <v>1.43</v>
      </c>
      <c r="I649" s="154">
        <f t="shared" si="185"/>
        <v>0</v>
      </c>
      <c r="J649" s="220">
        <v>44949</v>
      </c>
    </row>
    <row r="650" spans="1:10">
      <c r="A650" s="155"/>
      <c r="B650" s="153">
        <v>645</v>
      </c>
      <c r="C650" s="153" t="s">
        <v>535</v>
      </c>
      <c r="D650" s="153" t="s">
        <v>246</v>
      </c>
      <c r="E650" s="154">
        <v>2.36</v>
      </c>
      <c r="F650" s="154">
        <f t="shared" si="182"/>
        <v>0.36</v>
      </c>
      <c r="G650" s="154">
        <f t="shared" si="183"/>
        <v>2.7199999999999998</v>
      </c>
      <c r="H650" s="154">
        <f t="shared" si="184"/>
        <v>3</v>
      </c>
      <c r="I650" s="154">
        <f t="shared" si="185"/>
        <v>0</v>
      </c>
      <c r="J650" s="220">
        <v>44949</v>
      </c>
    </row>
    <row r="651" spans="1:10">
      <c r="A651" s="155"/>
      <c r="B651" s="153">
        <v>646</v>
      </c>
      <c r="C651" s="153" t="s">
        <v>536</v>
      </c>
      <c r="D651" s="153" t="s">
        <v>246</v>
      </c>
      <c r="E651" s="154">
        <v>1.1299999999999999</v>
      </c>
      <c r="F651" s="154">
        <f t="shared" si="182"/>
        <v>0.17</v>
      </c>
      <c r="G651" s="154">
        <f t="shared" si="183"/>
        <v>1.2999999999999998</v>
      </c>
      <c r="H651" s="154">
        <f t="shared" si="184"/>
        <v>1.43</v>
      </c>
      <c r="I651" s="154">
        <f t="shared" si="185"/>
        <v>0</v>
      </c>
      <c r="J651" s="220">
        <v>44949</v>
      </c>
    </row>
    <row r="652" spans="1:10">
      <c r="A652" s="155"/>
      <c r="B652" s="153">
        <v>647</v>
      </c>
      <c r="C652" s="153" t="s">
        <v>537</v>
      </c>
      <c r="D652" s="153" t="s">
        <v>228</v>
      </c>
      <c r="E652" s="154">
        <v>0.02</v>
      </c>
      <c r="F652" s="154">
        <f t="shared" si="182"/>
        <v>0.01</v>
      </c>
      <c r="G652" s="154">
        <f t="shared" si="183"/>
        <v>0.03</v>
      </c>
      <c r="H652" s="154">
        <f t="shared" si="184"/>
        <v>0.04</v>
      </c>
      <c r="I652" s="154">
        <f t="shared" si="185"/>
        <v>0</v>
      </c>
      <c r="J652" s="220">
        <v>44949</v>
      </c>
    </row>
    <row r="653" spans="1:10">
      <c r="A653" s="155"/>
      <c r="B653" s="153">
        <v>648</v>
      </c>
      <c r="C653" s="153" t="s">
        <v>205</v>
      </c>
      <c r="D653" s="153"/>
      <c r="E653" s="154"/>
      <c r="F653" s="154">
        <f t="shared" si="182"/>
        <v>0</v>
      </c>
      <c r="G653" s="154">
        <f t="shared" si="183"/>
        <v>0</v>
      </c>
      <c r="H653" s="154">
        <f t="shared" si="184"/>
        <v>0</v>
      </c>
      <c r="I653" s="154">
        <f t="shared" si="185"/>
        <v>0</v>
      </c>
      <c r="J653" s="220"/>
    </row>
    <row r="654" spans="1:10">
      <c r="A654" s="155"/>
      <c r="B654" s="153">
        <v>649</v>
      </c>
      <c r="C654" s="153" t="s">
        <v>538</v>
      </c>
      <c r="D654" s="153" t="s">
        <v>228</v>
      </c>
      <c r="E654" s="154">
        <v>0.02</v>
      </c>
      <c r="F654" s="154">
        <f t="shared" si="182"/>
        <v>0.01</v>
      </c>
      <c r="G654" s="154">
        <f t="shared" si="183"/>
        <v>0.03</v>
      </c>
      <c r="H654" s="154">
        <f t="shared" si="184"/>
        <v>0.04</v>
      </c>
      <c r="I654" s="154">
        <f t="shared" si="185"/>
        <v>0</v>
      </c>
      <c r="J654" s="220">
        <v>44949</v>
      </c>
    </row>
    <row r="655" spans="1:10">
      <c r="A655" s="155"/>
      <c r="B655" s="153">
        <v>650</v>
      </c>
      <c r="C655" s="153" t="s">
        <v>539</v>
      </c>
      <c r="D655" s="153" t="s">
        <v>228</v>
      </c>
      <c r="E655" s="154">
        <v>0.02</v>
      </c>
      <c r="F655" s="154">
        <f t="shared" si="182"/>
        <v>0.01</v>
      </c>
      <c r="G655" s="154">
        <f t="shared" si="183"/>
        <v>0.03</v>
      </c>
      <c r="H655" s="154">
        <f t="shared" si="184"/>
        <v>0.04</v>
      </c>
      <c r="I655" s="154">
        <f t="shared" si="185"/>
        <v>0</v>
      </c>
      <c r="J655" s="220">
        <v>44949</v>
      </c>
    </row>
    <row r="656" spans="1:10">
      <c r="A656" s="155"/>
      <c r="B656" s="153">
        <v>651</v>
      </c>
      <c r="C656" s="153" t="s">
        <v>540</v>
      </c>
      <c r="D656" s="153" t="s">
        <v>228</v>
      </c>
      <c r="E656" s="154">
        <v>0.04</v>
      </c>
      <c r="F656" s="154">
        <f t="shared" si="182"/>
        <v>0.01</v>
      </c>
      <c r="G656" s="154">
        <f t="shared" si="183"/>
        <v>0.05</v>
      </c>
      <c r="H656" s="154">
        <f t="shared" si="184"/>
        <v>6.0000000000000005E-2</v>
      </c>
      <c r="I656" s="154">
        <f t="shared" si="185"/>
        <v>0</v>
      </c>
      <c r="J656" s="220">
        <v>44949</v>
      </c>
    </row>
    <row r="657" spans="1:10">
      <c r="A657" s="155"/>
      <c r="B657" s="153">
        <v>652</v>
      </c>
      <c r="C657" s="153" t="s">
        <v>541</v>
      </c>
      <c r="D657" s="153" t="s">
        <v>228</v>
      </c>
      <c r="E657" s="154">
        <v>0.02</v>
      </c>
      <c r="F657" s="154">
        <f t="shared" si="182"/>
        <v>0.01</v>
      </c>
      <c r="G657" s="154">
        <f t="shared" si="183"/>
        <v>0.03</v>
      </c>
      <c r="H657" s="154">
        <f t="shared" si="184"/>
        <v>0.04</v>
      </c>
      <c r="I657" s="154">
        <f t="shared" si="185"/>
        <v>0</v>
      </c>
      <c r="J657" s="220">
        <v>44949</v>
      </c>
    </row>
    <row r="658" spans="1:10">
      <c r="A658" s="155"/>
      <c r="B658" s="153">
        <v>653</v>
      </c>
      <c r="C658" s="153" t="s">
        <v>542</v>
      </c>
      <c r="D658" s="153" t="s">
        <v>228</v>
      </c>
      <c r="E658" s="154">
        <v>0.04</v>
      </c>
      <c r="F658" s="154">
        <f t="shared" si="182"/>
        <v>0.01</v>
      </c>
      <c r="G658" s="154">
        <f t="shared" si="183"/>
        <v>0.05</v>
      </c>
      <c r="H658" s="154">
        <f t="shared" si="184"/>
        <v>6.0000000000000005E-2</v>
      </c>
      <c r="I658" s="154">
        <f t="shared" si="185"/>
        <v>0</v>
      </c>
      <c r="J658" s="220">
        <v>44949</v>
      </c>
    </row>
    <row r="659" spans="1:10">
      <c r="A659" s="155"/>
      <c r="B659" s="153">
        <v>654</v>
      </c>
      <c r="C659" s="153" t="s">
        <v>543</v>
      </c>
      <c r="D659" s="153" t="s">
        <v>228</v>
      </c>
      <c r="E659" s="154">
        <v>0.09</v>
      </c>
      <c r="F659" s="154">
        <f t="shared" si="182"/>
        <v>0.02</v>
      </c>
      <c r="G659" s="154">
        <f t="shared" si="183"/>
        <v>0.11</v>
      </c>
      <c r="H659" s="154">
        <f t="shared" si="184"/>
        <v>0.13</v>
      </c>
      <c r="I659" s="154">
        <f t="shared" si="185"/>
        <v>0</v>
      </c>
      <c r="J659" s="220"/>
    </row>
    <row r="660" spans="1:10">
      <c r="A660" s="155"/>
      <c r="B660" s="153">
        <v>655</v>
      </c>
      <c r="C660" s="153" t="s">
        <v>544</v>
      </c>
      <c r="D660" s="153" t="s">
        <v>228</v>
      </c>
      <c r="E660" s="154">
        <v>0.49</v>
      </c>
      <c r="F660" s="154">
        <f t="shared" si="182"/>
        <v>0.08</v>
      </c>
      <c r="G660" s="154">
        <f t="shared" si="183"/>
        <v>0.56999999999999995</v>
      </c>
      <c r="H660" s="154">
        <f t="shared" si="184"/>
        <v>0.63</v>
      </c>
      <c r="I660" s="154">
        <f t="shared" si="185"/>
        <v>0</v>
      </c>
      <c r="J660" s="220"/>
    </row>
    <row r="661" spans="1:10">
      <c r="A661" s="155"/>
      <c r="B661" s="153">
        <v>656</v>
      </c>
      <c r="C661" s="153" t="s">
        <v>545</v>
      </c>
      <c r="D661" s="153" t="s">
        <v>243</v>
      </c>
      <c r="E661" s="154">
        <v>24.32</v>
      </c>
      <c r="F661" s="154">
        <f t="shared" si="182"/>
        <v>3.65</v>
      </c>
      <c r="G661" s="154">
        <f t="shared" si="183"/>
        <v>27.97</v>
      </c>
      <c r="H661" s="154">
        <f t="shared" si="184"/>
        <v>30.770000000000003</v>
      </c>
      <c r="I661" s="154">
        <f t="shared" si="185"/>
        <v>0</v>
      </c>
      <c r="J661" s="220">
        <v>44949</v>
      </c>
    </row>
    <row r="662" spans="1:10">
      <c r="A662" s="155"/>
      <c r="B662" s="153">
        <v>657</v>
      </c>
      <c r="C662" s="153" t="s">
        <v>546</v>
      </c>
      <c r="D662" s="153" t="s">
        <v>243</v>
      </c>
      <c r="E662" s="154">
        <v>19.91</v>
      </c>
      <c r="F662" s="154">
        <f t="shared" si="182"/>
        <v>2.9899999999999998</v>
      </c>
      <c r="G662" s="154">
        <f t="shared" si="183"/>
        <v>22.9</v>
      </c>
      <c r="H662" s="154">
        <f t="shared" si="184"/>
        <v>25.19</v>
      </c>
      <c r="I662" s="154">
        <f t="shared" si="185"/>
        <v>0</v>
      </c>
      <c r="J662" s="220"/>
    </row>
    <row r="663" spans="1:10">
      <c r="A663" s="155"/>
      <c r="B663" s="153">
        <v>658</v>
      </c>
      <c r="C663" s="153" t="s">
        <v>547</v>
      </c>
      <c r="D663" s="153" t="s">
        <v>243</v>
      </c>
      <c r="E663" s="154">
        <v>19.61</v>
      </c>
      <c r="F663" s="154">
        <f t="shared" si="182"/>
        <v>2.9499999999999997</v>
      </c>
      <c r="G663" s="154">
        <f t="shared" si="183"/>
        <v>22.56</v>
      </c>
      <c r="H663" s="154">
        <f t="shared" si="184"/>
        <v>24.82</v>
      </c>
      <c r="I663" s="154">
        <f t="shared" si="185"/>
        <v>0</v>
      </c>
      <c r="J663" s="220">
        <v>44476</v>
      </c>
    </row>
    <row r="664" spans="1:10">
      <c r="A664" s="155"/>
      <c r="B664" s="153">
        <v>659</v>
      </c>
      <c r="C664" s="153" t="s">
        <v>548</v>
      </c>
      <c r="D664" s="153" t="s">
        <v>228</v>
      </c>
      <c r="E664" s="154">
        <v>33.07</v>
      </c>
      <c r="F664" s="154">
        <f t="shared" si="182"/>
        <v>4.97</v>
      </c>
      <c r="G664" s="154">
        <f t="shared" si="183"/>
        <v>38.04</v>
      </c>
      <c r="H664" s="154">
        <f t="shared" si="184"/>
        <v>41.85</v>
      </c>
      <c r="I664" s="154">
        <f t="shared" si="185"/>
        <v>0</v>
      </c>
      <c r="J664" s="220">
        <v>44476</v>
      </c>
    </row>
    <row r="665" spans="1:10">
      <c r="A665" s="155"/>
      <c r="B665" s="153">
        <v>660</v>
      </c>
      <c r="C665" s="153" t="s">
        <v>549</v>
      </c>
      <c r="D665" s="153" t="s">
        <v>228</v>
      </c>
      <c r="E665" s="154">
        <v>1.74</v>
      </c>
      <c r="F665" s="154">
        <f t="shared" si="182"/>
        <v>0.27</v>
      </c>
      <c r="G665" s="154">
        <f t="shared" si="183"/>
        <v>2.0099999999999998</v>
      </c>
      <c r="H665" s="154">
        <f t="shared" si="184"/>
        <v>2.2199999999999998</v>
      </c>
      <c r="I665" s="154">
        <f t="shared" si="185"/>
        <v>0</v>
      </c>
      <c r="J665" s="220"/>
    </row>
    <row r="666" spans="1:10">
      <c r="A666" s="155"/>
      <c r="B666" s="153">
        <v>661</v>
      </c>
      <c r="C666" s="153" t="s">
        <v>550</v>
      </c>
      <c r="D666" s="153" t="s">
        <v>228</v>
      </c>
      <c r="E666" s="154">
        <v>2.78</v>
      </c>
      <c r="F666" s="154">
        <f t="shared" si="182"/>
        <v>0.42</v>
      </c>
      <c r="G666" s="154">
        <f t="shared" si="183"/>
        <v>3.1999999999999997</v>
      </c>
      <c r="H666" s="154">
        <f t="shared" si="184"/>
        <v>3.52</v>
      </c>
      <c r="I666" s="154">
        <f t="shared" si="185"/>
        <v>0</v>
      </c>
      <c r="J666" s="220"/>
    </row>
    <row r="667" spans="1:10">
      <c r="A667" s="155"/>
      <c r="B667" s="153">
        <v>662</v>
      </c>
      <c r="C667" s="153" t="s">
        <v>551</v>
      </c>
      <c r="D667" s="153" t="s">
        <v>228</v>
      </c>
      <c r="E667" s="154">
        <v>4.13</v>
      </c>
      <c r="F667" s="154">
        <f t="shared" si="182"/>
        <v>0.62</v>
      </c>
      <c r="G667" s="154">
        <f t="shared" si="183"/>
        <v>4.75</v>
      </c>
      <c r="H667" s="154">
        <f t="shared" si="184"/>
        <v>5.2299999999999995</v>
      </c>
      <c r="I667" s="154">
        <f t="shared" si="185"/>
        <v>0</v>
      </c>
      <c r="J667" s="220">
        <v>44476</v>
      </c>
    </row>
    <row r="668" spans="1:10">
      <c r="A668" s="155"/>
      <c r="B668" s="153">
        <v>663</v>
      </c>
      <c r="C668" s="153" t="s">
        <v>552</v>
      </c>
      <c r="D668" s="153" t="s">
        <v>228</v>
      </c>
      <c r="E668" s="154">
        <v>39.450000000000003</v>
      </c>
      <c r="F668" s="154">
        <f t="shared" si="182"/>
        <v>5.92</v>
      </c>
      <c r="G668" s="154">
        <f t="shared" si="183"/>
        <v>45.370000000000005</v>
      </c>
      <c r="H668" s="154">
        <f t="shared" si="184"/>
        <v>49.91</v>
      </c>
      <c r="I668" s="154">
        <f t="shared" si="185"/>
        <v>0</v>
      </c>
      <c r="J668" s="220">
        <v>44476</v>
      </c>
    </row>
    <row r="669" spans="1:10">
      <c r="A669" s="155"/>
      <c r="B669" s="153">
        <v>664</v>
      </c>
      <c r="C669" s="153" t="s">
        <v>553</v>
      </c>
      <c r="D669" s="153" t="s">
        <v>228</v>
      </c>
      <c r="E669" s="154">
        <v>0.75</v>
      </c>
      <c r="F669" s="154">
        <f t="shared" si="182"/>
        <v>0.12</v>
      </c>
      <c r="G669" s="154">
        <f t="shared" si="183"/>
        <v>0.87</v>
      </c>
      <c r="H669" s="154">
        <f t="shared" si="184"/>
        <v>0.96</v>
      </c>
      <c r="I669" s="154">
        <f t="shared" si="185"/>
        <v>0</v>
      </c>
      <c r="J669" s="220"/>
    </row>
    <row r="670" spans="1:10">
      <c r="A670" s="155"/>
      <c r="B670" s="153">
        <v>665</v>
      </c>
      <c r="C670" s="153" t="s">
        <v>554</v>
      </c>
      <c r="D670" s="153" t="s">
        <v>228</v>
      </c>
      <c r="E670" s="154">
        <v>5.5</v>
      </c>
      <c r="F670" s="154">
        <f t="shared" si="182"/>
        <v>0.83</v>
      </c>
      <c r="G670" s="154">
        <f t="shared" si="183"/>
        <v>6.33</v>
      </c>
      <c r="H670" s="154">
        <f t="shared" si="184"/>
        <v>6.97</v>
      </c>
      <c r="I670" s="154">
        <f t="shared" si="185"/>
        <v>0</v>
      </c>
      <c r="J670" s="220"/>
    </row>
    <row r="671" spans="1:10">
      <c r="A671" s="155"/>
      <c r="B671" s="153">
        <v>666</v>
      </c>
      <c r="C671" s="153" t="s">
        <v>555</v>
      </c>
      <c r="D671" s="153" t="s">
        <v>228</v>
      </c>
      <c r="E671" s="154">
        <v>71.239999999999995</v>
      </c>
      <c r="F671" s="154">
        <f t="shared" si="182"/>
        <v>10.69</v>
      </c>
      <c r="G671" s="154">
        <f t="shared" si="183"/>
        <v>81.929999999999993</v>
      </c>
      <c r="H671" s="154">
        <f t="shared" si="184"/>
        <v>90.13000000000001</v>
      </c>
      <c r="I671" s="154">
        <f t="shared" si="185"/>
        <v>0</v>
      </c>
      <c r="J671" s="220"/>
    </row>
    <row r="672" spans="1:10">
      <c r="A672" s="155"/>
      <c r="B672" s="153">
        <v>667</v>
      </c>
      <c r="C672" s="153" t="s">
        <v>556</v>
      </c>
      <c r="D672" s="153" t="s">
        <v>228</v>
      </c>
      <c r="E672" s="154">
        <v>6.04</v>
      </c>
      <c r="F672" s="154">
        <f t="shared" ref="F672:F735" si="186">ROUNDUP(E672*0.15,2)</f>
        <v>0.91</v>
      </c>
      <c r="G672" s="154">
        <f t="shared" si="183"/>
        <v>6.95</v>
      </c>
      <c r="H672" s="154">
        <f t="shared" si="184"/>
        <v>7.6499999999999995</v>
      </c>
      <c r="I672" s="154">
        <f t="shared" si="185"/>
        <v>0</v>
      </c>
      <c r="J672" s="220"/>
    </row>
    <row r="673" spans="1:10">
      <c r="A673" s="155"/>
      <c r="B673" s="153">
        <v>668</v>
      </c>
      <c r="C673" s="153" t="s">
        <v>557</v>
      </c>
      <c r="D673" s="153" t="s">
        <v>228</v>
      </c>
      <c r="E673" s="154">
        <v>6.04</v>
      </c>
      <c r="F673" s="154">
        <f t="shared" si="186"/>
        <v>0.91</v>
      </c>
      <c r="G673" s="154">
        <f t="shared" si="183"/>
        <v>6.95</v>
      </c>
      <c r="H673" s="154">
        <f t="shared" si="184"/>
        <v>7.6499999999999995</v>
      </c>
      <c r="I673" s="154">
        <f t="shared" si="185"/>
        <v>0</v>
      </c>
      <c r="J673" s="220"/>
    </row>
    <row r="674" spans="1:10">
      <c r="A674" s="155"/>
      <c r="B674" s="153">
        <v>669</v>
      </c>
      <c r="C674" s="153" t="s">
        <v>205</v>
      </c>
      <c r="D674" s="153"/>
      <c r="E674" s="154"/>
      <c r="F674" s="154">
        <f t="shared" si="186"/>
        <v>0</v>
      </c>
      <c r="G674" s="154">
        <f t="shared" si="183"/>
        <v>0</v>
      </c>
      <c r="H674" s="154">
        <f t="shared" si="184"/>
        <v>0</v>
      </c>
      <c r="I674" s="154">
        <f t="shared" si="185"/>
        <v>0</v>
      </c>
      <c r="J674" s="220"/>
    </row>
    <row r="675" spans="1:10">
      <c r="A675" s="155"/>
      <c r="B675" s="153">
        <v>670</v>
      </c>
      <c r="C675" s="153" t="s">
        <v>768</v>
      </c>
      <c r="D675" s="153" t="s">
        <v>228</v>
      </c>
      <c r="E675" s="154">
        <v>12.72</v>
      </c>
      <c r="F675" s="154">
        <f t="shared" si="186"/>
        <v>1.91</v>
      </c>
      <c r="G675" s="154">
        <f t="shared" si="183"/>
        <v>14.63</v>
      </c>
      <c r="H675" s="154">
        <f t="shared" si="184"/>
        <v>16.100000000000001</v>
      </c>
      <c r="I675" s="154">
        <f t="shared" si="185"/>
        <v>0</v>
      </c>
      <c r="J675" s="220">
        <v>46066</v>
      </c>
    </row>
    <row r="676" spans="1:10">
      <c r="A676" s="155"/>
      <c r="B676" s="153">
        <v>671</v>
      </c>
      <c r="C676" s="153" t="s">
        <v>769</v>
      </c>
      <c r="D676" s="153" t="s">
        <v>228</v>
      </c>
      <c r="E676" s="154">
        <v>12.72</v>
      </c>
      <c r="F676" s="154">
        <f t="shared" si="186"/>
        <v>1.91</v>
      </c>
      <c r="G676" s="154">
        <f t="shared" si="183"/>
        <v>14.63</v>
      </c>
      <c r="H676" s="154">
        <f t="shared" si="184"/>
        <v>16.100000000000001</v>
      </c>
      <c r="I676" s="154">
        <f t="shared" si="185"/>
        <v>0</v>
      </c>
      <c r="J676" s="220">
        <v>46066</v>
      </c>
    </row>
    <row r="677" spans="1:10">
      <c r="A677" s="155"/>
      <c r="B677" s="153">
        <v>672</v>
      </c>
      <c r="C677" s="153" t="s">
        <v>770</v>
      </c>
      <c r="D677" s="153" t="s">
        <v>228</v>
      </c>
      <c r="E677" s="154">
        <v>16.36</v>
      </c>
      <c r="F677" s="154">
        <f t="shared" si="186"/>
        <v>2.46</v>
      </c>
      <c r="G677" s="154">
        <f t="shared" si="183"/>
        <v>18.82</v>
      </c>
      <c r="H677" s="154">
        <f t="shared" si="184"/>
        <v>20.71</v>
      </c>
      <c r="I677" s="154">
        <f t="shared" si="185"/>
        <v>0</v>
      </c>
      <c r="J677" s="220">
        <v>46066</v>
      </c>
    </row>
    <row r="678" spans="1:10">
      <c r="A678" s="155"/>
      <c r="B678" s="153">
        <v>673</v>
      </c>
      <c r="C678" s="153" t="s">
        <v>771</v>
      </c>
      <c r="D678" s="153" t="s">
        <v>228</v>
      </c>
      <c r="E678" s="154">
        <v>17.2</v>
      </c>
      <c r="F678" s="154">
        <f t="shared" si="186"/>
        <v>2.58</v>
      </c>
      <c r="G678" s="154">
        <f t="shared" si="183"/>
        <v>19.78</v>
      </c>
      <c r="H678" s="154">
        <f t="shared" si="184"/>
        <v>21.76</v>
      </c>
      <c r="I678" s="154">
        <f t="shared" si="185"/>
        <v>0</v>
      </c>
      <c r="J678" s="220">
        <v>46066</v>
      </c>
    </row>
    <row r="679" spans="1:10">
      <c r="A679" s="155"/>
      <c r="B679" s="153">
        <v>674</v>
      </c>
      <c r="C679" s="153" t="s">
        <v>772</v>
      </c>
      <c r="D679" s="153" t="s">
        <v>228</v>
      </c>
      <c r="E679" s="154">
        <v>19.97</v>
      </c>
      <c r="F679" s="154">
        <f t="shared" si="186"/>
        <v>3</v>
      </c>
      <c r="G679" s="154">
        <f t="shared" si="183"/>
        <v>22.97</v>
      </c>
      <c r="H679" s="154">
        <f t="shared" si="184"/>
        <v>25.270000000000003</v>
      </c>
      <c r="I679" s="154">
        <f t="shared" si="185"/>
        <v>0</v>
      </c>
      <c r="J679" s="220">
        <v>46066</v>
      </c>
    </row>
    <row r="680" spans="1:10">
      <c r="A680" s="155"/>
      <c r="B680" s="153">
        <v>675</v>
      </c>
      <c r="C680" s="153" t="s">
        <v>773</v>
      </c>
      <c r="D680" s="153" t="s">
        <v>228</v>
      </c>
      <c r="E680" s="154">
        <v>21.81</v>
      </c>
      <c r="F680" s="154">
        <f t="shared" si="186"/>
        <v>3.28</v>
      </c>
      <c r="G680" s="154">
        <f t="shared" si="183"/>
        <v>25.09</v>
      </c>
      <c r="H680" s="154">
        <f t="shared" si="184"/>
        <v>27.6</v>
      </c>
      <c r="I680" s="154">
        <f t="shared" si="185"/>
        <v>0</v>
      </c>
      <c r="J680" s="220">
        <v>46066</v>
      </c>
    </row>
    <row r="681" spans="1:10">
      <c r="A681" s="155"/>
      <c r="B681" s="153">
        <v>676</v>
      </c>
      <c r="C681" s="153" t="s">
        <v>774</v>
      </c>
      <c r="D681" s="153" t="s">
        <v>228</v>
      </c>
      <c r="E681" s="154">
        <v>24.05</v>
      </c>
      <c r="F681" s="154">
        <f t="shared" si="186"/>
        <v>3.61</v>
      </c>
      <c r="G681" s="154">
        <f t="shared" si="183"/>
        <v>27.66</v>
      </c>
      <c r="H681" s="154">
        <f t="shared" si="184"/>
        <v>30.430000000000003</v>
      </c>
      <c r="I681" s="154">
        <f t="shared" si="185"/>
        <v>0</v>
      </c>
      <c r="J681" s="220">
        <v>46066</v>
      </c>
    </row>
    <row r="682" spans="1:10">
      <c r="A682" s="155"/>
      <c r="B682" s="153">
        <v>677</v>
      </c>
      <c r="C682" s="153" t="s">
        <v>775</v>
      </c>
      <c r="D682" s="153" t="s">
        <v>228</v>
      </c>
      <c r="E682" s="154">
        <v>28.56</v>
      </c>
      <c r="F682" s="154">
        <f t="shared" si="186"/>
        <v>4.29</v>
      </c>
      <c r="G682" s="154">
        <f t="shared" si="183"/>
        <v>32.85</v>
      </c>
      <c r="H682" s="154">
        <f t="shared" si="184"/>
        <v>36.14</v>
      </c>
      <c r="I682" s="154">
        <f t="shared" si="185"/>
        <v>0</v>
      </c>
      <c r="J682" s="220">
        <v>46066</v>
      </c>
    </row>
    <row r="683" spans="1:10">
      <c r="A683" s="155"/>
      <c r="B683" s="153">
        <v>678</v>
      </c>
      <c r="C683" s="153" t="s">
        <v>776</v>
      </c>
      <c r="D683" s="153" t="s">
        <v>228</v>
      </c>
      <c r="E683" s="154">
        <v>34.270000000000003</v>
      </c>
      <c r="F683" s="154">
        <f t="shared" si="186"/>
        <v>5.1499999999999995</v>
      </c>
      <c r="G683" s="154">
        <f t="shared" si="183"/>
        <v>39.42</v>
      </c>
      <c r="H683" s="154">
        <f t="shared" si="184"/>
        <v>43.37</v>
      </c>
      <c r="I683" s="154">
        <f t="shared" si="185"/>
        <v>0</v>
      </c>
      <c r="J683" s="220">
        <v>46066</v>
      </c>
    </row>
    <row r="684" spans="1:10">
      <c r="A684" s="155"/>
      <c r="B684" s="153">
        <v>679</v>
      </c>
      <c r="C684" s="153" t="s">
        <v>777</v>
      </c>
      <c r="D684" s="153" t="s">
        <v>228</v>
      </c>
      <c r="E684" s="154">
        <v>42.14</v>
      </c>
      <c r="F684" s="154">
        <f t="shared" si="186"/>
        <v>6.33</v>
      </c>
      <c r="G684" s="154">
        <f t="shared" si="183"/>
        <v>48.47</v>
      </c>
      <c r="H684" s="154">
        <f t="shared" si="184"/>
        <v>53.32</v>
      </c>
      <c r="I684" s="154">
        <f t="shared" si="185"/>
        <v>0</v>
      </c>
      <c r="J684" s="220">
        <v>46066</v>
      </c>
    </row>
    <row r="685" spans="1:10">
      <c r="A685" s="155"/>
      <c r="B685" s="153">
        <v>680</v>
      </c>
      <c r="C685" s="153" t="s">
        <v>778</v>
      </c>
      <c r="D685" s="153" t="s">
        <v>228</v>
      </c>
      <c r="E685" s="154">
        <v>20.27</v>
      </c>
      <c r="F685" s="154">
        <f t="shared" si="186"/>
        <v>3.05</v>
      </c>
      <c r="G685" s="154">
        <f t="shared" si="183"/>
        <v>23.32</v>
      </c>
      <c r="H685" s="154">
        <f t="shared" si="184"/>
        <v>25.66</v>
      </c>
      <c r="I685" s="154">
        <f t="shared" si="185"/>
        <v>0</v>
      </c>
      <c r="J685" s="220">
        <v>46066</v>
      </c>
    </row>
    <row r="686" spans="1:10">
      <c r="A686" s="155"/>
      <c r="B686" s="153">
        <v>681</v>
      </c>
      <c r="C686" s="153" t="s">
        <v>779</v>
      </c>
      <c r="D686" s="153" t="s">
        <v>228</v>
      </c>
      <c r="E686" s="154">
        <v>20.27</v>
      </c>
      <c r="F686" s="154">
        <f t="shared" si="186"/>
        <v>3.05</v>
      </c>
      <c r="G686" s="154">
        <f t="shared" si="183"/>
        <v>23.32</v>
      </c>
      <c r="H686" s="154">
        <f t="shared" si="184"/>
        <v>25.66</v>
      </c>
      <c r="I686" s="154">
        <f t="shared" si="185"/>
        <v>0</v>
      </c>
      <c r="J686" s="220">
        <v>46066</v>
      </c>
    </row>
    <row r="687" spans="1:10">
      <c r="A687" s="155"/>
      <c r="B687" s="153">
        <v>682</v>
      </c>
      <c r="C687" s="153" t="s">
        <v>780</v>
      </c>
      <c r="D687" s="153" t="s">
        <v>228</v>
      </c>
      <c r="E687" s="154">
        <v>21.5</v>
      </c>
      <c r="F687" s="154">
        <f t="shared" si="186"/>
        <v>3.23</v>
      </c>
      <c r="G687" s="154">
        <f t="shared" si="183"/>
        <v>24.73</v>
      </c>
      <c r="H687" s="154">
        <f t="shared" si="184"/>
        <v>27.21</v>
      </c>
      <c r="I687" s="154">
        <f t="shared" si="185"/>
        <v>0</v>
      </c>
      <c r="J687" s="220">
        <v>44949</v>
      </c>
    </row>
    <row r="688" spans="1:10">
      <c r="A688" s="155"/>
      <c r="B688" s="153">
        <v>683</v>
      </c>
      <c r="C688" s="153" t="s">
        <v>781</v>
      </c>
      <c r="D688" s="153" t="s">
        <v>228</v>
      </c>
      <c r="E688" s="154">
        <v>26.1</v>
      </c>
      <c r="F688" s="154">
        <f t="shared" si="186"/>
        <v>3.92</v>
      </c>
      <c r="G688" s="154">
        <f t="shared" si="183"/>
        <v>30.020000000000003</v>
      </c>
      <c r="H688" s="154">
        <f t="shared" si="184"/>
        <v>33.03</v>
      </c>
      <c r="I688" s="154">
        <f t="shared" si="185"/>
        <v>0</v>
      </c>
      <c r="J688" s="220">
        <v>46066</v>
      </c>
    </row>
    <row r="689" spans="1:10">
      <c r="A689" s="155"/>
      <c r="B689" s="153">
        <v>684</v>
      </c>
      <c r="C689" s="153" t="s">
        <v>782</v>
      </c>
      <c r="D689" s="153" t="s">
        <v>228</v>
      </c>
      <c r="E689" s="154">
        <v>26.99</v>
      </c>
      <c r="F689" s="154">
        <f t="shared" si="186"/>
        <v>4.05</v>
      </c>
      <c r="G689" s="154">
        <f t="shared" si="183"/>
        <v>31.04</v>
      </c>
      <c r="H689" s="154">
        <f t="shared" si="184"/>
        <v>34.15</v>
      </c>
      <c r="I689" s="154">
        <f t="shared" si="185"/>
        <v>0</v>
      </c>
      <c r="J689" s="220">
        <v>44949</v>
      </c>
    </row>
    <row r="690" spans="1:10">
      <c r="A690" s="155"/>
      <c r="B690" s="153">
        <v>685</v>
      </c>
      <c r="C690" s="153" t="s">
        <v>783</v>
      </c>
      <c r="D690" s="153" t="s">
        <v>228</v>
      </c>
      <c r="E690" s="154">
        <v>32.020000000000003</v>
      </c>
      <c r="F690" s="154">
        <f t="shared" si="186"/>
        <v>4.8099999999999996</v>
      </c>
      <c r="G690" s="154">
        <f t="shared" si="183"/>
        <v>36.830000000000005</v>
      </c>
      <c r="H690" s="154">
        <f t="shared" si="184"/>
        <v>40.519999999999996</v>
      </c>
      <c r="I690" s="154">
        <f t="shared" si="185"/>
        <v>0</v>
      </c>
      <c r="J690" s="220">
        <v>46066</v>
      </c>
    </row>
    <row r="691" spans="1:10">
      <c r="A691" s="155"/>
      <c r="B691" s="153">
        <v>686</v>
      </c>
      <c r="C691" s="153" t="s">
        <v>784</v>
      </c>
      <c r="D691" s="153" t="s">
        <v>228</v>
      </c>
      <c r="E691" s="154">
        <v>34.93</v>
      </c>
      <c r="F691" s="154">
        <f t="shared" si="186"/>
        <v>5.24</v>
      </c>
      <c r="G691" s="154">
        <f t="shared" si="183"/>
        <v>40.17</v>
      </c>
      <c r="H691" s="154">
        <f t="shared" si="184"/>
        <v>44.19</v>
      </c>
      <c r="I691" s="154">
        <f t="shared" si="185"/>
        <v>0</v>
      </c>
      <c r="J691" s="220">
        <v>46066</v>
      </c>
    </row>
    <row r="692" spans="1:10">
      <c r="A692" s="155"/>
      <c r="B692" s="153">
        <v>687</v>
      </c>
      <c r="C692" s="153" t="s">
        <v>785</v>
      </c>
      <c r="D692" s="153" t="s">
        <v>228</v>
      </c>
      <c r="E692" s="154">
        <v>40.76</v>
      </c>
      <c r="F692" s="154">
        <f t="shared" si="186"/>
        <v>6.12</v>
      </c>
      <c r="G692" s="154">
        <f t="shared" si="183"/>
        <v>46.879999999999995</v>
      </c>
      <c r="H692" s="154">
        <f t="shared" si="184"/>
        <v>51.57</v>
      </c>
      <c r="I692" s="154">
        <f t="shared" si="185"/>
        <v>0</v>
      </c>
      <c r="J692" s="220">
        <v>46066</v>
      </c>
    </row>
    <row r="693" spans="1:10">
      <c r="A693" s="155"/>
      <c r="B693" s="153">
        <v>688</v>
      </c>
      <c r="C693" s="153" t="s">
        <v>786</v>
      </c>
      <c r="D693" s="153" t="s">
        <v>228</v>
      </c>
      <c r="E693" s="154">
        <v>40.200000000000003</v>
      </c>
      <c r="F693" s="154">
        <f t="shared" si="186"/>
        <v>6.03</v>
      </c>
      <c r="G693" s="154">
        <f t="shared" si="183"/>
        <v>46.230000000000004</v>
      </c>
      <c r="H693" s="154">
        <f t="shared" si="184"/>
        <v>50.86</v>
      </c>
      <c r="I693" s="154">
        <f t="shared" si="185"/>
        <v>0</v>
      </c>
      <c r="J693" s="220">
        <v>44949</v>
      </c>
    </row>
    <row r="694" spans="1:10">
      <c r="A694" s="155"/>
      <c r="B694" s="153">
        <v>689</v>
      </c>
      <c r="C694" s="153" t="s">
        <v>787</v>
      </c>
      <c r="D694" s="153" t="s">
        <v>228</v>
      </c>
      <c r="E694" s="154">
        <v>31.24</v>
      </c>
      <c r="F694" s="154">
        <f t="shared" si="186"/>
        <v>4.6899999999999995</v>
      </c>
      <c r="G694" s="154">
        <f t="shared" si="183"/>
        <v>35.93</v>
      </c>
      <c r="H694" s="154">
        <f t="shared" si="184"/>
        <v>39.53</v>
      </c>
      <c r="I694" s="154">
        <f t="shared" si="185"/>
        <v>0</v>
      </c>
      <c r="J694" s="220"/>
    </row>
    <row r="695" spans="1:10">
      <c r="A695" s="155"/>
      <c r="B695" s="153">
        <v>690</v>
      </c>
      <c r="C695" s="153" t="s">
        <v>205</v>
      </c>
      <c r="D695" s="153"/>
      <c r="E695" s="154"/>
      <c r="F695" s="154">
        <f t="shared" si="186"/>
        <v>0</v>
      </c>
      <c r="G695" s="154">
        <f t="shared" si="183"/>
        <v>0</v>
      </c>
      <c r="H695" s="154">
        <f t="shared" si="184"/>
        <v>0</v>
      </c>
      <c r="I695" s="154">
        <f t="shared" si="185"/>
        <v>0</v>
      </c>
      <c r="J695" s="220"/>
    </row>
    <row r="696" spans="1:10">
      <c r="A696" s="155"/>
      <c r="B696" s="153">
        <v>691</v>
      </c>
      <c r="C696" s="153" t="s">
        <v>558</v>
      </c>
      <c r="D696" s="153" t="s">
        <v>228</v>
      </c>
      <c r="E696" s="154">
        <v>8.7799999999999994</v>
      </c>
      <c r="F696" s="154">
        <f t="shared" si="186"/>
        <v>1.32</v>
      </c>
      <c r="G696" s="154">
        <f t="shared" si="183"/>
        <v>10.1</v>
      </c>
      <c r="H696" s="154">
        <f t="shared" si="184"/>
        <v>11.11</v>
      </c>
      <c r="I696" s="154">
        <f t="shared" si="185"/>
        <v>0</v>
      </c>
      <c r="J696" s="220"/>
    </row>
    <row r="697" spans="1:10">
      <c r="A697" s="155"/>
      <c r="B697" s="153">
        <v>692</v>
      </c>
      <c r="C697" s="153" t="s">
        <v>559</v>
      </c>
      <c r="D697" s="153" t="s">
        <v>228</v>
      </c>
      <c r="E697" s="154">
        <v>9.1300000000000008</v>
      </c>
      <c r="F697" s="154">
        <f t="shared" si="186"/>
        <v>1.37</v>
      </c>
      <c r="G697" s="154">
        <f t="shared" si="183"/>
        <v>10.5</v>
      </c>
      <c r="H697" s="154">
        <f t="shared" si="184"/>
        <v>11.55</v>
      </c>
      <c r="I697" s="154">
        <f t="shared" si="185"/>
        <v>0</v>
      </c>
      <c r="J697" s="220"/>
    </row>
    <row r="698" spans="1:10">
      <c r="A698" s="155"/>
      <c r="B698" s="153">
        <v>693</v>
      </c>
      <c r="C698" s="153" t="s">
        <v>560</v>
      </c>
      <c r="D698" s="153" t="s">
        <v>228</v>
      </c>
      <c r="E698" s="154">
        <v>6.97</v>
      </c>
      <c r="F698" s="154">
        <f t="shared" si="186"/>
        <v>1.05</v>
      </c>
      <c r="G698" s="154">
        <f t="shared" si="183"/>
        <v>8.02</v>
      </c>
      <c r="H698" s="154">
        <f t="shared" si="184"/>
        <v>8.83</v>
      </c>
      <c r="I698" s="154">
        <f t="shared" si="185"/>
        <v>0</v>
      </c>
      <c r="J698" s="220"/>
    </row>
    <row r="699" spans="1:10">
      <c r="A699" s="155"/>
      <c r="B699" s="153">
        <v>694</v>
      </c>
      <c r="C699" s="153" t="s">
        <v>561</v>
      </c>
      <c r="D699" s="153" t="s">
        <v>228</v>
      </c>
      <c r="E699" s="154">
        <v>9.25</v>
      </c>
      <c r="F699" s="154">
        <f t="shared" si="186"/>
        <v>1.39</v>
      </c>
      <c r="G699" s="154">
        <f t="shared" si="183"/>
        <v>10.64</v>
      </c>
      <c r="H699" s="154">
        <f t="shared" si="184"/>
        <v>11.709999999999999</v>
      </c>
      <c r="I699" s="154">
        <f t="shared" si="185"/>
        <v>0</v>
      </c>
      <c r="J699" s="220"/>
    </row>
    <row r="700" spans="1:10">
      <c r="A700" s="155"/>
      <c r="B700" s="153">
        <v>695</v>
      </c>
      <c r="C700" s="153" t="s">
        <v>562</v>
      </c>
      <c r="D700" s="153" t="s">
        <v>228</v>
      </c>
      <c r="E700" s="154">
        <v>9.6300000000000008</v>
      </c>
      <c r="F700" s="154">
        <f t="shared" si="186"/>
        <v>1.45</v>
      </c>
      <c r="G700" s="154">
        <f t="shared" si="183"/>
        <v>11.08</v>
      </c>
      <c r="H700" s="154">
        <f t="shared" si="184"/>
        <v>12.19</v>
      </c>
      <c r="I700" s="154">
        <f t="shared" si="185"/>
        <v>0</v>
      </c>
      <c r="J700" s="220"/>
    </row>
    <row r="701" spans="1:10">
      <c r="A701" s="155"/>
      <c r="B701" s="153">
        <v>696</v>
      </c>
      <c r="C701" s="153" t="s">
        <v>563</v>
      </c>
      <c r="D701" s="153" t="s">
        <v>228</v>
      </c>
      <c r="E701" s="154">
        <v>10.29</v>
      </c>
      <c r="F701" s="154">
        <f t="shared" si="186"/>
        <v>1.55</v>
      </c>
      <c r="G701" s="154">
        <f t="shared" si="183"/>
        <v>11.84</v>
      </c>
      <c r="H701" s="154">
        <f t="shared" si="184"/>
        <v>13.03</v>
      </c>
      <c r="I701" s="154">
        <f t="shared" si="185"/>
        <v>0</v>
      </c>
      <c r="J701" s="220"/>
    </row>
    <row r="702" spans="1:10">
      <c r="A702" s="155"/>
      <c r="B702" s="153">
        <v>697</v>
      </c>
      <c r="C702" s="153" t="s">
        <v>564</v>
      </c>
      <c r="D702" s="153" t="s">
        <v>228</v>
      </c>
      <c r="E702" s="154">
        <v>14.87</v>
      </c>
      <c r="F702" s="154">
        <f t="shared" si="186"/>
        <v>2.2399999999999998</v>
      </c>
      <c r="G702" s="154">
        <f t="shared" si="183"/>
        <v>17.11</v>
      </c>
      <c r="H702" s="154">
        <f t="shared" si="184"/>
        <v>18.830000000000002</v>
      </c>
      <c r="I702" s="154">
        <f t="shared" si="185"/>
        <v>0</v>
      </c>
      <c r="J702" s="220"/>
    </row>
    <row r="703" spans="1:10">
      <c r="A703" s="155"/>
      <c r="B703" s="153">
        <v>698</v>
      </c>
      <c r="C703" s="153" t="s">
        <v>565</v>
      </c>
      <c r="D703" s="153" t="s">
        <v>228</v>
      </c>
      <c r="E703" s="154">
        <v>18.54</v>
      </c>
      <c r="F703" s="154">
        <f t="shared" si="186"/>
        <v>2.7899999999999996</v>
      </c>
      <c r="G703" s="154">
        <f t="shared" si="183"/>
        <v>21.33</v>
      </c>
      <c r="H703" s="154">
        <f t="shared" si="184"/>
        <v>23.470000000000002</v>
      </c>
      <c r="I703" s="154">
        <f t="shared" si="185"/>
        <v>0</v>
      </c>
      <c r="J703" s="220"/>
    </row>
    <row r="704" spans="1:10">
      <c r="A704" s="155"/>
      <c r="B704" s="153">
        <v>699</v>
      </c>
      <c r="C704" s="153" t="s">
        <v>205</v>
      </c>
      <c r="D704" s="153"/>
      <c r="E704" s="154"/>
      <c r="F704" s="154">
        <f t="shared" si="186"/>
        <v>0</v>
      </c>
      <c r="G704" s="154">
        <f t="shared" si="183"/>
        <v>0</v>
      </c>
      <c r="H704" s="154">
        <f t="shared" si="184"/>
        <v>0</v>
      </c>
      <c r="I704" s="154">
        <f t="shared" si="185"/>
        <v>0</v>
      </c>
      <c r="J704" s="220"/>
    </row>
    <row r="705" spans="1:10">
      <c r="A705" s="155"/>
      <c r="B705" s="153">
        <v>700</v>
      </c>
      <c r="C705" s="153" t="s">
        <v>725</v>
      </c>
      <c r="D705" s="153" t="s">
        <v>228</v>
      </c>
      <c r="E705" s="154">
        <v>13.09</v>
      </c>
      <c r="F705" s="154">
        <f t="shared" si="186"/>
        <v>1.97</v>
      </c>
      <c r="G705" s="154">
        <f t="shared" si="183"/>
        <v>15.06</v>
      </c>
      <c r="H705" s="154">
        <f t="shared" si="184"/>
        <v>16.57</v>
      </c>
      <c r="I705" s="154">
        <f t="shared" si="185"/>
        <v>0</v>
      </c>
      <c r="J705" s="220">
        <v>44949</v>
      </c>
    </row>
    <row r="706" spans="1:10">
      <c r="A706" s="155"/>
      <c r="B706" s="153">
        <v>701</v>
      </c>
      <c r="C706" s="153" t="s">
        <v>726</v>
      </c>
      <c r="D706" s="153" t="s">
        <v>228</v>
      </c>
      <c r="E706" s="154">
        <v>13.76</v>
      </c>
      <c r="F706" s="154">
        <f t="shared" si="186"/>
        <v>2.0699999999999998</v>
      </c>
      <c r="G706" s="154">
        <f t="shared" si="183"/>
        <v>15.83</v>
      </c>
      <c r="H706" s="154">
        <f t="shared" si="184"/>
        <v>17.420000000000002</v>
      </c>
      <c r="I706" s="154">
        <f t="shared" si="185"/>
        <v>0</v>
      </c>
      <c r="J706" s="220">
        <v>44949</v>
      </c>
    </row>
    <row r="707" spans="1:10">
      <c r="A707" s="155"/>
      <c r="B707" s="153">
        <v>702</v>
      </c>
      <c r="C707" s="153" t="s">
        <v>727</v>
      </c>
      <c r="D707" s="153" t="s">
        <v>228</v>
      </c>
      <c r="E707" s="154">
        <v>13.07</v>
      </c>
      <c r="F707" s="154">
        <f t="shared" si="186"/>
        <v>1.97</v>
      </c>
      <c r="G707" s="154">
        <f t="shared" si="183"/>
        <v>15.040000000000001</v>
      </c>
      <c r="H707" s="154">
        <f t="shared" si="184"/>
        <v>16.55</v>
      </c>
      <c r="I707" s="154">
        <f t="shared" si="185"/>
        <v>0</v>
      </c>
      <c r="J707" s="220">
        <v>44949</v>
      </c>
    </row>
    <row r="708" spans="1:10">
      <c r="A708" s="155"/>
      <c r="B708" s="153">
        <v>703</v>
      </c>
      <c r="C708" s="153" t="s">
        <v>728</v>
      </c>
      <c r="D708" s="153" t="s">
        <v>228</v>
      </c>
      <c r="E708" s="154">
        <v>13.77</v>
      </c>
      <c r="F708" s="154">
        <f t="shared" si="186"/>
        <v>2.0699999999999998</v>
      </c>
      <c r="G708" s="154">
        <f t="shared" si="183"/>
        <v>15.84</v>
      </c>
      <c r="H708" s="154">
        <f t="shared" si="184"/>
        <v>17.430000000000003</v>
      </c>
      <c r="I708" s="154">
        <f t="shared" si="185"/>
        <v>0</v>
      </c>
      <c r="J708" s="220">
        <v>44949</v>
      </c>
    </row>
    <row r="709" spans="1:10">
      <c r="A709" s="155"/>
      <c r="B709" s="153">
        <v>704</v>
      </c>
      <c r="C709" s="153" t="s">
        <v>729</v>
      </c>
      <c r="D709" s="153" t="s">
        <v>228</v>
      </c>
      <c r="E709" s="154">
        <v>12.62</v>
      </c>
      <c r="F709" s="154">
        <f t="shared" si="186"/>
        <v>1.9</v>
      </c>
      <c r="G709" s="154">
        <f t="shared" si="183"/>
        <v>14.52</v>
      </c>
      <c r="H709" s="154">
        <f t="shared" si="184"/>
        <v>15.98</v>
      </c>
      <c r="I709" s="154">
        <f t="shared" si="185"/>
        <v>0</v>
      </c>
      <c r="J709" s="220">
        <v>46066</v>
      </c>
    </row>
    <row r="710" spans="1:10">
      <c r="A710" s="155"/>
      <c r="B710" s="153">
        <v>705</v>
      </c>
      <c r="C710" s="153" t="s">
        <v>730</v>
      </c>
      <c r="D710" s="153" t="s">
        <v>228</v>
      </c>
      <c r="E710" s="154">
        <v>13.23</v>
      </c>
      <c r="F710" s="154">
        <f t="shared" si="186"/>
        <v>1.99</v>
      </c>
      <c r="G710" s="154">
        <f t="shared" ref="G710:G773" si="187">E710+F710</f>
        <v>15.22</v>
      </c>
      <c r="H710" s="154">
        <f t="shared" ref="H710:H773" si="188">ROUNDUP(($E710+F710)*1.1,2)</f>
        <v>16.75</v>
      </c>
      <c r="I710" s="154">
        <f t="shared" ref="I710:I773" si="189">IF($C$2="Inventory Cost",A710*G710,A710*H710)</f>
        <v>0</v>
      </c>
      <c r="J710" s="220">
        <v>46066</v>
      </c>
    </row>
    <row r="711" spans="1:10">
      <c r="A711" s="155"/>
      <c r="B711" s="153">
        <v>706</v>
      </c>
      <c r="C711" s="153" t="s">
        <v>731</v>
      </c>
      <c r="D711" s="153" t="s">
        <v>228</v>
      </c>
      <c r="E711" s="154">
        <v>15.52</v>
      </c>
      <c r="F711" s="154">
        <f t="shared" si="186"/>
        <v>2.3299999999999996</v>
      </c>
      <c r="G711" s="154">
        <f t="shared" si="187"/>
        <v>17.849999999999998</v>
      </c>
      <c r="H711" s="154">
        <f t="shared" si="188"/>
        <v>19.64</v>
      </c>
      <c r="I711" s="154">
        <f t="shared" si="189"/>
        <v>0</v>
      </c>
      <c r="J711" s="220">
        <v>46066</v>
      </c>
    </row>
    <row r="712" spans="1:10">
      <c r="A712" s="155"/>
      <c r="B712" s="153">
        <v>707</v>
      </c>
      <c r="C712" s="153" t="s">
        <v>732</v>
      </c>
      <c r="D712" s="153" t="s">
        <v>228</v>
      </c>
      <c r="E712" s="154">
        <v>16.2</v>
      </c>
      <c r="F712" s="154">
        <f t="shared" si="186"/>
        <v>2.4300000000000002</v>
      </c>
      <c r="G712" s="154">
        <f t="shared" si="187"/>
        <v>18.63</v>
      </c>
      <c r="H712" s="154">
        <f t="shared" si="188"/>
        <v>20.5</v>
      </c>
      <c r="I712" s="154">
        <f t="shared" si="189"/>
        <v>0</v>
      </c>
      <c r="J712" s="220">
        <v>46066</v>
      </c>
    </row>
    <row r="713" spans="1:10">
      <c r="A713" s="155"/>
      <c r="B713" s="153">
        <v>708</v>
      </c>
      <c r="C713" s="153" t="s">
        <v>733</v>
      </c>
      <c r="D713" s="153" t="s">
        <v>228</v>
      </c>
      <c r="E713" s="154">
        <v>15.52</v>
      </c>
      <c r="F713" s="154">
        <f t="shared" si="186"/>
        <v>2.3299999999999996</v>
      </c>
      <c r="G713" s="154">
        <f t="shared" si="187"/>
        <v>17.849999999999998</v>
      </c>
      <c r="H713" s="154">
        <f t="shared" si="188"/>
        <v>19.64</v>
      </c>
      <c r="I713" s="154">
        <f t="shared" si="189"/>
        <v>0</v>
      </c>
      <c r="J713" s="220">
        <v>46066</v>
      </c>
    </row>
    <row r="714" spans="1:10">
      <c r="A714" s="155"/>
      <c r="B714" s="153">
        <v>709</v>
      </c>
      <c r="C714" s="153" t="s">
        <v>734</v>
      </c>
      <c r="D714" s="153" t="s">
        <v>228</v>
      </c>
      <c r="E714" s="154">
        <v>16.2</v>
      </c>
      <c r="F714" s="154">
        <f t="shared" si="186"/>
        <v>2.4300000000000002</v>
      </c>
      <c r="G714" s="154">
        <f t="shared" si="187"/>
        <v>18.63</v>
      </c>
      <c r="H714" s="154">
        <f t="shared" si="188"/>
        <v>20.5</v>
      </c>
      <c r="I714" s="154">
        <f t="shared" si="189"/>
        <v>0</v>
      </c>
      <c r="J714" s="220">
        <v>46066</v>
      </c>
    </row>
    <row r="715" spans="1:10">
      <c r="A715" s="155"/>
      <c r="B715" s="153">
        <v>710</v>
      </c>
      <c r="C715" s="153" t="s">
        <v>735</v>
      </c>
      <c r="D715" s="153" t="s">
        <v>228</v>
      </c>
      <c r="E715" s="154">
        <v>19.239999999999998</v>
      </c>
      <c r="F715" s="154">
        <f t="shared" si="186"/>
        <v>2.8899999999999997</v>
      </c>
      <c r="G715" s="154">
        <f t="shared" si="187"/>
        <v>22.13</v>
      </c>
      <c r="H715" s="154">
        <f t="shared" si="188"/>
        <v>24.35</v>
      </c>
      <c r="I715" s="154">
        <f t="shared" si="189"/>
        <v>0</v>
      </c>
      <c r="J715" s="220">
        <v>46066</v>
      </c>
    </row>
    <row r="716" spans="1:10">
      <c r="A716" s="155"/>
      <c r="B716" s="153">
        <v>711</v>
      </c>
      <c r="C716" s="153" t="s">
        <v>736</v>
      </c>
      <c r="D716" s="153" t="s">
        <v>228</v>
      </c>
      <c r="E716" s="154">
        <v>21.81</v>
      </c>
      <c r="F716" s="154">
        <f t="shared" si="186"/>
        <v>3.28</v>
      </c>
      <c r="G716" s="154">
        <f t="shared" si="187"/>
        <v>25.09</v>
      </c>
      <c r="H716" s="154">
        <f t="shared" si="188"/>
        <v>27.6</v>
      </c>
      <c r="I716" s="154">
        <f t="shared" si="189"/>
        <v>0</v>
      </c>
      <c r="J716" s="220">
        <v>46066</v>
      </c>
    </row>
    <row r="717" spans="1:10">
      <c r="A717" s="155"/>
      <c r="B717" s="153">
        <v>712</v>
      </c>
      <c r="C717" s="153" t="s">
        <v>737</v>
      </c>
      <c r="D717" s="153" t="s">
        <v>228</v>
      </c>
      <c r="E717" s="154">
        <v>19.239999999999998</v>
      </c>
      <c r="F717" s="154">
        <f t="shared" si="186"/>
        <v>2.8899999999999997</v>
      </c>
      <c r="G717" s="154">
        <f t="shared" si="187"/>
        <v>22.13</v>
      </c>
      <c r="H717" s="154">
        <f t="shared" si="188"/>
        <v>24.35</v>
      </c>
      <c r="I717" s="154">
        <f t="shared" si="189"/>
        <v>0</v>
      </c>
      <c r="J717" s="220">
        <v>46066</v>
      </c>
    </row>
    <row r="718" spans="1:10">
      <c r="A718" s="155"/>
      <c r="B718" s="153">
        <v>713</v>
      </c>
      <c r="C718" s="153" t="s">
        <v>738</v>
      </c>
      <c r="D718" s="153" t="s">
        <v>228</v>
      </c>
      <c r="E718" s="154">
        <v>25.01</v>
      </c>
      <c r="F718" s="154">
        <f t="shared" si="186"/>
        <v>3.76</v>
      </c>
      <c r="G718" s="154">
        <f t="shared" si="187"/>
        <v>28.770000000000003</v>
      </c>
      <c r="H718" s="154">
        <f t="shared" si="188"/>
        <v>31.650000000000002</v>
      </c>
      <c r="I718" s="154">
        <f t="shared" si="189"/>
        <v>0</v>
      </c>
      <c r="J718" s="220">
        <v>46066</v>
      </c>
    </row>
    <row r="719" spans="1:10">
      <c r="A719" s="155"/>
      <c r="B719" s="153">
        <v>714</v>
      </c>
      <c r="C719" s="153" t="s">
        <v>739</v>
      </c>
      <c r="D719" s="153" t="s">
        <v>228</v>
      </c>
      <c r="E719" s="154">
        <v>22.44</v>
      </c>
      <c r="F719" s="154">
        <f t="shared" si="186"/>
        <v>3.3699999999999997</v>
      </c>
      <c r="G719" s="154">
        <f t="shared" si="187"/>
        <v>25.810000000000002</v>
      </c>
      <c r="H719" s="154">
        <f t="shared" si="188"/>
        <v>28.400000000000002</v>
      </c>
      <c r="I719" s="154">
        <f t="shared" si="189"/>
        <v>0</v>
      </c>
      <c r="J719" s="220">
        <v>46066</v>
      </c>
    </row>
    <row r="720" spans="1:10">
      <c r="A720" s="155"/>
      <c r="B720" s="153">
        <v>715</v>
      </c>
      <c r="C720" s="153" t="s">
        <v>740</v>
      </c>
      <c r="D720" s="153" t="s">
        <v>228</v>
      </c>
      <c r="E720" s="154">
        <v>32.090000000000003</v>
      </c>
      <c r="F720" s="154">
        <f t="shared" si="186"/>
        <v>4.8199999999999994</v>
      </c>
      <c r="G720" s="154">
        <f t="shared" si="187"/>
        <v>36.910000000000004</v>
      </c>
      <c r="H720" s="154">
        <f t="shared" si="188"/>
        <v>40.61</v>
      </c>
      <c r="I720" s="154">
        <f t="shared" si="189"/>
        <v>0</v>
      </c>
      <c r="J720" s="220">
        <v>46066</v>
      </c>
    </row>
    <row r="721" spans="1:10">
      <c r="A721" s="155"/>
      <c r="B721" s="153">
        <v>716</v>
      </c>
      <c r="C721" s="153" t="s">
        <v>741</v>
      </c>
      <c r="D721" s="153" t="s">
        <v>228</v>
      </c>
      <c r="E721" s="154">
        <v>26.3</v>
      </c>
      <c r="F721" s="154">
        <f t="shared" si="186"/>
        <v>3.9499999999999997</v>
      </c>
      <c r="G721" s="154">
        <f t="shared" si="187"/>
        <v>30.25</v>
      </c>
      <c r="H721" s="154">
        <f t="shared" si="188"/>
        <v>33.28</v>
      </c>
      <c r="I721" s="154">
        <f t="shared" si="189"/>
        <v>0</v>
      </c>
      <c r="J721" s="220">
        <v>46066</v>
      </c>
    </row>
    <row r="722" spans="1:10">
      <c r="A722" s="155"/>
      <c r="B722" s="153">
        <v>717</v>
      </c>
      <c r="C722" s="153" t="s">
        <v>742</v>
      </c>
      <c r="D722" s="153" t="s">
        <v>228</v>
      </c>
      <c r="E722" s="154">
        <v>39.78</v>
      </c>
      <c r="F722" s="154">
        <f t="shared" si="186"/>
        <v>5.97</v>
      </c>
      <c r="G722" s="154">
        <f t="shared" si="187"/>
        <v>45.75</v>
      </c>
      <c r="H722" s="154">
        <f t="shared" si="188"/>
        <v>50.33</v>
      </c>
      <c r="I722" s="154">
        <f t="shared" si="189"/>
        <v>0</v>
      </c>
      <c r="J722" s="220">
        <v>46066</v>
      </c>
    </row>
    <row r="723" spans="1:10">
      <c r="A723" s="155"/>
      <c r="B723" s="153">
        <v>718</v>
      </c>
      <c r="C723" s="153" t="s">
        <v>743</v>
      </c>
      <c r="D723" s="153" t="s">
        <v>228</v>
      </c>
      <c r="E723" s="154">
        <v>45.79</v>
      </c>
      <c r="F723" s="154">
        <f t="shared" si="186"/>
        <v>6.87</v>
      </c>
      <c r="G723" s="154">
        <f t="shared" si="187"/>
        <v>52.66</v>
      </c>
      <c r="H723" s="154">
        <f t="shared" si="188"/>
        <v>57.93</v>
      </c>
      <c r="I723" s="154">
        <f t="shared" si="189"/>
        <v>0</v>
      </c>
      <c r="J723" s="220">
        <v>46066</v>
      </c>
    </row>
    <row r="724" spans="1:10">
      <c r="A724" s="155"/>
      <c r="B724" s="153">
        <v>719</v>
      </c>
      <c r="C724" s="153" t="s">
        <v>744</v>
      </c>
      <c r="D724" s="153" t="s">
        <v>228</v>
      </c>
      <c r="E724" s="154">
        <v>76.319999999999993</v>
      </c>
      <c r="F724" s="154">
        <f t="shared" si="186"/>
        <v>11.45</v>
      </c>
      <c r="G724" s="154">
        <f t="shared" si="187"/>
        <v>87.77</v>
      </c>
      <c r="H724" s="154">
        <f t="shared" si="188"/>
        <v>96.550000000000011</v>
      </c>
      <c r="I724" s="154">
        <f t="shared" si="189"/>
        <v>0</v>
      </c>
      <c r="J724" s="220">
        <v>46066</v>
      </c>
    </row>
    <row r="725" spans="1:10">
      <c r="A725" s="155"/>
      <c r="B725" s="153">
        <v>720</v>
      </c>
      <c r="C725" s="153" t="s">
        <v>745</v>
      </c>
      <c r="D725" s="153" t="s">
        <v>228</v>
      </c>
      <c r="E725" s="154">
        <v>51.94</v>
      </c>
      <c r="F725" s="154">
        <f t="shared" si="186"/>
        <v>7.8</v>
      </c>
      <c r="G725" s="154">
        <f t="shared" si="187"/>
        <v>59.739999999999995</v>
      </c>
      <c r="H725" s="154">
        <f t="shared" si="188"/>
        <v>65.72</v>
      </c>
      <c r="I725" s="154">
        <f t="shared" si="189"/>
        <v>0</v>
      </c>
      <c r="J725" s="220">
        <v>46066</v>
      </c>
    </row>
    <row r="726" spans="1:10">
      <c r="A726" s="155"/>
      <c r="B726" s="153">
        <v>721</v>
      </c>
      <c r="C726" s="153" t="s">
        <v>746</v>
      </c>
      <c r="D726" s="153" t="s">
        <v>228</v>
      </c>
      <c r="E726" s="154">
        <v>88.51</v>
      </c>
      <c r="F726" s="154">
        <f t="shared" si="186"/>
        <v>13.28</v>
      </c>
      <c r="G726" s="154">
        <f t="shared" si="187"/>
        <v>101.79</v>
      </c>
      <c r="H726" s="154">
        <f t="shared" si="188"/>
        <v>111.97</v>
      </c>
      <c r="I726" s="154">
        <f t="shared" si="189"/>
        <v>0</v>
      </c>
      <c r="J726" s="220">
        <v>46066</v>
      </c>
    </row>
    <row r="727" spans="1:10">
      <c r="A727" s="155"/>
      <c r="B727" s="153">
        <v>722</v>
      </c>
      <c r="C727" s="153" t="s">
        <v>747</v>
      </c>
      <c r="D727" s="153" t="s">
        <v>228</v>
      </c>
      <c r="E727" s="154">
        <v>56.96</v>
      </c>
      <c r="F727" s="154">
        <f t="shared" si="186"/>
        <v>8.5499999999999989</v>
      </c>
      <c r="G727" s="154">
        <f t="shared" si="187"/>
        <v>65.510000000000005</v>
      </c>
      <c r="H727" s="154">
        <f t="shared" si="188"/>
        <v>72.070000000000007</v>
      </c>
      <c r="I727" s="154">
        <f t="shared" si="189"/>
        <v>0</v>
      </c>
      <c r="J727" s="220">
        <v>46066</v>
      </c>
    </row>
    <row r="728" spans="1:10">
      <c r="A728" s="155"/>
      <c r="B728" s="153">
        <v>723</v>
      </c>
      <c r="C728" s="153" t="s">
        <v>748</v>
      </c>
      <c r="D728" s="153" t="s">
        <v>228</v>
      </c>
      <c r="E728" s="154">
        <v>109</v>
      </c>
      <c r="F728" s="154">
        <f t="shared" si="186"/>
        <v>16.350000000000001</v>
      </c>
      <c r="G728" s="154">
        <f t="shared" si="187"/>
        <v>125.35</v>
      </c>
      <c r="H728" s="154">
        <f t="shared" si="188"/>
        <v>137.88999999999999</v>
      </c>
      <c r="I728" s="154">
        <f t="shared" si="189"/>
        <v>0</v>
      </c>
      <c r="J728" s="220">
        <v>46066</v>
      </c>
    </row>
    <row r="729" spans="1:10">
      <c r="A729" s="155"/>
      <c r="B729" s="153">
        <v>724</v>
      </c>
      <c r="C729" s="153" t="s">
        <v>749</v>
      </c>
      <c r="D729" s="153" t="s">
        <v>228</v>
      </c>
      <c r="E729" s="154">
        <v>73.290000000000006</v>
      </c>
      <c r="F729" s="154">
        <f t="shared" si="186"/>
        <v>11</v>
      </c>
      <c r="G729" s="154">
        <f t="shared" si="187"/>
        <v>84.29</v>
      </c>
      <c r="H729" s="154">
        <f t="shared" si="188"/>
        <v>92.72</v>
      </c>
      <c r="I729" s="154">
        <f t="shared" si="189"/>
        <v>0</v>
      </c>
      <c r="J729" s="220">
        <v>46066</v>
      </c>
    </row>
    <row r="730" spans="1:10">
      <c r="A730" s="155"/>
      <c r="B730" s="153">
        <v>725</v>
      </c>
      <c r="C730" s="153" t="s">
        <v>750</v>
      </c>
      <c r="D730" s="153" t="s">
        <v>228</v>
      </c>
      <c r="E730" s="154">
        <v>119</v>
      </c>
      <c r="F730" s="154">
        <f t="shared" si="186"/>
        <v>17.850000000000001</v>
      </c>
      <c r="G730" s="154">
        <f t="shared" si="187"/>
        <v>136.85</v>
      </c>
      <c r="H730" s="154">
        <f t="shared" si="188"/>
        <v>150.54</v>
      </c>
      <c r="I730" s="154">
        <f t="shared" si="189"/>
        <v>0</v>
      </c>
      <c r="J730" s="220">
        <v>46066</v>
      </c>
    </row>
    <row r="731" spans="1:10">
      <c r="A731" s="155"/>
      <c r="B731" s="153">
        <v>726</v>
      </c>
      <c r="C731" s="153" t="s">
        <v>751</v>
      </c>
      <c r="D731" s="153" t="s">
        <v>228</v>
      </c>
      <c r="E731" s="154">
        <v>95.81</v>
      </c>
      <c r="F731" s="154">
        <f t="shared" si="186"/>
        <v>14.379999999999999</v>
      </c>
      <c r="G731" s="154">
        <f t="shared" si="187"/>
        <v>110.19</v>
      </c>
      <c r="H731" s="154">
        <f t="shared" si="188"/>
        <v>121.21000000000001</v>
      </c>
      <c r="I731" s="154">
        <f t="shared" si="189"/>
        <v>0</v>
      </c>
      <c r="J731" s="220">
        <v>46066</v>
      </c>
    </row>
    <row r="732" spans="1:10">
      <c r="A732" s="155"/>
      <c r="B732" s="153">
        <v>727</v>
      </c>
      <c r="C732" s="153" t="s">
        <v>752</v>
      </c>
      <c r="D732" s="153" t="s">
        <v>228</v>
      </c>
      <c r="E732" s="154">
        <v>132</v>
      </c>
      <c r="F732" s="154">
        <f t="shared" si="186"/>
        <v>19.8</v>
      </c>
      <c r="G732" s="154">
        <f t="shared" si="187"/>
        <v>151.80000000000001</v>
      </c>
      <c r="H732" s="154">
        <f t="shared" si="188"/>
        <v>166.98</v>
      </c>
      <c r="I732" s="154">
        <f t="shared" si="189"/>
        <v>0</v>
      </c>
      <c r="J732" s="220">
        <v>46066</v>
      </c>
    </row>
    <row r="733" spans="1:10">
      <c r="A733" s="155"/>
      <c r="B733" s="153">
        <v>728</v>
      </c>
      <c r="C733" s="153" t="s">
        <v>205</v>
      </c>
      <c r="D733" s="153"/>
      <c r="E733" s="154"/>
      <c r="F733" s="154">
        <f t="shared" si="186"/>
        <v>0</v>
      </c>
      <c r="G733" s="154">
        <f t="shared" si="187"/>
        <v>0</v>
      </c>
      <c r="H733" s="154">
        <f t="shared" si="188"/>
        <v>0</v>
      </c>
      <c r="I733" s="154">
        <f t="shared" si="189"/>
        <v>0</v>
      </c>
      <c r="J733" s="220"/>
    </row>
    <row r="734" spans="1:10">
      <c r="A734" s="155"/>
      <c r="B734" s="153">
        <v>729</v>
      </c>
      <c r="C734" s="153" t="s">
        <v>566</v>
      </c>
      <c r="D734" s="153" t="s">
        <v>246</v>
      </c>
      <c r="E734" s="154">
        <v>2.58</v>
      </c>
      <c r="F734" s="154">
        <f t="shared" si="186"/>
        <v>0.39</v>
      </c>
      <c r="G734" s="154">
        <f t="shared" si="187"/>
        <v>2.97</v>
      </c>
      <c r="H734" s="154">
        <f t="shared" si="188"/>
        <v>3.2699999999999996</v>
      </c>
      <c r="I734" s="154">
        <f t="shared" si="189"/>
        <v>0</v>
      </c>
      <c r="J734" s="220">
        <v>46066</v>
      </c>
    </row>
    <row r="735" spans="1:10">
      <c r="A735" s="155"/>
      <c r="B735" s="153" t="s">
        <v>567</v>
      </c>
      <c r="C735" s="153" t="s">
        <v>882</v>
      </c>
      <c r="D735" s="153" t="s">
        <v>246</v>
      </c>
      <c r="E735" s="154">
        <v>50.13</v>
      </c>
      <c r="F735" s="154">
        <f t="shared" si="186"/>
        <v>7.52</v>
      </c>
      <c r="G735" s="154">
        <f t="shared" si="187"/>
        <v>57.650000000000006</v>
      </c>
      <c r="H735" s="154">
        <f t="shared" si="188"/>
        <v>63.419999999999995</v>
      </c>
      <c r="I735" s="154">
        <f t="shared" si="189"/>
        <v>0</v>
      </c>
      <c r="J735" s="220">
        <v>46066</v>
      </c>
    </row>
    <row r="736" spans="1:10">
      <c r="A736" s="155"/>
      <c r="B736" s="153">
        <v>730</v>
      </c>
      <c r="C736" s="153" t="s">
        <v>568</v>
      </c>
      <c r="D736" s="153" t="s">
        <v>246</v>
      </c>
      <c r="E736" s="154">
        <v>3.23</v>
      </c>
      <c r="F736" s="154">
        <f t="shared" ref="F736:F799" si="190">ROUNDUP(E736*0.15,2)</f>
        <v>0.49</v>
      </c>
      <c r="G736" s="154">
        <f t="shared" si="187"/>
        <v>3.7199999999999998</v>
      </c>
      <c r="H736" s="154">
        <f t="shared" si="188"/>
        <v>4.0999999999999996</v>
      </c>
      <c r="I736" s="154">
        <f t="shared" si="189"/>
        <v>0</v>
      </c>
      <c r="J736" s="220">
        <v>46066</v>
      </c>
    </row>
    <row r="737" spans="1:10">
      <c r="A737" s="155"/>
      <c r="B737" s="153" t="s">
        <v>569</v>
      </c>
      <c r="C737" s="153" t="s">
        <v>883</v>
      </c>
      <c r="D737" s="153" t="s">
        <v>246</v>
      </c>
      <c r="E737" s="154">
        <v>14.54</v>
      </c>
      <c r="F737" s="154">
        <f t="shared" si="190"/>
        <v>2.19</v>
      </c>
      <c r="G737" s="154">
        <f t="shared" si="187"/>
        <v>16.73</v>
      </c>
      <c r="H737" s="154">
        <f t="shared" si="188"/>
        <v>18.41</v>
      </c>
      <c r="I737" s="154">
        <f t="shared" si="189"/>
        <v>0</v>
      </c>
      <c r="J737" s="220">
        <v>46066</v>
      </c>
    </row>
    <row r="738" spans="1:10">
      <c r="A738" s="155"/>
      <c r="B738" s="153">
        <v>731</v>
      </c>
      <c r="C738" s="153" t="s">
        <v>570</v>
      </c>
      <c r="D738" s="153" t="s">
        <v>246</v>
      </c>
      <c r="E738" s="154">
        <v>3.26</v>
      </c>
      <c r="F738" s="154">
        <f t="shared" si="190"/>
        <v>0.49</v>
      </c>
      <c r="G738" s="154">
        <f t="shared" si="187"/>
        <v>3.75</v>
      </c>
      <c r="H738" s="154">
        <f t="shared" si="188"/>
        <v>4.13</v>
      </c>
      <c r="I738" s="154">
        <f t="shared" si="189"/>
        <v>0</v>
      </c>
      <c r="J738" s="220">
        <v>46066</v>
      </c>
    </row>
    <row r="739" spans="1:10">
      <c r="A739" s="155"/>
      <c r="B739" s="153" t="s">
        <v>571</v>
      </c>
      <c r="C739" s="153" t="s">
        <v>884</v>
      </c>
      <c r="D739" s="153" t="s">
        <v>246</v>
      </c>
      <c r="E739" s="154">
        <v>16.93</v>
      </c>
      <c r="F739" s="154">
        <f t="shared" si="190"/>
        <v>2.5399999999999996</v>
      </c>
      <c r="G739" s="154">
        <f t="shared" si="187"/>
        <v>19.47</v>
      </c>
      <c r="H739" s="154">
        <f t="shared" si="188"/>
        <v>21.42</v>
      </c>
      <c r="I739" s="154">
        <f t="shared" si="189"/>
        <v>0</v>
      </c>
      <c r="J739" s="220">
        <v>46066</v>
      </c>
    </row>
    <row r="740" spans="1:10">
      <c r="A740" s="155"/>
      <c r="B740" s="153">
        <v>732</v>
      </c>
      <c r="C740" s="153" t="s">
        <v>572</v>
      </c>
      <c r="D740" s="153" t="s">
        <v>246</v>
      </c>
      <c r="E740" s="154">
        <v>4.17</v>
      </c>
      <c r="F740" s="154">
        <f t="shared" si="190"/>
        <v>0.63</v>
      </c>
      <c r="G740" s="154">
        <f t="shared" si="187"/>
        <v>4.8</v>
      </c>
      <c r="H740" s="154">
        <f t="shared" si="188"/>
        <v>5.28</v>
      </c>
      <c r="I740" s="154">
        <f t="shared" si="189"/>
        <v>0</v>
      </c>
      <c r="J740" s="220">
        <v>46066</v>
      </c>
    </row>
    <row r="741" spans="1:10">
      <c r="A741" s="155"/>
      <c r="B741" s="153" t="s">
        <v>573</v>
      </c>
      <c r="C741" s="153" t="s">
        <v>885</v>
      </c>
      <c r="D741" s="153" t="s">
        <v>246</v>
      </c>
      <c r="E741" s="154">
        <v>19.73</v>
      </c>
      <c r="F741" s="154">
        <f t="shared" si="190"/>
        <v>2.96</v>
      </c>
      <c r="G741" s="154">
        <f t="shared" si="187"/>
        <v>22.69</v>
      </c>
      <c r="H741" s="154">
        <f t="shared" si="188"/>
        <v>24.96</v>
      </c>
      <c r="I741" s="154">
        <f t="shared" si="189"/>
        <v>0</v>
      </c>
      <c r="J741" s="220">
        <v>46066</v>
      </c>
    </row>
    <row r="742" spans="1:10">
      <c r="A742" s="155"/>
      <c r="B742" s="153">
        <v>733</v>
      </c>
      <c r="C742" s="153" t="s">
        <v>574</v>
      </c>
      <c r="D742" s="153" t="s">
        <v>246</v>
      </c>
      <c r="E742" s="154">
        <v>4.6500000000000004</v>
      </c>
      <c r="F742" s="154">
        <f t="shared" si="190"/>
        <v>0.7</v>
      </c>
      <c r="G742" s="154">
        <f t="shared" si="187"/>
        <v>5.3500000000000005</v>
      </c>
      <c r="H742" s="154">
        <f t="shared" si="188"/>
        <v>5.89</v>
      </c>
      <c r="I742" s="154">
        <f t="shared" si="189"/>
        <v>0</v>
      </c>
      <c r="J742" s="220">
        <v>46066</v>
      </c>
    </row>
    <row r="743" spans="1:10">
      <c r="A743" s="155"/>
      <c r="B743" s="153" t="s">
        <v>575</v>
      </c>
      <c r="C743" s="153" t="s">
        <v>886</v>
      </c>
      <c r="D743" s="153" t="s">
        <v>246</v>
      </c>
      <c r="E743" s="154">
        <v>22.53</v>
      </c>
      <c r="F743" s="154">
        <f t="shared" si="190"/>
        <v>3.38</v>
      </c>
      <c r="G743" s="154">
        <f t="shared" si="187"/>
        <v>25.91</v>
      </c>
      <c r="H743" s="154">
        <f t="shared" si="188"/>
        <v>28.51</v>
      </c>
      <c r="I743" s="154">
        <f t="shared" si="189"/>
        <v>0</v>
      </c>
      <c r="J743" s="220">
        <v>46066</v>
      </c>
    </row>
    <row r="744" spans="1:10">
      <c r="A744" s="155"/>
      <c r="B744" s="153">
        <v>734</v>
      </c>
      <c r="C744" s="153" t="s">
        <v>576</v>
      </c>
      <c r="D744" s="153" t="s">
        <v>246</v>
      </c>
      <c r="E744" s="154">
        <v>6.14</v>
      </c>
      <c r="F744" s="154">
        <f t="shared" si="190"/>
        <v>0.93</v>
      </c>
      <c r="G744" s="154">
        <f t="shared" si="187"/>
        <v>7.0699999999999994</v>
      </c>
      <c r="H744" s="154">
        <f t="shared" si="188"/>
        <v>7.7799999999999994</v>
      </c>
      <c r="I744" s="154">
        <f t="shared" si="189"/>
        <v>0</v>
      </c>
      <c r="J744" s="220">
        <v>46066</v>
      </c>
    </row>
    <row r="745" spans="1:10">
      <c r="A745" s="155"/>
      <c r="B745" s="153" t="s">
        <v>577</v>
      </c>
      <c r="C745" s="153" t="s">
        <v>887</v>
      </c>
      <c r="D745" s="153" t="s">
        <v>246</v>
      </c>
      <c r="E745" s="154">
        <v>25.35</v>
      </c>
      <c r="F745" s="154">
        <f t="shared" si="190"/>
        <v>3.8099999999999996</v>
      </c>
      <c r="G745" s="154">
        <f t="shared" si="187"/>
        <v>29.16</v>
      </c>
      <c r="H745" s="154">
        <f t="shared" si="188"/>
        <v>32.08</v>
      </c>
      <c r="I745" s="154">
        <f t="shared" si="189"/>
        <v>0</v>
      </c>
      <c r="J745" s="220">
        <v>46066</v>
      </c>
    </row>
    <row r="746" spans="1:10">
      <c r="A746" s="155"/>
      <c r="B746" s="153">
        <v>735</v>
      </c>
      <c r="C746" s="153" t="s">
        <v>578</v>
      </c>
      <c r="D746" s="153" t="s">
        <v>246</v>
      </c>
      <c r="E746" s="154">
        <v>5.18</v>
      </c>
      <c r="F746" s="154">
        <f t="shared" si="190"/>
        <v>0.78</v>
      </c>
      <c r="G746" s="154">
        <f t="shared" si="187"/>
        <v>5.96</v>
      </c>
      <c r="H746" s="154">
        <f t="shared" si="188"/>
        <v>6.56</v>
      </c>
      <c r="I746" s="154">
        <f t="shared" si="189"/>
        <v>0</v>
      </c>
      <c r="J746" s="220">
        <v>46066</v>
      </c>
    </row>
    <row r="747" spans="1:10">
      <c r="A747" s="155"/>
      <c r="B747" s="153" t="s">
        <v>579</v>
      </c>
      <c r="C747" s="153" t="s">
        <v>888</v>
      </c>
      <c r="D747" s="153" t="s">
        <v>246</v>
      </c>
      <c r="E747" s="154">
        <v>28.16</v>
      </c>
      <c r="F747" s="154">
        <f t="shared" si="190"/>
        <v>4.2299999999999995</v>
      </c>
      <c r="G747" s="154">
        <f t="shared" si="187"/>
        <v>32.39</v>
      </c>
      <c r="H747" s="154">
        <f t="shared" si="188"/>
        <v>35.629999999999995</v>
      </c>
      <c r="I747" s="154">
        <f t="shared" si="189"/>
        <v>0</v>
      </c>
      <c r="J747" s="220">
        <v>46066</v>
      </c>
    </row>
    <row r="748" spans="1:10">
      <c r="A748" s="155"/>
      <c r="B748" s="153">
        <v>737</v>
      </c>
      <c r="C748" s="153" t="s">
        <v>580</v>
      </c>
      <c r="D748" s="153" t="s">
        <v>246</v>
      </c>
      <c r="E748" s="154">
        <v>6.57</v>
      </c>
      <c r="F748" s="154">
        <f t="shared" si="190"/>
        <v>0.99</v>
      </c>
      <c r="G748" s="154">
        <f t="shared" si="187"/>
        <v>7.5600000000000005</v>
      </c>
      <c r="H748" s="154">
        <f t="shared" si="188"/>
        <v>8.32</v>
      </c>
      <c r="I748" s="154">
        <f t="shared" si="189"/>
        <v>0</v>
      </c>
      <c r="J748" s="220">
        <v>46066</v>
      </c>
    </row>
    <row r="749" spans="1:10">
      <c r="A749" s="155"/>
      <c r="B749" s="153" t="s">
        <v>581</v>
      </c>
      <c r="C749" s="153" t="s">
        <v>889</v>
      </c>
      <c r="D749" s="153" t="s">
        <v>246</v>
      </c>
      <c r="E749" s="154">
        <v>33.76</v>
      </c>
      <c r="F749" s="154">
        <f t="shared" si="190"/>
        <v>5.0699999999999994</v>
      </c>
      <c r="G749" s="154">
        <f t="shared" si="187"/>
        <v>38.83</v>
      </c>
      <c r="H749" s="154">
        <f t="shared" si="188"/>
        <v>42.72</v>
      </c>
      <c r="I749" s="154">
        <f t="shared" si="189"/>
        <v>0</v>
      </c>
      <c r="J749" s="220">
        <v>46066</v>
      </c>
    </row>
    <row r="750" spans="1:10">
      <c r="A750" s="155"/>
      <c r="B750" s="153">
        <v>739</v>
      </c>
      <c r="C750" s="153" t="s">
        <v>582</v>
      </c>
      <c r="D750" s="153" t="s">
        <v>246</v>
      </c>
      <c r="E750" s="154">
        <v>8.17</v>
      </c>
      <c r="F750" s="154">
        <f t="shared" si="190"/>
        <v>1.23</v>
      </c>
      <c r="G750" s="154">
        <f t="shared" si="187"/>
        <v>9.4</v>
      </c>
      <c r="H750" s="154">
        <f t="shared" si="188"/>
        <v>10.34</v>
      </c>
      <c r="I750" s="154">
        <f t="shared" si="189"/>
        <v>0</v>
      </c>
      <c r="J750" s="220">
        <v>46066</v>
      </c>
    </row>
    <row r="751" spans="1:10">
      <c r="A751" s="155"/>
      <c r="B751" s="153" t="s">
        <v>583</v>
      </c>
      <c r="C751" s="153" t="s">
        <v>890</v>
      </c>
      <c r="D751" s="153" t="s">
        <v>246</v>
      </c>
      <c r="E751" s="154">
        <v>39.409999999999997</v>
      </c>
      <c r="F751" s="154">
        <f t="shared" si="190"/>
        <v>5.92</v>
      </c>
      <c r="G751" s="154">
        <f t="shared" si="187"/>
        <v>45.33</v>
      </c>
      <c r="H751" s="154">
        <f t="shared" si="188"/>
        <v>49.87</v>
      </c>
      <c r="I751" s="154">
        <f t="shared" si="189"/>
        <v>0</v>
      </c>
      <c r="J751" s="220">
        <v>46066</v>
      </c>
    </row>
    <row r="752" spans="1:10">
      <c r="A752" s="155"/>
      <c r="B752" s="153">
        <v>741</v>
      </c>
      <c r="C752" s="153" t="s">
        <v>584</v>
      </c>
      <c r="D752" s="153" t="s">
        <v>246</v>
      </c>
      <c r="E752" s="154">
        <v>10.4</v>
      </c>
      <c r="F752" s="154">
        <f t="shared" si="190"/>
        <v>1.56</v>
      </c>
      <c r="G752" s="154">
        <f t="shared" si="187"/>
        <v>11.96</v>
      </c>
      <c r="H752" s="154">
        <f t="shared" si="188"/>
        <v>13.16</v>
      </c>
      <c r="I752" s="154">
        <f t="shared" si="189"/>
        <v>0</v>
      </c>
      <c r="J752" s="220">
        <v>46066</v>
      </c>
    </row>
    <row r="753" spans="1:10">
      <c r="A753" s="155"/>
      <c r="B753" s="153" t="s">
        <v>585</v>
      </c>
      <c r="C753" s="153" t="s">
        <v>891</v>
      </c>
      <c r="D753" s="153" t="s">
        <v>246</v>
      </c>
      <c r="E753" s="154">
        <v>46.34</v>
      </c>
      <c r="F753" s="154">
        <f t="shared" si="190"/>
        <v>6.96</v>
      </c>
      <c r="G753" s="154">
        <f t="shared" si="187"/>
        <v>53.300000000000004</v>
      </c>
      <c r="H753" s="154">
        <f t="shared" si="188"/>
        <v>58.63</v>
      </c>
      <c r="I753" s="154">
        <f t="shared" si="189"/>
        <v>0</v>
      </c>
      <c r="J753" s="220">
        <v>46066</v>
      </c>
    </row>
    <row r="754" spans="1:10">
      <c r="A754" s="155"/>
      <c r="B754" s="153">
        <v>743</v>
      </c>
      <c r="C754" s="153" t="s">
        <v>586</v>
      </c>
      <c r="D754" s="153" t="s">
        <v>246</v>
      </c>
      <c r="E754" s="154">
        <v>11.7</v>
      </c>
      <c r="F754" s="154">
        <f t="shared" si="190"/>
        <v>1.76</v>
      </c>
      <c r="G754" s="154">
        <f t="shared" si="187"/>
        <v>13.459999999999999</v>
      </c>
      <c r="H754" s="154">
        <f t="shared" si="188"/>
        <v>14.81</v>
      </c>
      <c r="I754" s="154">
        <f t="shared" si="189"/>
        <v>0</v>
      </c>
      <c r="J754" s="220">
        <v>46066</v>
      </c>
    </row>
    <row r="755" spans="1:10">
      <c r="A755" s="155"/>
      <c r="B755" s="153" t="s">
        <v>587</v>
      </c>
      <c r="C755" s="153" t="s">
        <v>892</v>
      </c>
      <c r="D755" s="153" t="s">
        <v>246</v>
      </c>
      <c r="E755" s="154">
        <v>51.09</v>
      </c>
      <c r="F755" s="154">
        <f t="shared" si="190"/>
        <v>7.67</v>
      </c>
      <c r="G755" s="154">
        <f t="shared" si="187"/>
        <v>58.760000000000005</v>
      </c>
      <c r="H755" s="154">
        <f t="shared" si="188"/>
        <v>64.64</v>
      </c>
      <c r="I755" s="154">
        <f t="shared" si="189"/>
        <v>0</v>
      </c>
      <c r="J755" s="220">
        <v>46066</v>
      </c>
    </row>
    <row r="756" spans="1:10">
      <c r="A756" s="155"/>
      <c r="B756" s="153">
        <v>745</v>
      </c>
      <c r="C756" s="153" t="s">
        <v>588</v>
      </c>
      <c r="D756" s="153" t="s">
        <v>246</v>
      </c>
      <c r="E756" s="154">
        <v>13</v>
      </c>
      <c r="F756" s="154">
        <f t="shared" si="190"/>
        <v>1.95</v>
      </c>
      <c r="G756" s="154">
        <f t="shared" si="187"/>
        <v>14.95</v>
      </c>
      <c r="H756" s="154">
        <f t="shared" si="188"/>
        <v>16.450000000000003</v>
      </c>
      <c r="I756" s="154">
        <f t="shared" si="189"/>
        <v>0</v>
      </c>
      <c r="J756" s="220">
        <v>46066</v>
      </c>
    </row>
    <row r="757" spans="1:10">
      <c r="A757" s="155"/>
      <c r="B757" s="153" t="s">
        <v>589</v>
      </c>
      <c r="C757" s="153" t="s">
        <v>893</v>
      </c>
      <c r="D757" s="153" t="s">
        <v>246</v>
      </c>
      <c r="E757" s="154">
        <v>58.76</v>
      </c>
      <c r="F757" s="154">
        <f t="shared" si="190"/>
        <v>8.82</v>
      </c>
      <c r="G757" s="154">
        <f t="shared" si="187"/>
        <v>67.58</v>
      </c>
      <c r="H757" s="154">
        <f t="shared" si="188"/>
        <v>74.34</v>
      </c>
      <c r="I757" s="154">
        <f t="shared" si="189"/>
        <v>0</v>
      </c>
      <c r="J757" s="220">
        <v>46066</v>
      </c>
    </row>
    <row r="758" spans="1:10">
      <c r="A758" s="155"/>
      <c r="B758" s="153">
        <v>746</v>
      </c>
      <c r="C758" s="153" t="s">
        <v>590</v>
      </c>
      <c r="D758" s="153" t="s">
        <v>246</v>
      </c>
      <c r="E758" s="154">
        <v>16.309999999999999</v>
      </c>
      <c r="F758" s="154">
        <f t="shared" si="190"/>
        <v>2.4499999999999997</v>
      </c>
      <c r="G758" s="154">
        <f t="shared" si="187"/>
        <v>18.759999999999998</v>
      </c>
      <c r="H758" s="154">
        <f t="shared" si="188"/>
        <v>20.64</v>
      </c>
      <c r="I758" s="154">
        <f t="shared" si="189"/>
        <v>0</v>
      </c>
      <c r="J758" s="220">
        <v>46066</v>
      </c>
    </row>
    <row r="759" spans="1:10">
      <c r="A759" s="155"/>
      <c r="B759" s="153" t="s">
        <v>591</v>
      </c>
      <c r="C759" s="153" t="s">
        <v>894</v>
      </c>
      <c r="D759" s="153" t="s">
        <v>246</v>
      </c>
      <c r="E759" s="154">
        <v>64.48</v>
      </c>
      <c r="F759" s="154">
        <f t="shared" si="190"/>
        <v>9.68</v>
      </c>
      <c r="G759" s="154">
        <f t="shared" si="187"/>
        <v>74.16</v>
      </c>
      <c r="H759" s="154">
        <f t="shared" si="188"/>
        <v>81.58</v>
      </c>
      <c r="I759" s="154">
        <f t="shared" si="189"/>
        <v>0</v>
      </c>
      <c r="J759" s="220">
        <v>46066</v>
      </c>
    </row>
    <row r="760" spans="1:10">
      <c r="A760" s="155"/>
      <c r="B760" s="153">
        <v>747</v>
      </c>
      <c r="C760" s="153" t="s">
        <v>592</v>
      </c>
      <c r="D760" s="153" t="s">
        <v>246</v>
      </c>
      <c r="E760" s="154">
        <v>18.02</v>
      </c>
      <c r="F760" s="154">
        <f t="shared" si="190"/>
        <v>2.71</v>
      </c>
      <c r="G760" s="154">
        <f t="shared" si="187"/>
        <v>20.73</v>
      </c>
      <c r="H760" s="154">
        <f t="shared" si="188"/>
        <v>22.810000000000002</v>
      </c>
      <c r="I760" s="154">
        <f t="shared" si="189"/>
        <v>0</v>
      </c>
      <c r="J760" s="220">
        <v>46066</v>
      </c>
    </row>
    <row r="761" spans="1:10">
      <c r="A761" s="155"/>
      <c r="B761" s="153" t="s">
        <v>593</v>
      </c>
      <c r="C761" s="153" t="s">
        <v>895</v>
      </c>
      <c r="D761" s="153" t="s">
        <v>246</v>
      </c>
      <c r="E761" s="154">
        <v>70.69</v>
      </c>
      <c r="F761" s="154">
        <f t="shared" si="190"/>
        <v>10.61</v>
      </c>
      <c r="G761" s="154">
        <f t="shared" si="187"/>
        <v>81.3</v>
      </c>
      <c r="H761" s="154">
        <f t="shared" si="188"/>
        <v>89.43</v>
      </c>
      <c r="I761" s="154">
        <f t="shared" si="189"/>
        <v>0</v>
      </c>
      <c r="J761" s="220">
        <v>46066</v>
      </c>
    </row>
    <row r="762" spans="1:10">
      <c r="A762" s="155"/>
      <c r="B762" s="153" t="s">
        <v>788</v>
      </c>
      <c r="C762" s="153" t="s">
        <v>594</v>
      </c>
      <c r="D762" s="153" t="s">
        <v>228</v>
      </c>
      <c r="E762" s="154">
        <v>9.1395999999999997</v>
      </c>
      <c r="F762" s="154">
        <f t="shared" si="190"/>
        <v>1.3800000000000001</v>
      </c>
      <c r="G762" s="154">
        <f t="shared" si="187"/>
        <v>10.519600000000001</v>
      </c>
      <c r="H762" s="154">
        <f t="shared" si="188"/>
        <v>11.58</v>
      </c>
      <c r="I762" s="154">
        <f t="shared" si="189"/>
        <v>0</v>
      </c>
      <c r="J762" s="220">
        <v>46066</v>
      </c>
    </row>
    <row r="763" spans="1:10">
      <c r="A763" s="155"/>
      <c r="B763" s="153" t="s">
        <v>789</v>
      </c>
      <c r="C763" s="153" t="s">
        <v>595</v>
      </c>
      <c r="D763" s="153" t="s">
        <v>228</v>
      </c>
      <c r="E763" s="154">
        <v>11.2424</v>
      </c>
      <c r="F763" s="154">
        <f t="shared" si="190"/>
        <v>1.69</v>
      </c>
      <c r="G763" s="154">
        <f t="shared" si="187"/>
        <v>12.932399999999999</v>
      </c>
      <c r="H763" s="154">
        <f t="shared" si="188"/>
        <v>14.23</v>
      </c>
      <c r="I763" s="154">
        <f t="shared" si="189"/>
        <v>0</v>
      </c>
      <c r="J763" s="220">
        <v>46066</v>
      </c>
    </row>
    <row r="764" spans="1:10">
      <c r="A764" s="155"/>
      <c r="B764" s="153" t="s">
        <v>790</v>
      </c>
      <c r="C764" s="153" t="s">
        <v>596</v>
      </c>
      <c r="D764" s="153" t="s">
        <v>228</v>
      </c>
      <c r="E764" s="154">
        <v>21.535499999999999</v>
      </c>
      <c r="F764" s="154">
        <f t="shared" si="190"/>
        <v>3.2399999999999998</v>
      </c>
      <c r="G764" s="154">
        <f t="shared" si="187"/>
        <v>24.775499999999997</v>
      </c>
      <c r="H764" s="154">
        <f t="shared" si="188"/>
        <v>27.26</v>
      </c>
      <c r="I764" s="154">
        <f t="shared" si="189"/>
        <v>0</v>
      </c>
      <c r="J764" s="220">
        <v>46066</v>
      </c>
    </row>
    <row r="765" spans="1:10">
      <c r="A765" s="155"/>
      <c r="B765" s="153" t="s">
        <v>791</v>
      </c>
      <c r="C765" s="153" t="s">
        <v>597</v>
      </c>
      <c r="D765" s="153" t="s">
        <v>228</v>
      </c>
      <c r="E765" s="154">
        <v>32.268599999999999</v>
      </c>
      <c r="F765" s="154">
        <f t="shared" si="190"/>
        <v>4.8499999999999996</v>
      </c>
      <c r="G765" s="154">
        <f t="shared" si="187"/>
        <v>37.118600000000001</v>
      </c>
      <c r="H765" s="154">
        <f t="shared" si="188"/>
        <v>40.839999999999996</v>
      </c>
      <c r="I765" s="154">
        <f t="shared" si="189"/>
        <v>0</v>
      </c>
      <c r="J765" s="220">
        <v>46066</v>
      </c>
    </row>
    <row r="766" spans="1:10">
      <c r="A766" s="155"/>
      <c r="B766" s="153" t="s">
        <v>792</v>
      </c>
      <c r="C766" s="153" t="s">
        <v>598</v>
      </c>
      <c r="D766" s="153" t="s">
        <v>228</v>
      </c>
      <c r="E766" s="154">
        <v>36.799999999999997</v>
      </c>
      <c r="F766" s="154">
        <f t="shared" si="190"/>
        <v>5.52</v>
      </c>
      <c r="G766" s="154">
        <f t="shared" si="187"/>
        <v>42.319999999999993</v>
      </c>
      <c r="H766" s="154">
        <f t="shared" si="188"/>
        <v>46.559999999999995</v>
      </c>
      <c r="I766" s="154">
        <f t="shared" si="189"/>
        <v>0</v>
      </c>
      <c r="J766" s="220"/>
    </row>
    <row r="767" spans="1:10">
      <c r="A767" s="155"/>
      <c r="B767" s="153" t="s">
        <v>599</v>
      </c>
      <c r="C767" s="153" t="s">
        <v>600</v>
      </c>
      <c r="D767" s="153" t="s">
        <v>460</v>
      </c>
      <c r="E767" s="154">
        <v>395</v>
      </c>
      <c r="F767" s="154">
        <f t="shared" si="190"/>
        <v>59.25</v>
      </c>
      <c r="G767" s="154">
        <f t="shared" si="187"/>
        <v>454.25</v>
      </c>
      <c r="H767" s="154">
        <f t="shared" si="188"/>
        <v>499.68</v>
      </c>
      <c r="I767" s="154">
        <f t="shared" si="189"/>
        <v>0</v>
      </c>
      <c r="J767" s="220"/>
    </row>
    <row r="768" spans="1:10">
      <c r="A768" s="155"/>
      <c r="B768" s="153" t="s">
        <v>601</v>
      </c>
      <c r="C768" s="153" t="s">
        <v>602</v>
      </c>
      <c r="D768" s="153" t="s">
        <v>460</v>
      </c>
      <c r="E768" s="154">
        <v>407</v>
      </c>
      <c r="F768" s="154">
        <f t="shared" si="190"/>
        <v>61.05</v>
      </c>
      <c r="G768" s="154">
        <f t="shared" si="187"/>
        <v>468.05</v>
      </c>
      <c r="H768" s="154">
        <f t="shared" si="188"/>
        <v>514.86</v>
      </c>
      <c r="I768" s="154">
        <f t="shared" si="189"/>
        <v>0</v>
      </c>
      <c r="J768" s="220"/>
    </row>
    <row r="769" spans="1:10">
      <c r="A769" s="155"/>
      <c r="B769" s="153" t="s">
        <v>603</v>
      </c>
      <c r="C769" s="153" t="s">
        <v>604</v>
      </c>
      <c r="D769" s="153" t="s">
        <v>460</v>
      </c>
      <c r="E769" s="154">
        <v>449</v>
      </c>
      <c r="F769" s="154">
        <f t="shared" si="190"/>
        <v>67.349999999999994</v>
      </c>
      <c r="G769" s="154">
        <f t="shared" si="187"/>
        <v>516.35</v>
      </c>
      <c r="H769" s="154">
        <f t="shared" si="188"/>
        <v>567.99</v>
      </c>
      <c r="I769" s="154">
        <f t="shared" si="189"/>
        <v>0</v>
      </c>
      <c r="J769" s="220"/>
    </row>
    <row r="770" spans="1:10">
      <c r="A770" s="155"/>
      <c r="B770" s="153">
        <v>788</v>
      </c>
      <c r="C770" s="153" t="s">
        <v>205</v>
      </c>
      <c r="D770" s="153"/>
      <c r="E770" s="154"/>
      <c r="F770" s="154">
        <f t="shared" si="190"/>
        <v>0</v>
      </c>
      <c r="G770" s="154">
        <f t="shared" si="187"/>
        <v>0</v>
      </c>
      <c r="H770" s="154">
        <f t="shared" si="188"/>
        <v>0</v>
      </c>
      <c r="I770" s="154">
        <f t="shared" si="189"/>
        <v>0</v>
      </c>
      <c r="J770" s="220"/>
    </row>
    <row r="771" spans="1:10">
      <c r="A771" s="155"/>
      <c r="B771" s="153">
        <v>789</v>
      </c>
      <c r="C771" s="153" t="s">
        <v>605</v>
      </c>
      <c r="D771" s="153" t="s">
        <v>228</v>
      </c>
      <c r="E771" s="154">
        <v>18.12</v>
      </c>
      <c r="F771" s="154">
        <f t="shared" si="190"/>
        <v>2.7199999999999998</v>
      </c>
      <c r="G771" s="154">
        <f t="shared" si="187"/>
        <v>20.84</v>
      </c>
      <c r="H771" s="154">
        <f t="shared" si="188"/>
        <v>22.930000000000003</v>
      </c>
      <c r="I771" s="154">
        <f t="shared" si="189"/>
        <v>0</v>
      </c>
      <c r="J771" s="220"/>
    </row>
    <row r="772" spans="1:10">
      <c r="A772" s="155"/>
      <c r="B772" s="153">
        <v>790</v>
      </c>
      <c r="C772" s="153" t="s">
        <v>205</v>
      </c>
      <c r="D772" s="153"/>
      <c r="E772" s="154"/>
      <c r="F772" s="154">
        <f t="shared" si="190"/>
        <v>0</v>
      </c>
      <c r="G772" s="154">
        <f t="shared" si="187"/>
        <v>0</v>
      </c>
      <c r="H772" s="154">
        <f t="shared" si="188"/>
        <v>0</v>
      </c>
      <c r="I772" s="154">
        <f t="shared" si="189"/>
        <v>0</v>
      </c>
      <c r="J772" s="220"/>
    </row>
    <row r="773" spans="1:10">
      <c r="A773" s="155"/>
      <c r="B773" s="153">
        <v>791</v>
      </c>
      <c r="C773" s="153" t="s">
        <v>205</v>
      </c>
      <c r="D773" s="153"/>
      <c r="E773" s="154"/>
      <c r="F773" s="154">
        <f t="shared" si="190"/>
        <v>0</v>
      </c>
      <c r="G773" s="154">
        <f t="shared" si="187"/>
        <v>0</v>
      </c>
      <c r="H773" s="154">
        <f t="shared" si="188"/>
        <v>0</v>
      </c>
      <c r="I773" s="154">
        <f t="shared" si="189"/>
        <v>0</v>
      </c>
      <c r="J773" s="220"/>
    </row>
    <row r="774" spans="1:10">
      <c r="A774" s="155"/>
      <c r="B774" s="153">
        <v>792</v>
      </c>
      <c r="C774" s="153" t="s">
        <v>606</v>
      </c>
      <c r="D774" s="153" t="s">
        <v>246</v>
      </c>
      <c r="E774" s="154">
        <v>1.88</v>
      </c>
      <c r="F774" s="154">
        <f t="shared" si="190"/>
        <v>0.29000000000000004</v>
      </c>
      <c r="G774" s="154">
        <f t="shared" ref="G774:G837" si="191">E774+F774</f>
        <v>2.17</v>
      </c>
      <c r="H774" s="154">
        <f t="shared" ref="H774:H837" si="192">ROUNDUP(($E774+F774)*1.1,2)</f>
        <v>2.3899999999999997</v>
      </c>
      <c r="I774" s="154">
        <f t="shared" ref="I774:I837" si="193">IF($C$2="Inventory Cost",A774*G774,A774*H774)</f>
        <v>0</v>
      </c>
      <c r="J774" s="220">
        <v>44949</v>
      </c>
    </row>
    <row r="775" spans="1:10">
      <c r="A775" s="155"/>
      <c r="B775" s="153">
        <v>793</v>
      </c>
      <c r="C775" s="153" t="s">
        <v>607</v>
      </c>
      <c r="D775" s="153" t="s">
        <v>246</v>
      </c>
      <c r="E775" s="154">
        <v>2.67</v>
      </c>
      <c r="F775" s="154">
        <f t="shared" si="190"/>
        <v>0.41000000000000003</v>
      </c>
      <c r="G775" s="154">
        <f t="shared" si="191"/>
        <v>3.08</v>
      </c>
      <c r="H775" s="154">
        <f t="shared" si="192"/>
        <v>3.3899999999999997</v>
      </c>
      <c r="I775" s="154">
        <f t="shared" si="193"/>
        <v>0</v>
      </c>
      <c r="J775" s="220">
        <v>44949</v>
      </c>
    </row>
    <row r="776" spans="1:10">
      <c r="A776" s="155"/>
      <c r="B776" s="153">
        <v>794</v>
      </c>
      <c r="C776" s="153" t="s">
        <v>205</v>
      </c>
      <c r="D776" s="153"/>
      <c r="E776" s="154"/>
      <c r="F776" s="154">
        <f t="shared" si="190"/>
        <v>0</v>
      </c>
      <c r="G776" s="154">
        <f t="shared" si="191"/>
        <v>0</v>
      </c>
      <c r="H776" s="154">
        <f t="shared" si="192"/>
        <v>0</v>
      </c>
      <c r="I776" s="154">
        <f t="shared" si="193"/>
        <v>0</v>
      </c>
      <c r="J776" s="220"/>
    </row>
    <row r="777" spans="1:10">
      <c r="A777" s="155"/>
      <c r="B777" s="153">
        <v>795</v>
      </c>
      <c r="C777" s="153" t="s">
        <v>205</v>
      </c>
      <c r="D777" s="153"/>
      <c r="E777" s="154"/>
      <c r="F777" s="154">
        <f t="shared" si="190"/>
        <v>0</v>
      </c>
      <c r="G777" s="154">
        <f t="shared" si="191"/>
        <v>0</v>
      </c>
      <c r="H777" s="154">
        <f t="shared" si="192"/>
        <v>0</v>
      </c>
      <c r="I777" s="154">
        <f t="shared" si="193"/>
        <v>0</v>
      </c>
      <c r="J777" s="220"/>
    </row>
    <row r="778" spans="1:10">
      <c r="A778" s="155"/>
      <c r="B778" s="153">
        <v>796</v>
      </c>
      <c r="C778" s="153" t="s">
        <v>205</v>
      </c>
      <c r="D778" s="153"/>
      <c r="E778" s="154"/>
      <c r="F778" s="154">
        <f t="shared" si="190"/>
        <v>0</v>
      </c>
      <c r="G778" s="154">
        <f t="shared" si="191"/>
        <v>0</v>
      </c>
      <c r="H778" s="154">
        <f t="shared" si="192"/>
        <v>0</v>
      </c>
      <c r="I778" s="154">
        <f t="shared" si="193"/>
        <v>0</v>
      </c>
      <c r="J778" s="220"/>
    </row>
    <row r="779" spans="1:10">
      <c r="A779" s="155"/>
      <c r="B779" s="153">
        <v>797</v>
      </c>
      <c r="C779" s="153" t="s">
        <v>608</v>
      </c>
      <c r="D779" s="153" t="s">
        <v>228</v>
      </c>
      <c r="E779" s="154">
        <v>0.05</v>
      </c>
      <c r="F779" s="154">
        <f t="shared" si="190"/>
        <v>0.01</v>
      </c>
      <c r="G779" s="154">
        <f t="shared" si="191"/>
        <v>6.0000000000000005E-2</v>
      </c>
      <c r="H779" s="154">
        <f t="shared" si="192"/>
        <v>6.9999999999999993E-2</v>
      </c>
      <c r="I779" s="154">
        <f t="shared" si="193"/>
        <v>0</v>
      </c>
      <c r="J779" s="220">
        <v>44949</v>
      </c>
    </row>
    <row r="780" spans="1:10">
      <c r="A780" s="155"/>
      <c r="B780" s="153">
        <v>798</v>
      </c>
      <c r="C780" s="153" t="s">
        <v>609</v>
      </c>
      <c r="D780" s="153" t="s">
        <v>228</v>
      </c>
      <c r="E780" s="154">
        <v>0.12</v>
      </c>
      <c r="F780" s="154">
        <f t="shared" si="190"/>
        <v>0.02</v>
      </c>
      <c r="G780" s="154">
        <f t="shared" si="191"/>
        <v>0.13999999999999999</v>
      </c>
      <c r="H780" s="154">
        <f t="shared" si="192"/>
        <v>0.16</v>
      </c>
      <c r="I780" s="154">
        <f t="shared" si="193"/>
        <v>0</v>
      </c>
      <c r="J780" s="220">
        <v>44949</v>
      </c>
    </row>
    <row r="781" spans="1:10">
      <c r="A781" s="155"/>
      <c r="B781" s="153">
        <v>799</v>
      </c>
      <c r="C781" s="153" t="s">
        <v>610</v>
      </c>
      <c r="D781" s="153" t="s">
        <v>228</v>
      </c>
      <c r="E781" s="154">
        <v>0.26</v>
      </c>
      <c r="F781" s="154">
        <f t="shared" si="190"/>
        <v>0.04</v>
      </c>
      <c r="G781" s="154">
        <f t="shared" si="191"/>
        <v>0.3</v>
      </c>
      <c r="H781" s="154">
        <f t="shared" si="192"/>
        <v>0.33</v>
      </c>
      <c r="I781" s="154">
        <f t="shared" si="193"/>
        <v>0</v>
      </c>
      <c r="J781" s="220">
        <v>44949</v>
      </c>
    </row>
    <row r="782" spans="1:10">
      <c r="A782" s="155"/>
      <c r="B782" s="153">
        <v>800</v>
      </c>
      <c r="C782" s="153" t="s">
        <v>611</v>
      </c>
      <c r="D782" s="153" t="s">
        <v>228</v>
      </c>
      <c r="E782" s="154">
        <v>0.37</v>
      </c>
      <c r="F782" s="154">
        <f t="shared" si="190"/>
        <v>6.0000000000000005E-2</v>
      </c>
      <c r="G782" s="154">
        <f t="shared" si="191"/>
        <v>0.43</v>
      </c>
      <c r="H782" s="154">
        <f t="shared" si="192"/>
        <v>0.48</v>
      </c>
      <c r="I782" s="154">
        <f t="shared" si="193"/>
        <v>0</v>
      </c>
      <c r="J782" s="220">
        <v>44949</v>
      </c>
    </row>
    <row r="783" spans="1:10">
      <c r="A783" s="155"/>
      <c r="B783" s="153">
        <v>801</v>
      </c>
      <c r="C783" s="153" t="s">
        <v>612</v>
      </c>
      <c r="D783" s="153" t="s">
        <v>228</v>
      </c>
      <c r="E783" s="154">
        <v>0.09</v>
      </c>
      <c r="F783" s="154">
        <f t="shared" si="190"/>
        <v>0.02</v>
      </c>
      <c r="G783" s="154">
        <f t="shared" si="191"/>
        <v>0.11</v>
      </c>
      <c r="H783" s="154">
        <f t="shared" si="192"/>
        <v>0.13</v>
      </c>
      <c r="I783" s="154">
        <f t="shared" si="193"/>
        <v>0</v>
      </c>
      <c r="J783" s="220">
        <v>44949</v>
      </c>
    </row>
    <row r="784" spans="1:10">
      <c r="A784" s="155"/>
      <c r="B784" s="153">
        <v>802</v>
      </c>
      <c r="C784" s="153" t="s">
        <v>613</v>
      </c>
      <c r="D784" s="153" t="s">
        <v>228</v>
      </c>
      <c r="E784" s="154">
        <v>0.09</v>
      </c>
      <c r="F784" s="154">
        <f t="shared" si="190"/>
        <v>0.02</v>
      </c>
      <c r="G784" s="154">
        <f t="shared" si="191"/>
        <v>0.11</v>
      </c>
      <c r="H784" s="154">
        <f t="shared" si="192"/>
        <v>0.13</v>
      </c>
      <c r="I784" s="154">
        <f t="shared" si="193"/>
        <v>0</v>
      </c>
      <c r="J784" s="220">
        <v>44949</v>
      </c>
    </row>
    <row r="785" spans="1:10">
      <c r="A785" s="155"/>
      <c r="B785" s="153">
        <v>803</v>
      </c>
      <c r="C785" s="153" t="s">
        <v>614</v>
      </c>
      <c r="D785" s="153" t="s">
        <v>228</v>
      </c>
      <c r="E785" s="154">
        <v>0.02</v>
      </c>
      <c r="F785" s="154">
        <f t="shared" si="190"/>
        <v>0.01</v>
      </c>
      <c r="G785" s="154">
        <f t="shared" si="191"/>
        <v>0.03</v>
      </c>
      <c r="H785" s="154">
        <f t="shared" si="192"/>
        <v>0.04</v>
      </c>
      <c r="I785" s="154">
        <f t="shared" si="193"/>
        <v>0</v>
      </c>
      <c r="J785" s="220">
        <v>44949</v>
      </c>
    </row>
    <row r="786" spans="1:10">
      <c r="A786" s="155"/>
      <c r="B786" s="153">
        <v>804</v>
      </c>
      <c r="C786" s="153" t="s">
        <v>615</v>
      </c>
      <c r="D786" s="153" t="s">
        <v>228</v>
      </c>
      <c r="E786" s="154">
        <v>0.05</v>
      </c>
      <c r="F786" s="154">
        <f t="shared" si="190"/>
        <v>0.01</v>
      </c>
      <c r="G786" s="154">
        <f t="shared" si="191"/>
        <v>6.0000000000000005E-2</v>
      </c>
      <c r="H786" s="154">
        <f t="shared" si="192"/>
        <v>6.9999999999999993E-2</v>
      </c>
      <c r="I786" s="154">
        <f t="shared" si="193"/>
        <v>0</v>
      </c>
      <c r="J786" s="220">
        <v>44949</v>
      </c>
    </row>
    <row r="787" spans="1:10">
      <c r="A787" s="155"/>
      <c r="B787" s="153">
        <v>805</v>
      </c>
      <c r="C787" s="153" t="s">
        <v>616</v>
      </c>
      <c r="D787" s="153" t="s">
        <v>228</v>
      </c>
      <c r="E787" s="154">
        <v>0.08</v>
      </c>
      <c r="F787" s="154">
        <f t="shared" si="190"/>
        <v>0.02</v>
      </c>
      <c r="G787" s="154">
        <f t="shared" si="191"/>
        <v>0.1</v>
      </c>
      <c r="H787" s="154">
        <f t="shared" si="192"/>
        <v>0.11</v>
      </c>
      <c r="I787" s="154">
        <f t="shared" si="193"/>
        <v>0</v>
      </c>
      <c r="J787" s="220">
        <v>44949</v>
      </c>
    </row>
    <row r="788" spans="1:10">
      <c r="A788" s="155"/>
      <c r="B788" s="153">
        <v>806</v>
      </c>
      <c r="C788" s="153" t="s">
        <v>617</v>
      </c>
      <c r="D788" s="153" t="s">
        <v>228</v>
      </c>
      <c r="E788" s="154">
        <v>7.46</v>
      </c>
      <c r="F788" s="154">
        <f t="shared" si="190"/>
        <v>1.1200000000000001</v>
      </c>
      <c r="G788" s="154">
        <f t="shared" si="191"/>
        <v>8.58</v>
      </c>
      <c r="H788" s="154">
        <f t="shared" si="192"/>
        <v>9.44</v>
      </c>
      <c r="I788" s="154">
        <f t="shared" si="193"/>
        <v>0</v>
      </c>
      <c r="J788" s="220"/>
    </row>
    <row r="789" spans="1:10">
      <c r="A789" s="155"/>
      <c r="B789" s="153">
        <v>807</v>
      </c>
      <c r="C789" s="153" t="s">
        <v>205</v>
      </c>
      <c r="D789" s="153"/>
      <c r="E789" s="154"/>
      <c r="F789" s="154">
        <f t="shared" si="190"/>
        <v>0</v>
      </c>
      <c r="G789" s="154">
        <f t="shared" si="191"/>
        <v>0</v>
      </c>
      <c r="H789" s="154">
        <f t="shared" si="192"/>
        <v>0</v>
      </c>
      <c r="I789" s="154">
        <f t="shared" si="193"/>
        <v>0</v>
      </c>
      <c r="J789" s="220"/>
    </row>
    <row r="790" spans="1:10">
      <c r="A790" s="155"/>
      <c r="B790" s="153">
        <v>808</v>
      </c>
      <c r="C790" s="153" t="s">
        <v>205</v>
      </c>
      <c r="D790" s="153"/>
      <c r="E790" s="154"/>
      <c r="F790" s="154">
        <f t="shared" si="190"/>
        <v>0</v>
      </c>
      <c r="G790" s="154">
        <f t="shared" si="191"/>
        <v>0</v>
      </c>
      <c r="H790" s="154">
        <f t="shared" si="192"/>
        <v>0</v>
      </c>
      <c r="I790" s="154">
        <f t="shared" si="193"/>
        <v>0</v>
      </c>
      <c r="J790" s="220"/>
    </row>
    <row r="791" spans="1:10">
      <c r="A791" s="155"/>
      <c r="B791" s="153">
        <v>809</v>
      </c>
      <c r="C791" s="153" t="s">
        <v>618</v>
      </c>
      <c r="D791" s="153" t="s">
        <v>228</v>
      </c>
      <c r="E791" s="154">
        <v>7.46</v>
      </c>
      <c r="F791" s="154">
        <f t="shared" si="190"/>
        <v>1.1200000000000001</v>
      </c>
      <c r="G791" s="154">
        <f t="shared" si="191"/>
        <v>8.58</v>
      </c>
      <c r="H791" s="154">
        <f t="shared" si="192"/>
        <v>9.44</v>
      </c>
      <c r="I791" s="154">
        <f t="shared" si="193"/>
        <v>0</v>
      </c>
      <c r="J791" s="220"/>
    </row>
    <row r="792" spans="1:10">
      <c r="A792" s="155"/>
      <c r="B792" s="153">
        <v>810</v>
      </c>
      <c r="C792" s="153" t="s">
        <v>205</v>
      </c>
      <c r="D792" s="153"/>
      <c r="E792" s="154"/>
      <c r="F792" s="154">
        <f t="shared" si="190"/>
        <v>0</v>
      </c>
      <c r="G792" s="154">
        <f t="shared" si="191"/>
        <v>0</v>
      </c>
      <c r="H792" s="154">
        <f t="shared" si="192"/>
        <v>0</v>
      </c>
      <c r="I792" s="154">
        <f t="shared" si="193"/>
        <v>0</v>
      </c>
      <c r="J792" s="220"/>
    </row>
    <row r="793" spans="1:10">
      <c r="A793" s="155"/>
      <c r="B793" s="153">
        <v>811</v>
      </c>
      <c r="C793" s="153" t="s">
        <v>205</v>
      </c>
      <c r="D793" s="153"/>
      <c r="E793" s="154"/>
      <c r="F793" s="154">
        <f t="shared" si="190"/>
        <v>0</v>
      </c>
      <c r="G793" s="154">
        <f t="shared" si="191"/>
        <v>0</v>
      </c>
      <c r="H793" s="154">
        <f t="shared" si="192"/>
        <v>0</v>
      </c>
      <c r="I793" s="154">
        <f t="shared" si="193"/>
        <v>0</v>
      </c>
      <c r="J793" s="220"/>
    </row>
    <row r="794" spans="1:10">
      <c r="A794" s="155"/>
      <c r="B794" s="153">
        <v>812</v>
      </c>
      <c r="C794" s="153" t="s">
        <v>619</v>
      </c>
      <c r="D794" s="153" t="s">
        <v>228</v>
      </c>
      <c r="E794" s="154">
        <v>7.63</v>
      </c>
      <c r="F794" s="154">
        <f t="shared" si="190"/>
        <v>1.1499999999999999</v>
      </c>
      <c r="G794" s="154">
        <f t="shared" si="191"/>
        <v>8.7799999999999994</v>
      </c>
      <c r="H794" s="154">
        <f t="shared" si="192"/>
        <v>9.66</v>
      </c>
      <c r="I794" s="154">
        <f t="shared" si="193"/>
        <v>0</v>
      </c>
      <c r="J794" s="220"/>
    </row>
    <row r="795" spans="1:10">
      <c r="A795" s="155"/>
      <c r="B795" s="153">
        <v>813</v>
      </c>
      <c r="C795" s="153" t="s">
        <v>205</v>
      </c>
      <c r="D795" s="153"/>
      <c r="E795" s="154"/>
      <c r="F795" s="154">
        <f t="shared" si="190"/>
        <v>0</v>
      </c>
      <c r="G795" s="154">
        <f t="shared" si="191"/>
        <v>0</v>
      </c>
      <c r="H795" s="154">
        <f t="shared" si="192"/>
        <v>0</v>
      </c>
      <c r="I795" s="154">
        <f t="shared" si="193"/>
        <v>0</v>
      </c>
      <c r="J795" s="220"/>
    </row>
    <row r="796" spans="1:10">
      <c r="A796" s="155"/>
      <c r="B796" s="153">
        <v>814</v>
      </c>
      <c r="C796" s="153" t="s">
        <v>205</v>
      </c>
      <c r="D796" s="153"/>
      <c r="E796" s="154"/>
      <c r="F796" s="154">
        <f t="shared" si="190"/>
        <v>0</v>
      </c>
      <c r="G796" s="154">
        <f t="shared" si="191"/>
        <v>0</v>
      </c>
      <c r="H796" s="154">
        <f t="shared" si="192"/>
        <v>0</v>
      </c>
      <c r="I796" s="154">
        <f t="shared" si="193"/>
        <v>0</v>
      </c>
      <c r="J796" s="220"/>
    </row>
    <row r="797" spans="1:10">
      <c r="A797" s="155"/>
      <c r="B797" s="153">
        <v>815</v>
      </c>
      <c r="C797" s="153" t="s">
        <v>205</v>
      </c>
      <c r="D797" s="153"/>
      <c r="E797" s="154"/>
      <c r="F797" s="154">
        <f t="shared" si="190"/>
        <v>0</v>
      </c>
      <c r="G797" s="154">
        <f t="shared" si="191"/>
        <v>0</v>
      </c>
      <c r="H797" s="154">
        <f t="shared" si="192"/>
        <v>0</v>
      </c>
      <c r="I797" s="154">
        <f t="shared" si="193"/>
        <v>0</v>
      </c>
      <c r="J797" s="220"/>
    </row>
    <row r="798" spans="1:10">
      <c r="A798" s="155"/>
      <c r="B798" s="153">
        <v>816</v>
      </c>
      <c r="C798" s="153" t="s">
        <v>620</v>
      </c>
      <c r="D798" s="153" t="s">
        <v>228</v>
      </c>
      <c r="E798" s="154">
        <v>9.0299999999999994</v>
      </c>
      <c r="F798" s="154">
        <f t="shared" si="190"/>
        <v>1.36</v>
      </c>
      <c r="G798" s="154">
        <f t="shared" si="191"/>
        <v>10.389999999999999</v>
      </c>
      <c r="H798" s="154">
        <f t="shared" si="192"/>
        <v>11.43</v>
      </c>
      <c r="I798" s="154">
        <f t="shared" si="193"/>
        <v>0</v>
      </c>
      <c r="J798" s="220"/>
    </row>
    <row r="799" spans="1:10">
      <c r="A799" s="155"/>
      <c r="B799" s="153">
        <v>817</v>
      </c>
      <c r="C799" s="153" t="s">
        <v>205</v>
      </c>
      <c r="D799" s="153"/>
      <c r="E799" s="154"/>
      <c r="F799" s="154">
        <f t="shared" si="190"/>
        <v>0</v>
      </c>
      <c r="G799" s="154">
        <f t="shared" si="191"/>
        <v>0</v>
      </c>
      <c r="H799" s="154">
        <f t="shared" si="192"/>
        <v>0</v>
      </c>
      <c r="I799" s="154">
        <f t="shared" si="193"/>
        <v>0</v>
      </c>
      <c r="J799" s="220"/>
    </row>
    <row r="800" spans="1:10">
      <c r="A800" s="155"/>
      <c r="B800" s="153">
        <v>818</v>
      </c>
      <c r="C800" s="153" t="s">
        <v>205</v>
      </c>
      <c r="D800" s="153"/>
      <c r="E800" s="154"/>
      <c r="F800" s="154">
        <f t="shared" ref="F800:F838" si="194">ROUNDUP(E800*0.15,2)</f>
        <v>0</v>
      </c>
      <c r="G800" s="154">
        <f t="shared" si="191"/>
        <v>0</v>
      </c>
      <c r="H800" s="154">
        <f t="shared" si="192"/>
        <v>0</v>
      </c>
      <c r="I800" s="154">
        <f t="shared" si="193"/>
        <v>0</v>
      </c>
      <c r="J800" s="220"/>
    </row>
    <row r="801" spans="1:10">
      <c r="A801" s="155"/>
      <c r="B801" s="153">
        <v>819</v>
      </c>
      <c r="C801" s="153" t="s">
        <v>621</v>
      </c>
      <c r="D801" s="153" t="s">
        <v>228</v>
      </c>
      <c r="E801" s="154">
        <v>9.5399999999999991</v>
      </c>
      <c r="F801" s="154">
        <f t="shared" si="194"/>
        <v>1.44</v>
      </c>
      <c r="G801" s="154">
        <f t="shared" si="191"/>
        <v>10.979999999999999</v>
      </c>
      <c r="H801" s="154">
        <f t="shared" si="192"/>
        <v>12.08</v>
      </c>
      <c r="I801" s="154">
        <f t="shared" si="193"/>
        <v>0</v>
      </c>
      <c r="J801" s="220"/>
    </row>
    <row r="802" spans="1:10">
      <c r="A802" s="155"/>
      <c r="B802" s="153">
        <v>820</v>
      </c>
      <c r="C802" s="153" t="s">
        <v>205</v>
      </c>
      <c r="D802" s="153"/>
      <c r="E802" s="154"/>
      <c r="F802" s="154">
        <f t="shared" si="194"/>
        <v>0</v>
      </c>
      <c r="G802" s="154">
        <f t="shared" si="191"/>
        <v>0</v>
      </c>
      <c r="H802" s="154">
        <f t="shared" si="192"/>
        <v>0</v>
      </c>
      <c r="I802" s="154">
        <f t="shared" si="193"/>
        <v>0</v>
      </c>
      <c r="J802" s="220"/>
    </row>
    <row r="803" spans="1:10">
      <c r="A803" s="155"/>
      <c r="B803" s="153">
        <v>821</v>
      </c>
      <c r="C803" s="153" t="s">
        <v>205</v>
      </c>
      <c r="D803" s="153"/>
      <c r="E803" s="154"/>
      <c r="F803" s="154">
        <f t="shared" si="194"/>
        <v>0</v>
      </c>
      <c r="G803" s="154">
        <f t="shared" si="191"/>
        <v>0</v>
      </c>
      <c r="H803" s="154">
        <f t="shared" si="192"/>
        <v>0</v>
      </c>
      <c r="I803" s="154">
        <f t="shared" si="193"/>
        <v>0</v>
      </c>
      <c r="J803" s="220"/>
    </row>
    <row r="804" spans="1:10">
      <c r="A804" s="155"/>
      <c r="B804" s="153">
        <v>822</v>
      </c>
      <c r="C804" s="153" t="s">
        <v>205</v>
      </c>
      <c r="D804" s="153"/>
      <c r="E804" s="154"/>
      <c r="F804" s="154">
        <f t="shared" si="194"/>
        <v>0</v>
      </c>
      <c r="G804" s="154">
        <f t="shared" si="191"/>
        <v>0</v>
      </c>
      <c r="H804" s="154">
        <f t="shared" si="192"/>
        <v>0</v>
      </c>
      <c r="I804" s="154">
        <f t="shared" si="193"/>
        <v>0</v>
      </c>
      <c r="J804" s="220"/>
    </row>
    <row r="805" spans="1:10">
      <c r="A805" s="155"/>
      <c r="B805" s="153">
        <v>823</v>
      </c>
      <c r="C805" s="153" t="s">
        <v>205</v>
      </c>
      <c r="D805" s="153"/>
      <c r="E805" s="154"/>
      <c r="F805" s="154">
        <f t="shared" si="194"/>
        <v>0</v>
      </c>
      <c r="G805" s="154">
        <f t="shared" si="191"/>
        <v>0</v>
      </c>
      <c r="H805" s="154">
        <f t="shared" si="192"/>
        <v>0</v>
      </c>
      <c r="I805" s="154">
        <f t="shared" si="193"/>
        <v>0</v>
      </c>
      <c r="J805" s="220"/>
    </row>
    <row r="806" spans="1:10">
      <c r="A806" s="155"/>
      <c r="B806" s="153">
        <v>824</v>
      </c>
      <c r="C806" s="153" t="s">
        <v>622</v>
      </c>
      <c r="D806" s="153" t="s">
        <v>228</v>
      </c>
      <c r="E806" s="154">
        <v>15.18</v>
      </c>
      <c r="F806" s="154">
        <f t="shared" si="194"/>
        <v>2.2799999999999998</v>
      </c>
      <c r="G806" s="154">
        <f t="shared" si="191"/>
        <v>17.46</v>
      </c>
      <c r="H806" s="154">
        <f t="shared" si="192"/>
        <v>19.21</v>
      </c>
      <c r="I806" s="154">
        <f t="shared" si="193"/>
        <v>0</v>
      </c>
      <c r="J806" s="220"/>
    </row>
    <row r="807" spans="1:10">
      <c r="A807" s="155"/>
      <c r="B807" s="153">
        <v>825</v>
      </c>
      <c r="C807" s="153" t="s">
        <v>205</v>
      </c>
      <c r="D807" s="153"/>
      <c r="E807" s="154"/>
      <c r="F807" s="154">
        <f t="shared" si="194"/>
        <v>0</v>
      </c>
      <c r="G807" s="154">
        <f t="shared" si="191"/>
        <v>0</v>
      </c>
      <c r="H807" s="154">
        <f t="shared" si="192"/>
        <v>0</v>
      </c>
      <c r="I807" s="154">
        <f t="shared" si="193"/>
        <v>0</v>
      </c>
      <c r="J807" s="220"/>
    </row>
    <row r="808" spans="1:10">
      <c r="A808" s="155"/>
      <c r="B808" s="153">
        <v>826</v>
      </c>
      <c r="C808" s="153" t="s">
        <v>205</v>
      </c>
      <c r="D808" s="153"/>
      <c r="E808" s="154"/>
      <c r="F808" s="154">
        <f t="shared" si="194"/>
        <v>0</v>
      </c>
      <c r="G808" s="154">
        <f t="shared" si="191"/>
        <v>0</v>
      </c>
      <c r="H808" s="154">
        <f t="shared" si="192"/>
        <v>0</v>
      </c>
      <c r="I808" s="154">
        <f t="shared" si="193"/>
        <v>0</v>
      </c>
      <c r="J808" s="220"/>
    </row>
    <row r="809" spans="1:10">
      <c r="A809" s="155"/>
      <c r="B809" s="153">
        <v>827</v>
      </c>
      <c r="C809" s="153" t="s">
        <v>205</v>
      </c>
      <c r="D809" s="153"/>
      <c r="E809" s="154"/>
      <c r="F809" s="154">
        <f t="shared" si="194"/>
        <v>0</v>
      </c>
      <c r="G809" s="154">
        <f t="shared" si="191"/>
        <v>0</v>
      </c>
      <c r="H809" s="154">
        <f t="shared" si="192"/>
        <v>0</v>
      </c>
      <c r="I809" s="154">
        <f t="shared" si="193"/>
        <v>0</v>
      </c>
      <c r="J809" s="220"/>
    </row>
    <row r="810" spans="1:10">
      <c r="A810" s="155"/>
      <c r="B810" s="153">
        <v>828</v>
      </c>
      <c r="C810" s="153" t="s">
        <v>623</v>
      </c>
      <c r="D810" s="153" t="s">
        <v>228</v>
      </c>
      <c r="E810" s="154">
        <v>19.2</v>
      </c>
      <c r="F810" s="154">
        <f t="shared" si="194"/>
        <v>2.88</v>
      </c>
      <c r="G810" s="154">
        <f t="shared" si="191"/>
        <v>22.08</v>
      </c>
      <c r="H810" s="154">
        <f t="shared" si="192"/>
        <v>24.290000000000003</v>
      </c>
      <c r="I810" s="154">
        <f t="shared" si="193"/>
        <v>0</v>
      </c>
      <c r="J810" s="220"/>
    </row>
    <row r="811" spans="1:10">
      <c r="A811" s="155"/>
      <c r="B811" s="153">
        <v>829</v>
      </c>
      <c r="C811" s="153" t="s">
        <v>205</v>
      </c>
      <c r="D811" s="153"/>
      <c r="E811" s="154"/>
      <c r="F811" s="154">
        <f t="shared" si="194"/>
        <v>0</v>
      </c>
      <c r="G811" s="154">
        <f t="shared" si="191"/>
        <v>0</v>
      </c>
      <c r="H811" s="154">
        <f t="shared" si="192"/>
        <v>0</v>
      </c>
      <c r="I811" s="154">
        <f t="shared" si="193"/>
        <v>0</v>
      </c>
      <c r="J811" s="220"/>
    </row>
    <row r="812" spans="1:10">
      <c r="A812" s="155"/>
      <c r="B812" s="153">
        <v>830</v>
      </c>
      <c r="C812" s="153" t="s">
        <v>205</v>
      </c>
      <c r="D812" s="153"/>
      <c r="E812" s="154"/>
      <c r="F812" s="154">
        <f t="shared" si="194"/>
        <v>0</v>
      </c>
      <c r="G812" s="154">
        <f t="shared" si="191"/>
        <v>0</v>
      </c>
      <c r="H812" s="154">
        <f t="shared" si="192"/>
        <v>0</v>
      </c>
      <c r="I812" s="154">
        <f t="shared" si="193"/>
        <v>0</v>
      </c>
      <c r="J812" s="220"/>
    </row>
    <row r="813" spans="1:10">
      <c r="A813" s="155"/>
      <c r="B813" s="153">
        <v>831</v>
      </c>
      <c r="C813" s="153" t="s">
        <v>205</v>
      </c>
      <c r="D813" s="153"/>
      <c r="E813" s="154"/>
      <c r="F813" s="154">
        <f t="shared" si="194"/>
        <v>0</v>
      </c>
      <c r="G813" s="154">
        <f t="shared" si="191"/>
        <v>0</v>
      </c>
      <c r="H813" s="154">
        <f t="shared" si="192"/>
        <v>0</v>
      </c>
      <c r="I813" s="154">
        <f t="shared" si="193"/>
        <v>0</v>
      </c>
      <c r="J813" s="220"/>
    </row>
    <row r="814" spans="1:10">
      <c r="A814" s="155"/>
      <c r="B814" s="153">
        <v>832</v>
      </c>
      <c r="C814" s="153" t="s">
        <v>624</v>
      </c>
      <c r="D814" s="153" t="s">
        <v>228</v>
      </c>
      <c r="E814" s="154">
        <v>24.19</v>
      </c>
      <c r="F814" s="154">
        <f t="shared" si="194"/>
        <v>3.63</v>
      </c>
      <c r="G814" s="154">
        <f t="shared" si="191"/>
        <v>27.82</v>
      </c>
      <c r="H814" s="154">
        <f t="shared" si="192"/>
        <v>30.610000000000003</v>
      </c>
      <c r="I814" s="154">
        <f t="shared" si="193"/>
        <v>0</v>
      </c>
      <c r="J814" s="220"/>
    </row>
    <row r="815" spans="1:10">
      <c r="A815" s="155"/>
      <c r="B815" s="153">
        <v>833</v>
      </c>
      <c r="C815" s="153" t="s">
        <v>205</v>
      </c>
      <c r="D815" s="153"/>
      <c r="E815" s="154"/>
      <c r="F815" s="154">
        <f t="shared" si="194"/>
        <v>0</v>
      </c>
      <c r="G815" s="154">
        <f t="shared" si="191"/>
        <v>0</v>
      </c>
      <c r="H815" s="154">
        <f t="shared" si="192"/>
        <v>0</v>
      </c>
      <c r="I815" s="154">
        <f t="shared" si="193"/>
        <v>0</v>
      </c>
      <c r="J815" s="220"/>
    </row>
    <row r="816" spans="1:10">
      <c r="A816" s="155"/>
      <c r="B816" s="153">
        <v>834</v>
      </c>
      <c r="C816" s="153" t="s">
        <v>205</v>
      </c>
      <c r="D816" s="153"/>
      <c r="E816" s="154"/>
      <c r="F816" s="154">
        <f t="shared" si="194"/>
        <v>0</v>
      </c>
      <c r="G816" s="154">
        <f t="shared" si="191"/>
        <v>0</v>
      </c>
      <c r="H816" s="154">
        <f t="shared" si="192"/>
        <v>0</v>
      </c>
      <c r="I816" s="154">
        <f t="shared" si="193"/>
        <v>0</v>
      </c>
      <c r="J816" s="220"/>
    </row>
    <row r="817" spans="1:10">
      <c r="A817" s="155"/>
      <c r="B817" s="153">
        <v>835</v>
      </c>
      <c r="C817" s="153" t="s">
        <v>205</v>
      </c>
      <c r="D817" s="153"/>
      <c r="E817" s="154"/>
      <c r="F817" s="154">
        <f t="shared" si="194"/>
        <v>0</v>
      </c>
      <c r="G817" s="154">
        <f t="shared" si="191"/>
        <v>0</v>
      </c>
      <c r="H817" s="154">
        <f t="shared" si="192"/>
        <v>0</v>
      </c>
      <c r="I817" s="154">
        <f t="shared" si="193"/>
        <v>0</v>
      </c>
      <c r="J817" s="220"/>
    </row>
    <row r="818" spans="1:10">
      <c r="A818" s="155"/>
      <c r="B818" s="153">
        <v>836</v>
      </c>
      <c r="C818" s="153" t="s">
        <v>625</v>
      </c>
      <c r="D818" s="153" t="s">
        <v>196</v>
      </c>
      <c r="E818" s="154">
        <v>0.95</v>
      </c>
      <c r="F818" s="154">
        <f t="shared" si="194"/>
        <v>0.15000000000000002</v>
      </c>
      <c r="G818" s="154">
        <f t="shared" si="191"/>
        <v>1.1000000000000001</v>
      </c>
      <c r="H818" s="154">
        <f t="shared" si="192"/>
        <v>1.21</v>
      </c>
      <c r="I818" s="154">
        <f t="shared" si="193"/>
        <v>0</v>
      </c>
      <c r="J818" s="220"/>
    </row>
    <row r="819" spans="1:10">
      <c r="A819" s="155"/>
      <c r="B819" s="153">
        <v>837</v>
      </c>
      <c r="C819" s="153" t="s">
        <v>205</v>
      </c>
      <c r="D819" s="153"/>
      <c r="E819" s="154"/>
      <c r="F819" s="154">
        <f t="shared" si="194"/>
        <v>0</v>
      </c>
      <c r="G819" s="154">
        <f t="shared" si="191"/>
        <v>0</v>
      </c>
      <c r="H819" s="154">
        <f t="shared" si="192"/>
        <v>0</v>
      </c>
      <c r="I819" s="154">
        <f t="shared" si="193"/>
        <v>0</v>
      </c>
      <c r="J819" s="220"/>
    </row>
    <row r="820" spans="1:10">
      <c r="A820" s="155"/>
      <c r="B820" s="153">
        <v>838</v>
      </c>
      <c r="C820" s="153" t="s">
        <v>205</v>
      </c>
      <c r="D820" s="153"/>
      <c r="E820" s="154"/>
      <c r="F820" s="154">
        <f t="shared" si="194"/>
        <v>0</v>
      </c>
      <c r="G820" s="154">
        <f t="shared" si="191"/>
        <v>0</v>
      </c>
      <c r="H820" s="154">
        <f t="shared" si="192"/>
        <v>0</v>
      </c>
      <c r="I820" s="154">
        <f t="shared" si="193"/>
        <v>0</v>
      </c>
      <c r="J820" s="220"/>
    </row>
    <row r="821" spans="1:10">
      <c r="A821" s="155"/>
      <c r="B821" s="153">
        <v>839</v>
      </c>
      <c r="C821" s="153" t="s">
        <v>205</v>
      </c>
      <c r="D821" s="153"/>
      <c r="E821" s="154"/>
      <c r="F821" s="154">
        <f t="shared" si="194"/>
        <v>0</v>
      </c>
      <c r="G821" s="154">
        <f t="shared" si="191"/>
        <v>0</v>
      </c>
      <c r="H821" s="154">
        <f t="shared" si="192"/>
        <v>0</v>
      </c>
      <c r="I821" s="154">
        <f t="shared" si="193"/>
        <v>0</v>
      </c>
      <c r="J821" s="220"/>
    </row>
    <row r="822" spans="1:10">
      <c r="A822" s="155"/>
      <c r="B822" s="153">
        <v>840</v>
      </c>
      <c r="C822" s="153" t="s">
        <v>626</v>
      </c>
      <c r="D822" s="153" t="s">
        <v>228</v>
      </c>
      <c r="E822" s="154">
        <v>4.42</v>
      </c>
      <c r="F822" s="154">
        <f t="shared" si="194"/>
        <v>0.67</v>
      </c>
      <c r="G822" s="154">
        <f t="shared" si="191"/>
        <v>5.09</v>
      </c>
      <c r="H822" s="154">
        <f t="shared" si="192"/>
        <v>5.6</v>
      </c>
      <c r="I822" s="154">
        <f t="shared" si="193"/>
        <v>0</v>
      </c>
      <c r="J822" s="220"/>
    </row>
    <row r="823" spans="1:10">
      <c r="A823" s="155"/>
      <c r="B823" s="153">
        <v>841</v>
      </c>
      <c r="C823" s="153" t="s">
        <v>205</v>
      </c>
      <c r="D823" s="153"/>
      <c r="E823" s="154"/>
      <c r="F823" s="154">
        <f t="shared" si="194"/>
        <v>0</v>
      </c>
      <c r="G823" s="154">
        <f t="shared" si="191"/>
        <v>0</v>
      </c>
      <c r="H823" s="154">
        <f t="shared" si="192"/>
        <v>0</v>
      </c>
      <c r="I823" s="154">
        <f t="shared" si="193"/>
        <v>0</v>
      </c>
      <c r="J823" s="220"/>
    </row>
    <row r="824" spans="1:10">
      <c r="A824" s="155"/>
      <c r="B824" s="153">
        <v>842</v>
      </c>
      <c r="C824" s="153" t="s">
        <v>627</v>
      </c>
      <c r="D824" s="153" t="s">
        <v>793</v>
      </c>
      <c r="E824" s="154">
        <v>1.05</v>
      </c>
      <c r="F824" s="154">
        <f t="shared" si="194"/>
        <v>0.16</v>
      </c>
      <c r="G824" s="154">
        <f t="shared" si="191"/>
        <v>1.21</v>
      </c>
      <c r="H824" s="154">
        <f t="shared" si="192"/>
        <v>1.34</v>
      </c>
      <c r="I824" s="154">
        <f t="shared" si="193"/>
        <v>0</v>
      </c>
      <c r="J824" s="220"/>
    </row>
    <row r="825" spans="1:10">
      <c r="A825" s="155"/>
      <c r="B825" s="153">
        <v>843</v>
      </c>
      <c r="C825" s="153" t="s">
        <v>628</v>
      </c>
      <c r="D825" s="153" t="s">
        <v>228</v>
      </c>
      <c r="E825" s="154">
        <v>7.71</v>
      </c>
      <c r="F825" s="154">
        <f t="shared" si="194"/>
        <v>1.1599999999999999</v>
      </c>
      <c r="G825" s="154">
        <f t="shared" si="191"/>
        <v>8.8699999999999992</v>
      </c>
      <c r="H825" s="154">
        <f t="shared" si="192"/>
        <v>9.76</v>
      </c>
      <c r="I825" s="154">
        <f t="shared" si="193"/>
        <v>0</v>
      </c>
      <c r="J825" s="220">
        <v>46066</v>
      </c>
    </row>
    <row r="826" spans="1:10">
      <c r="A826" s="155"/>
      <c r="B826" s="153">
        <v>844</v>
      </c>
      <c r="C826" s="153" t="s">
        <v>629</v>
      </c>
      <c r="D826" s="153" t="s">
        <v>228</v>
      </c>
      <c r="E826" s="154">
        <v>7.71</v>
      </c>
      <c r="F826" s="154">
        <f t="shared" si="194"/>
        <v>1.1599999999999999</v>
      </c>
      <c r="G826" s="154">
        <f t="shared" si="191"/>
        <v>8.8699999999999992</v>
      </c>
      <c r="H826" s="154">
        <f t="shared" si="192"/>
        <v>9.76</v>
      </c>
      <c r="I826" s="154">
        <f t="shared" si="193"/>
        <v>0</v>
      </c>
      <c r="J826" s="220">
        <v>46066</v>
      </c>
    </row>
    <row r="827" spans="1:10">
      <c r="A827" s="155"/>
      <c r="B827" s="153">
        <v>845</v>
      </c>
      <c r="C827" s="153" t="s">
        <v>630</v>
      </c>
      <c r="D827" s="153" t="s">
        <v>228</v>
      </c>
      <c r="E827" s="154">
        <v>8.33</v>
      </c>
      <c r="F827" s="154">
        <f t="shared" si="194"/>
        <v>1.25</v>
      </c>
      <c r="G827" s="154">
        <f t="shared" si="191"/>
        <v>9.58</v>
      </c>
      <c r="H827" s="154">
        <f t="shared" si="192"/>
        <v>10.54</v>
      </c>
      <c r="I827" s="154">
        <f t="shared" si="193"/>
        <v>0</v>
      </c>
      <c r="J827" s="220">
        <v>46066</v>
      </c>
    </row>
    <row r="828" spans="1:10">
      <c r="A828" s="155"/>
      <c r="B828" s="153">
        <v>846</v>
      </c>
      <c r="C828" s="153" t="s">
        <v>631</v>
      </c>
      <c r="D828" s="153" t="s">
        <v>228</v>
      </c>
      <c r="E828" s="154">
        <v>8.14</v>
      </c>
      <c r="F828" s="154">
        <f t="shared" si="194"/>
        <v>1.23</v>
      </c>
      <c r="G828" s="154">
        <f t="shared" si="191"/>
        <v>9.370000000000001</v>
      </c>
      <c r="H828" s="154">
        <f t="shared" si="192"/>
        <v>10.31</v>
      </c>
      <c r="I828" s="154">
        <f t="shared" si="193"/>
        <v>0</v>
      </c>
      <c r="J828" s="220">
        <v>46066</v>
      </c>
    </row>
    <row r="829" spans="1:10">
      <c r="A829" s="155"/>
      <c r="B829" s="153">
        <v>847</v>
      </c>
      <c r="C829" s="153" t="s">
        <v>632</v>
      </c>
      <c r="D829" s="153" t="s">
        <v>228</v>
      </c>
      <c r="E829" s="154">
        <v>9.51</v>
      </c>
      <c r="F829" s="154">
        <f t="shared" si="194"/>
        <v>1.43</v>
      </c>
      <c r="G829" s="154">
        <f t="shared" si="191"/>
        <v>10.94</v>
      </c>
      <c r="H829" s="154">
        <f t="shared" si="192"/>
        <v>12.04</v>
      </c>
      <c r="I829" s="154">
        <f t="shared" si="193"/>
        <v>0</v>
      </c>
      <c r="J829" s="220">
        <v>46066</v>
      </c>
    </row>
    <row r="830" spans="1:10">
      <c r="A830" s="155"/>
      <c r="B830" s="153">
        <v>848</v>
      </c>
      <c r="C830" s="153" t="s">
        <v>633</v>
      </c>
      <c r="D830" s="153" t="s">
        <v>228</v>
      </c>
      <c r="E830" s="154">
        <v>10.31</v>
      </c>
      <c r="F830" s="154">
        <f t="shared" si="194"/>
        <v>1.55</v>
      </c>
      <c r="G830" s="154">
        <f t="shared" si="191"/>
        <v>11.860000000000001</v>
      </c>
      <c r="H830" s="154">
        <f t="shared" si="192"/>
        <v>13.049999999999999</v>
      </c>
      <c r="I830" s="154">
        <f t="shared" si="193"/>
        <v>0</v>
      </c>
      <c r="J830" s="220">
        <v>46066</v>
      </c>
    </row>
    <row r="831" spans="1:10">
      <c r="A831" s="155"/>
      <c r="B831" s="153">
        <v>849</v>
      </c>
      <c r="C831" s="153" t="s">
        <v>634</v>
      </c>
      <c r="D831" s="153" t="s">
        <v>228</v>
      </c>
      <c r="E831" s="154">
        <v>11.89</v>
      </c>
      <c r="F831" s="154">
        <f t="shared" si="194"/>
        <v>1.79</v>
      </c>
      <c r="G831" s="154">
        <f t="shared" si="191"/>
        <v>13.68</v>
      </c>
      <c r="H831" s="154">
        <f t="shared" si="192"/>
        <v>15.049999999999999</v>
      </c>
      <c r="I831" s="154">
        <f t="shared" si="193"/>
        <v>0</v>
      </c>
      <c r="J831" s="220">
        <v>46066</v>
      </c>
    </row>
    <row r="832" spans="1:10">
      <c r="A832" s="155"/>
      <c r="B832" s="153">
        <v>850</v>
      </c>
      <c r="C832" s="153" t="s">
        <v>635</v>
      </c>
      <c r="D832" s="153" t="s">
        <v>228</v>
      </c>
      <c r="E832" s="154">
        <v>12.7</v>
      </c>
      <c r="F832" s="154">
        <f t="shared" si="194"/>
        <v>1.91</v>
      </c>
      <c r="G832" s="154">
        <f t="shared" si="191"/>
        <v>14.61</v>
      </c>
      <c r="H832" s="154">
        <f t="shared" si="192"/>
        <v>16.080000000000002</v>
      </c>
      <c r="I832" s="154">
        <f t="shared" si="193"/>
        <v>0</v>
      </c>
      <c r="J832" s="220">
        <v>46066</v>
      </c>
    </row>
    <row r="833" spans="1:10">
      <c r="A833" s="155"/>
      <c r="B833" s="153">
        <v>851</v>
      </c>
      <c r="C833" s="153" t="s">
        <v>636</v>
      </c>
      <c r="D833" s="153" t="s">
        <v>228</v>
      </c>
      <c r="E833" s="154">
        <v>13.87</v>
      </c>
      <c r="F833" s="154">
        <f t="shared" si="194"/>
        <v>2.09</v>
      </c>
      <c r="G833" s="154">
        <f t="shared" si="191"/>
        <v>15.959999999999999</v>
      </c>
      <c r="H833" s="154">
        <f t="shared" si="192"/>
        <v>17.560000000000002</v>
      </c>
      <c r="I833" s="154">
        <f t="shared" si="193"/>
        <v>0</v>
      </c>
      <c r="J833" s="220">
        <v>46066</v>
      </c>
    </row>
    <row r="834" spans="1:10">
      <c r="A834" s="155"/>
      <c r="B834" s="153">
        <v>852</v>
      </c>
      <c r="C834" s="153" t="s">
        <v>637</v>
      </c>
      <c r="D834" s="153" t="s">
        <v>228</v>
      </c>
      <c r="E834" s="154">
        <v>19.32</v>
      </c>
      <c r="F834" s="154">
        <f t="shared" si="194"/>
        <v>2.9</v>
      </c>
      <c r="G834" s="154">
        <f t="shared" si="191"/>
        <v>22.22</v>
      </c>
      <c r="H834" s="154">
        <f t="shared" si="192"/>
        <v>24.450000000000003</v>
      </c>
      <c r="I834" s="154">
        <f t="shared" si="193"/>
        <v>0</v>
      </c>
      <c r="J834" s="220">
        <v>46066</v>
      </c>
    </row>
    <row r="835" spans="1:10">
      <c r="A835" s="155"/>
      <c r="B835" s="153">
        <v>853</v>
      </c>
      <c r="C835" s="153" t="s">
        <v>638</v>
      </c>
      <c r="D835" s="153" t="s">
        <v>228</v>
      </c>
      <c r="E835" s="154">
        <v>34.56</v>
      </c>
      <c r="F835" s="154">
        <f t="shared" si="194"/>
        <v>5.1899999999999995</v>
      </c>
      <c r="G835" s="154">
        <f t="shared" si="191"/>
        <v>39.75</v>
      </c>
      <c r="H835" s="154">
        <f t="shared" si="192"/>
        <v>43.73</v>
      </c>
      <c r="I835" s="154">
        <f t="shared" si="193"/>
        <v>0</v>
      </c>
      <c r="J835" s="220">
        <v>46066</v>
      </c>
    </row>
    <row r="836" spans="1:10">
      <c r="A836" s="155"/>
      <c r="B836" s="153">
        <v>854</v>
      </c>
      <c r="C836" s="153" t="s">
        <v>639</v>
      </c>
      <c r="D836" s="153" t="s">
        <v>228</v>
      </c>
      <c r="E836" s="154"/>
      <c r="F836" s="154">
        <f t="shared" si="194"/>
        <v>0</v>
      </c>
      <c r="G836" s="154">
        <f t="shared" si="191"/>
        <v>0</v>
      </c>
      <c r="H836" s="154">
        <f t="shared" si="192"/>
        <v>0</v>
      </c>
      <c r="I836" s="154">
        <f t="shared" si="193"/>
        <v>0</v>
      </c>
      <c r="J836" s="220"/>
    </row>
    <row r="837" spans="1:10">
      <c r="A837" s="155"/>
      <c r="B837" s="153">
        <v>855</v>
      </c>
      <c r="C837" s="153" t="s">
        <v>640</v>
      </c>
      <c r="D837" s="153" t="s">
        <v>228</v>
      </c>
      <c r="E837" s="154">
        <v>5.4</v>
      </c>
      <c r="F837" s="154">
        <f t="shared" si="194"/>
        <v>0.81</v>
      </c>
      <c r="G837" s="154">
        <f t="shared" si="191"/>
        <v>6.2100000000000009</v>
      </c>
      <c r="H837" s="154">
        <f t="shared" si="192"/>
        <v>6.84</v>
      </c>
      <c r="I837" s="154">
        <f t="shared" si="193"/>
        <v>0</v>
      </c>
      <c r="J837" s="220"/>
    </row>
    <row r="838" spans="1:10">
      <c r="A838" s="155"/>
      <c r="B838" s="153">
        <v>856</v>
      </c>
      <c r="C838" s="153" t="s">
        <v>641</v>
      </c>
      <c r="D838" s="153" t="s">
        <v>228</v>
      </c>
      <c r="E838" s="154">
        <v>12.5</v>
      </c>
      <c r="F838" s="154">
        <f t="shared" si="194"/>
        <v>1.8800000000000001</v>
      </c>
      <c r="G838" s="154">
        <f t="shared" ref="G838:G901" si="195">E838+F838</f>
        <v>14.38</v>
      </c>
      <c r="H838" s="154">
        <f t="shared" ref="H838:H901" si="196">ROUNDUP(($E838+F838)*1.1,2)</f>
        <v>15.82</v>
      </c>
      <c r="I838" s="154">
        <f t="shared" ref="I838:I901" si="197">IF($C$2="Inventory Cost",A838*G838,A838*H838)</f>
        <v>0</v>
      </c>
      <c r="J838" s="220">
        <v>44949</v>
      </c>
    </row>
    <row r="839" spans="1:10">
      <c r="A839" s="155"/>
      <c r="B839" s="153">
        <v>857</v>
      </c>
      <c r="C839" s="153" t="s">
        <v>642</v>
      </c>
      <c r="D839" s="153" t="s">
        <v>225</v>
      </c>
      <c r="E839" s="154">
        <v>0.93</v>
      </c>
      <c r="F839" s="284">
        <f>ROUNDUP((E839+0.1)*0.15,2)</f>
        <v>0.16</v>
      </c>
      <c r="G839" s="154">
        <f t="shared" si="195"/>
        <v>1.0900000000000001</v>
      </c>
      <c r="H839" s="154">
        <f t="shared" si="196"/>
        <v>1.2</v>
      </c>
      <c r="I839" s="154">
        <f t="shared" si="197"/>
        <v>0</v>
      </c>
      <c r="J839" s="220">
        <v>44551</v>
      </c>
    </row>
    <row r="840" spans="1:10">
      <c r="A840" s="155"/>
      <c r="B840" s="153">
        <v>858</v>
      </c>
      <c r="C840" s="153" t="s">
        <v>643</v>
      </c>
      <c r="D840" s="153" t="s">
        <v>225</v>
      </c>
      <c r="E840" s="154">
        <v>1.78</v>
      </c>
      <c r="F840" s="284">
        <f>ROUNDUP((E840+0.1)*0.15,2)</f>
        <v>0.29000000000000004</v>
      </c>
      <c r="G840" s="154">
        <f t="shared" si="195"/>
        <v>2.0700000000000003</v>
      </c>
      <c r="H840" s="154">
        <f t="shared" si="196"/>
        <v>2.2799999999999998</v>
      </c>
      <c r="I840" s="154">
        <f t="shared" si="197"/>
        <v>0</v>
      </c>
      <c r="J840" s="220">
        <v>44551</v>
      </c>
    </row>
    <row r="841" spans="1:10">
      <c r="A841" s="155"/>
      <c r="B841" s="153">
        <v>859</v>
      </c>
      <c r="C841" s="153" t="s">
        <v>644</v>
      </c>
      <c r="D841" s="153" t="s">
        <v>225</v>
      </c>
      <c r="E841" s="154">
        <v>0.87</v>
      </c>
      <c r="F841" s="284">
        <f>ROUNDUP((E841+0.1)*0.15,2)</f>
        <v>0.15000000000000002</v>
      </c>
      <c r="G841" s="154">
        <f t="shared" si="195"/>
        <v>1.02</v>
      </c>
      <c r="H841" s="154">
        <f t="shared" si="196"/>
        <v>1.1300000000000001</v>
      </c>
      <c r="I841" s="154">
        <f t="shared" si="197"/>
        <v>0</v>
      </c>
      <c r="J841" s="220">
        <v>44551</v>
      </c>
    </row>
    <row r="842" spans="1:10">
      <c r="A842" s="155"/>
      <c r="B842" s="153">
        <v>860</v>
      </c>
      <c r="C842" s="153" t="s">
        <v>645</v>
      </c>
      <c r="D842" s="153" t="s">
        <v>228</v>
      </c>
      <c r="E842" s="154">
        <v>8.89</v>
      </c>
      <c r="F842" s="154">
        <f t="shared" ref="F842:F873" si="198">ROUNDUP(E842*0.15,2)</f>
        <v>1.34</v>
      </c>
      <c r="G842" s="154">
        <f t="shared" si="195"/>
        <v>10.23</v>
      </c>
      <c r="H842" s="154">
        <f t="shared" si="196"/>
        <v>11.26</v>
      </c>
      <c r="I842" s="154">
        <f t="shared" si="197"/>
        <v>0</v>
      </c>
      <c r="J842" s="220">
        <v>44949</v>
      </c>
    </row>
    <row r="843" spans="1:10">
      <c r="A843" s="155"/>
      <c r="B843" s="153">
        <v>861</v>
      </c>
      <c r="C843" s="153" t="s">
        <v>646</v>
      </c>
      <c r="D843" s="153" t="s">
        <v>228</v>
      </c>
      <c r="E843" s="154">
        <v>10</v>
      </c>
      <c r="F843" s="154">
        <f t="shared" si="198"/>
        <v>1.5</v>
      </c>
      <c r="G843" s="154">
        <f t="shared" si="195"/>
        <v>11.5</v>
      </c>
      <c r="H843" s="154">
        <f t="shared" si="196"/>
        <v>12.65</v>
      </c>
      <c r="I843" s="154">
        <f t="shared" si="197"/>
        <v>0</v>
      </c>
      <c r="J843" s="220">
        <v>44949</v>
      </c>
    </row>
    <row r="844" spans="1:10">
      <c r="A844" s="155"/>
      <c r="B844" s="153">
        <v>862</v>
      </c>
      <c r="C844" s="153" t="s">
        <v>205</v>
      </c>
      <c r="D844" s="153"/>
      <c r="E844" s="154"/>
      <c r="F844" s="154">
        <f t="shared" si="198"/>
        <v>0</v>
      </c>
      <c r="G844" s="154">
        <f t="shared" si="195"/>
        <v>0</v>
      </c>
      <c r="H844" s="154">
        <f t="shared" si="196"/>
        <v>0</v>
      </c>
      <c r="I844" s="154">
        <f t="shared" si="197"/>
        <v>0</v>
      </c>
      <c r="J844" s="220"/>
    </row>
    <row r="845" spans="1:10">
      <c r="A845" s="155"/>
      <c r="B845" s="153">
        <v>863</v>
      </c>
      <c r="C845" s="153" t="s">
        <v>205</v>
      </c>
      <c r="D845" s="153"/>
      <c r="E845" s="154"/>
      <c r="F845" s="154">
        <f t="shared" si="198"/>
        <v>0</v>
      </c>
      <c r="G845" s="154">
        <f t="shared" si="195"/>
        <v>0</v>
      </c>
      <c r="H845" s="154">
        <f t="shared" si="196"/>
        <v>0</v>
      </c>
      <c r="I845" s="154">
        <f t="shared" si="197"/>
        <v>0</v>
      </c>
      <c r="J845" s="220"/>
    </row>
    <row r="846" spans="1:10">
      <c r="A846" s="155"/>
      <c r="B846" s="153">
        <v>864</v>
      </c>
      <c r="C846" s="153" t="s">
        <v>205</v>
      </c>
      <c r="D846" s="153"/>
      <c r="E846" s="154"/>
      <c r="F846" s="154">
        <f t="shared" si="198"/>
        <v>0</v>
      </c>
      <c r="G846" s="154">
        <f t="shared" si="195"/>
        <v>0</v>
      </c>
      <c r="H846" s="154">
        <f t="shared" si="196"/>
        <v>0</v>
      </c>
      <c r="I846" s="154">
        <f t="shared" si="197"/>
        <v>0</v>
      </c>
      <c r="J846" s="220"/>
    </row>
    <row r="847" spans="1:10">
      <c r="A847" s="155"/>
      <c r="B847" s="153">
        <v>865</v>
      </c>
      <c r="C847" s="153" t="s">
        <v>647</v>
      </c>
      <c r="D847" s="153" t="s">
        <v>228</v>
      </c>
      <c r="E847" s="154">
        <v>0.19</v>
      </c>
      <c r="F847" s="154">
        <f t="shared" si="198"/>
        <v>0.03</v>
      </c>
      <c r="G847" s="154">
        <f t="shared" si="195"/>
        <v>0.22</v>
      </c>
      <c r="H847" s="154">
        <f t="shared" si="196"/>
        <v>0.25</v>
      </c>
      <c r="I847" s="154">
        <f t="shared" si="197"/>
        <v>0</v>
      </c>
      <c r="J847" s="220"/>
    </row>
    <row r="848" spans="1:10">
      <c r="A848" s="155"/>
      <c r="B848" s="153">
        <v>866</v>
      </c>
      <c r="C848" s="153" t="s">
        <v>648</v>
      </c>
      <c r="D848" s="153" t="s">
        <v>228</v>
      </c>
      <c r="E848" s="154">
        <v>12.83</v>
      </c>
      <c r="F848" s="154">
        <f t="shared" si="198"/>
        <v>1.93</v>
      </c>
      <c r="G848" s="154">
        <f t="shared" si="195"/>
        <v>14.76</v>
      </c>
      <c r="H848" s="154">
        <f t="shared" si="196"/>
        <v>16.240000000000002</v>
      </c>
      <c r="I848" s="154">
        <f t="shared" si="197"/>
        <v>0</v>
      </c>
      <c r="J848" s="220">
        <v>44476</v>
      </c>
    </row>
    <row r="849" spans="1:10">
      <c r="A849" s="155"/>
      <c r="B849" s="153">
        <v>867</v>
      </c>
      <c r="C849" s="153" t="s">
        <v>205</v>
      </c>
      <c r="D849" s="153"/>
      <c r="E849" s="154"/>
      <c r="F849" s="154">
        <f t="shared" si="198"/>
        <v>0</v>
      </c>
      <c r="G849" s="154">
        <f t="shared" si="195"/>
        <v>0</v>
      </c>
      <c r="H849" s="154">
        <f t="shared" si="196"/>
        <v>0</v>
      </c>
      <c r="I849" s="154">
        <f t="shared" si="197"/>
        <v>0</v>
      </c>
      <c r="J849" s="220"/>
    </row>
    <row r="850" spans="1:10">
      <c r="A850" s="155"/>
      <c r="B850" s="153">
        <v>868</v>
      </c>
      <c r="C850" s="153" t="s">
        <v>649</v>
      </c>
      <c r="D850" s="153" t="s">
        <v>228</v>
      </c>
      <c r="E850" s="154">
        <v>4.4000000000000004</v>
      </c>
      <c r="F850" s="154">
        <f t="shared" si="198"/>
        <v>0.66</v>
      </c>
      <c r="G850" s="154">
        <f t="shared" si="195"/>
        <v>5.0600000000000005</v>
      </c>
      <c r="H850" s="154">
        <f t="shared" si="196"/>
        <v>5.5699999999999994</v>
      </c>
      <c r="I850" s="154">
        <f t="shared" si="197"/>
        <v>0</v>
      </c>
      <c r="J850" s="220">
        <v>44949</v>
      </c>
    </row>
    <row r="851" spans="1:10">
      <c r="A851" s="155"/>
      <c r="B851" s="153">
        <v>869</v>
      </c>
      <c r="C851" s="153" t="s">
        <v>650</v>
      </c>
      <c r="D851" s="153" t="s">
        <v>228</v>
      </c>
      <c r="E851" s="154">
        <v>5.13</v>
      </c>
      <c r="F851" s="154">
        <f t="shared" si="198"/>
        <v>0.77</v>
      </c>
      <c r="G851" s="154">
        <f t="shared" si="195"/>
        <v>5.9</v>
      </c>
      <c r="H851" s="154">
        <f t="shared" si="196"/>
        <v>6.49</v>
      </c>
      <c r="I851" s="154">
        <f t="shared" si="197"/>
        <v>0</v>
      </c>
      <c r="J851" s="220">
        <v>44949</v>
      </c>
    </row>
    <row r="852" spans="1:10">
      <c r="A852" s="155"/>
      <c r="B852" s="153">
        <v>870</v>
      </c>
      <c r="C852" s="153" t="s">
        <v>205</v>
      </c>
      <c r="D852" s="153"/>
      <c r="E852" s="154"/>
      <c r="F852" s="154">
        <f t="shared" si="198"/>
        <v>0</v>
      </c>
      <c r="G852" s="154">
        <f t="shared" si="195"/>
        <v>0</v>
      </c>
      <c r="H852" s="154">
        <f t="shared" si="196"/>
        <v>0</v>
      </c>
      <c r="I852" s="154">
        <f t="shared" si="197"/>
        <v>0</v>
      </c>
      <c r="J852" s="220"/>
    </row>
    <row r="853" spans="1:10">
      <c r="A853" s="155"/>
      <c r="B853" s="153">
        <v>871</v>
      </c>
      <c r="C853" s="153" t="s">
        <v>651</v>
      </c>
      <c r="D853" s="153" t="s">
        <v>460</v>
      </c>
      <c r="E853" s="154">
        <v>38.06</v>
      </c>
      <c r="F853" s="154">
        <f t="shared" si="198"/>
        <v>5.71</v>
      </c>
      <c r="G853" s="154">
        <f t="shared" si="195"/>
        <v>43.77</v>
      </c>
      <c r="H853" s="154">
        <f t="shared" si="196"/>
        <v>48.15</v>
      </c>
      <c r="I853" s="154">
        <f t="shared" si="197"/>
        <v>0</v>
      </c>
      <c r="J853" s="220"/>
    </row>
    <row r="854" spans="1:10">
      <c r="A854" s="155"/>
      <c r="B854" s="153">
        <v>872</v>
      </c>
      <c r="C854" s="153" t="s">
        <v>652</v>
      </c>
      <c r="D854" s="153" t="s">
        <v>228</v>
      </c>
      <c r="E854" s="154">
        <v>3.93</v>
      </c>
      <c r="F854" s="154">
        <f t="shared" si="198"/>
        <v>0.59</v>
      </c>
      <c r="G854" s="154">
        <f t="shared" si="195"/>
        <v>4.5200000000000005</v>
      </c>
      <c r="H854" s="154">
        <f t="shared" si="196"/>
        <v>4.9799999999999995</v>
      </c>
      <c r="I854" s="154">
        <f t="shared" si="197"/>
        <v>0</v>
      </c>
      <c r="J854" s="220">
        <v>44949</v>
      </c>
    </row>
    <row r="855" spans="1:10">
      <c r="A855" s="155"/>
      <c r="B855" s="153">
        <v>873</v>
      </c>
      <c r="C855" s="153" t="s">
        <v>205</v>
      </c>
      <c r="D855" s="153"/>
      <c r="E855" s="154"/>
      <c r="F855" s="154">
        <f t="shared" si="198"/>
        <v>0</v>
      </c>
      <c r="G855" s="154">
        <f t="shared" si="195"/>
        <v>0</v>
      </c>
      <c r="H855" s="154">
        <f t="shared" si="196"/>
        <v>0</v>
      </c>
      <c r="I855" s="154">
        <f t="shared" si="197"/>
        <v>0</v>
      </c>
      <c r="J855" s="220"/>
    </row>
    <row r="856" spans="1:10">
      <c r="A856" s="155"/>
      <c r="B856" s="153">
        <v>874</v>
      </c>
      <c r="C856" s="153" t="s">
        <v>205</v>
      </c>
      <c r="D856" s="153"/>
      <c r="E856" s="154"/>
      <c r="F856" s="154">
        <f t="shared" si="198"/>
        <v>0</v>
      </c>
      <c r="G856" s="154">
        <f t="shared" si="195"/>
        <v>0</v>
      </c>
      <c r="H856" s="154">
        <f t="shared" si="196"/>
        <v>0</v>
      </c>
      <c r="I856" s="154">
        <f t="shared" si="197"/>
        <v>0</v>
      </c>
      <c r="J856" s="220"/>
    </row>
    <row r="857" spans="1:10">
      <c r="A857" s="155"/>
      <c r="B857" s="153">
        <v>875</v>
      </c>
      <c r="C857" s="153" t="s">
        <v>205</v>
      </c>
      <c r="D857" s="153"/>
      <c r="E857" s="154"/>
      <c r="F857" s="154">
        <f t="shared" si="198"/>
        <v>0</v>
      </c>
      <c r="G857" s="154">
        <f t="shared" si="195"/>
        <v>0</v>
      </c>
      <c r="H857" s="154">
        <f t="shared" si="196"/>
        <v>0</v>
      </c>
      <c r="I857" s="154">
        <f t="shared" si="197"/>
        <v>0</v>
      </c>
      <c r="J857" s="220"/>
    </row>
    <row r="858" spans="1:10">
      <c r="A858" s="155"/>
      <c r="B858" s="153">
        <v>876</v>
      </c>
      <c r="C858" s="153" t="s">
        <v>205</v>
      </c>
      <c r="D858" s="153"/>
      <c r="E858" s="154"/>
      <c r="F858" s="154">
        <f t="shared" si="198"/>
        <v>0</v>
      </c>
      <c r="G858" s="154">
        <f t="shared" si="195"/>
        <v>0</v>
      </c>
      <c r="H858" s="154">
        <f t="shared" si="196"/>
        <v>0</v>
      </c>
      <c r="I858" s="154">
        <f t="shared" si="197"/>
        <v>0</v>
      </c>
      <c r="J858" s="220"/>
    </row>
    <row r="859" spans="1:10">
      <c r="A859" s="155"/>
      <c r="B859" s="153">
        <v>877</v>
      </c>
      <c r="C859" s="153" t="s">
        <v>205</v>
      </c>
      <c r="D859" s="153"/>
      <c r="E859" s="154"/>
      <c r="F859" s="154">
        <f t="shared" si="198"/>
        <v>0</v>
      </c>
      <c r="G859" s="154">
        <f t="shared" si="195"/>
        <v>0</v>
      </c>
      <c r="H859" s="154">
        <f t="shared" si="196"/>
        <v>0</v>
      </c>
      <c r="I859" s="154">
        <f t="shared" si="197"/>
        <v>0</v>
      </c>
      <c r="J859" s="220"/>
    </row>
    <row r="860" spans="1:10">
      <c r="A860" s="155"/>
      <c r="B860" s="153">
        <v>878</v>
      </c>
      <c r="C860" s="153" t="s">
        <v>653</v>
      </c>
      <c r="D860" s="153" t="s">
        <v>228</v>
      </c>
      <c r="E860" s="154">
        <v>1.1000000000000001</v>
      </c>
      <c r="F860" s="154">
        <f t="shared" si="198"/>
        <v>0.17</v>
      </c>
      <c r="G860" s="154">
        <f t="shared" si="195"/>
        <v>1.27</v>
      </c>
      <c r="H860" s="154">
        <f t="shared" si="196"/>
        <v>1.4</v>
      </c>
      <c r="I860" s="154">
        <f t="shared" si="197"/>
        <v>0</v>
      </c>
      <c r="J860" s="220">
        <v>44949</v>
      </c>
    </row>
    <row r="861" spans="1:10">
      <c r="A861" s="155"/>
      <c r="B861" s="153">
        <v>879</v>
      </c>
      <c r="C861" s="153" t="s">
        <v>654</v>
      </c>
      <c r="D861" s="153" t="s">
        <v>228</v>
      </c>
      <c r="E861" s="154">
        <v>1.06</v>
      </c>
      <c r="F861" s="154">
        <f t="shared" si="198"/>
        <v>0.16</v>
      </c>
      <c r="G861" s="154">
        <f t="shared" si="195"/>
        <v>1.22</v>
      </c>
      <c r="H861" s="154">
        <f t="shared" si="196"/>
        <v>1.35</v>
      </c>
      <c r="I861" s="154">
        <f t="shared" si="197"/>
        <v>0</v>
      </c>
      <c r="J861" s="220">
        <v>44949</v>
      </c>
    </row>
    <row r="862" spans="1:10">
      <c r="A862" s="155"/>
      <c r="B862" s="153">
        <v>880</v>
      </c>
      <c r="C862" s="153" t="s">
        <v>655</v>
      </c>
      <c r="D862" s="153" t="s">
        <v>228</v>
      </c>
      <c r="E862" s="154">
        <v>1.04</v>
      </c>
      <c r="F862" s="154">
        <f t="shared" si="198"/>
        <v>0.16</v>
      </c>
      <c r="G862" s="154">
        <f t="shared" si="195"/>
        <v>1.2</v>
      </c>
      <c r="H862" s="154">
        <f t="shared" si="196"/>
        <v>1.32</v>
      </c>
      <c r="I862" s="154">
        <f t="shared" si="197"/>
        <v>0</v>
      </c>
      <c r="J862" s="220">
        <v>44949</v>
      </c>
    </row>
    <row r="863" spans="1:10">
      <c r="A863" s="155"/>
      <c r="B863" s="153">
        <v>881</v>
      </c>
      <c r="C863" s="153" t="s">
        <v>205</v>
      </c>
      <c r="D863" s="153"/>
      <c r="E863" s="154"/>
      <c r="F863" s="154">
        <f t="shared" si="198"/>
        <v>0</v>
      </c>
      <c r="G863" s="154">
        <f t="shared" si="195"/>
        <v>0</v>
      </c>
      <c r="H863" s="154">
        <f t="shared" si="196"/>
        <v>0</v>
      </c>
      <c r="I863" s="154">
        <f t="shared" si="197"/>
        <v>0</v>
      </c>
      <c r="J863" s="220"/>
    </row>
    <row r="864" spans="1:10">
      <c r="A864" s="155"/>
      <c r="B864" s="153">
        <v>882</v>
      </c>
      <c r="C864" s="153" t="s">
        <v>205</v>
      </c>
      <c r="D864" s="153"/>
      <c r="E864" s="154"/>
      <c r="F864" s="154">
        <f t="shared" si="198"/>
        <v>0</v>
      </c>
      <c r="G864" s="154">
        <f t="shared" si="195"/>
        <v>0</v>
      </c>
      <c r="H864" s="154">
        <f t="shared" si="196"/>
        <v>0</v>
      </c>
      <c r="I864" s="154">
        <f t="shared" si="197"/>
        <v>0</v>
      </c>
      <c r="J864" s="220"/>
    </row>
    <row r="865" spans="1:10">
      <c r="A865" s="155"/>
      <c r="B865" s="153">
        <v>883</v>
      </c>
      <c r="C865" s="153" t="s">
        <v>205</v>
      </c>
      <c r="D865" s="153"/>
      <c r="E865" s="154"/>
      <c r="F865" s="154">
        <f t="shared" si="198"/>
        <v>0</v>
      </c>
      <c r="G865" s="154">
        <f t="shared" si="195"/>
        <v>0</v>
      </c>
      <c r="H865" s="154">
        <f t="shared" si="196"/>
        <v>0</v>
      </c>
      <c r="I865" s="154">
        <f t="shared" si="197"/>
        <v>0</v>
      </c>
      <c r="J865" s="220"/>
    </row>
    <row r="866" spans="1:10">
      <c r="A866" s="155"/>
      <c r="B866" s="153">
        <v>884</v>
      </c>
      <c r="C866" s="153" t="s">
        <v>205</v>
      </c>
      <c r="D866" s="153"/>
      <c r="E866" s="154"/>
      <c r="F866" s="154">
        <f t="shared" si="198"/>
        <v>0</v>
      </c>
      <c r="G866" s="154">
        <f t="shared" si="195"/>
        <v>0</v>
      </c>
      <c r="H866" s="154">
        <f t="shared" si="196"/>
        <v>0</v>
      </c>
      <c r="I866" s="154">
        <f t="shared" si="197"/>
        <v>0</v>
      </c>
      <c r="J866" s="220"/>
    </row>
    <row r="867" spans="1:10">
      <c r="A867" s="155"/>
      <c r="B867" s="153">
        <v>885</v>
      </c>
      <c r="C867" s="153" t="s">
        <v>205</v>
      </c>
      <c r="D867" s="153"/>
      <c r="E867" s="154"/>
      <c r="F867" s="154">
        <f t="shared" si="198"/>
        <v>0</v>
      </c>
      <c r="G867" s="154">
        <f t="shared" si="195"/>
        <v>0</v>
      </c>
      <c r="H867" s="154">
        <f t="shared" si="196"/>
        <v>0</v>
      </c>
      <c r="I867" s="154">
        <f t="shared" si="197"/>
        <v>0</v>
      </c>
      <c r="J867" s="220"/>
    </row>
    <row r="868" spans="1:10">
      <c r="A868" s="155"/>
      <c r="B868" s="153">
        <v>886</v>
      </c>
      <c r="C868" s="153" t="s">
        <v>648</v>
      </c>
      <c r="D868" s="153" t="s">
        <v>228</v>
      </c>
      <c r="E868" s="154">
        <v>13.8</v>
      </c>
      <c r="F868" s="154">
        <f t="shared" si="198"/>
        <v>2.0699999999999998</v>
      </c>
      <c r="G868" s="154">
        <f t="shared" si="195"/>
        <v>15.870000000000001</v>
      </c>
      <c r="H868" s="154">
        <f t="shared" si="196"/>
        <v>17.46</v>
      </c>
      <c r="I868" s="154">
        <f t="shared" si="197"/>
        <v>0</v>
      </c>
      <c r="J868" s="220"/>
    </row>
    <row r="869" spans="1:10">
      <c r="A869" s="155"/>
      <c r="B869" s="153">
        <v>887</v>
      </c>
      <c r="C869" s="153" t="s">
        <v>656</v>
      </c>
      <c r="D869" s="153" t="s">
        <v>228</v>
      </c>
      <c r="E869" s="154">
        <v>0.3</v>
      </c>
      <c r="F869" s="154">
        <f t="shared" si="198"/>
        <v>0.05</v>
      </c>
      <c r="G869" s="154">
        <f t="shared" si="195"/>
        <v>0.35</v>
      </c>
      <c r="H869" s="154">
        <f t="shared" si="196"/>
        <v>0.39</v>
      </c>
      <c r="I869" s="154">
        <f t="shared" si="197"/>
        <v>0</v>
      </c>
      <c r="J869" s="220"/>
    </row>
    <row r="870" spans="1:10">
      <c r="A870" s="155"/>
      <c r="B870" s="153">
        <v>888</v>
      </c>
      <c r="C870" s="153" t="s">
        <v>205</v>
      </c>
      <c r="D870" s="153"/>
      <c r="E870" s="154"/>
      <c r="F870" s="154">
        <f t="shared" si="198"/>
        <v>0</v>
      </c>
      <c r="G870" s="154">
        <f t="shared" si="195"/>
        <v>0</v>
      </c>
      <c r="H870" s="154">
        <f t="shared" si="196"/>
        <v>0</v>
      </c>
      <c r="I870" s="154">
        <f t="shared" si="197"/>
        <v>0</v>
      </c>
      <c r="J870" s="220"/>
    </row>
    <row r="871" spans="1:10">
      <c r="A871" s="155"/>
      <c r="B871" s="153">
        <v>889</v>
      </c>
      <c r="C871" s="153" t="s">
        <v>205</v>
      </c>
      <c r="D871" s="153"/>
      <c r="E871" s="154"/>
      <c r="F871" s="154">
        <f t="shared" si="198"/>
        <v>0</v>
      </c>
      <c r="G871" s="154">
        <f t="shared" si="195"/>
        <v>0</v>
      </c>
      <c r="H871" s="154">
        <f t="shared" si="196"/>
        <v>0</v>
      </c>
      <c r="I871" s="154">
        <f t="shared" si="197"/>
        <v>0</v>
      </c>
      <c r="J871" s="220"/>
    </row>
    <row r="872" spans="1:10">
      <c r="A872" s="155"/>
      <c r="B872" s="153">
        <v>890</v>
      </c>
      <c r="C872" s="153" t="s">
        <v>205</v>
      </c>
      <c r="D872" s="153"/>
      <c r="E872" s="154"/>
      <c r="F872" s="154">
        <f t="shared" si="198"/>
        <v>0</v>
      </c>
      <c r="G872" s="154">
        <f t="shared" si="195"/>
        <v>0</v>
      </c>
      <c r="H872" s="154">
        <f t="shared" si="196"/>
        <v>0</v>
      </c>
      <c r="I872" s="154">
        <f t="shared" si="197"/>
        <v>0</v>
      </c>
      <c r="J872" s="220"/>
    </row>
    <row r="873" spans="1:10">
      <c r="A873" s="155"/>
      <c r="B873" s="153">
        <v>891</v>
      </c>
      <c r="C873" s="153" t="s">
        <v>205</v>
      </c>
      <c r="D873" s="153"/>
      <c r="E873" s="154"/>
      <c r="F873" s="154">
        <f t="shared" si="198"/>
        <v>0</v>
      </c>
      <c r="G873" s="154">
        <f t="shared" si="195"/>
        <v>0</v>
      </c>
      <c r="H873" s="154">
        <f t="shared" si="196"/>
        <v>0</v>
      </c>
      <c r="I873" s="154">
        <f t="shared" si="197"/>
        <v>0</v>
      </c>
      <c r="J873" s="220"/>
    </row>
    <row r="874" spans="1:10">
      <c r="A874" s="155"/>
      <c r="B874" s="153">
        <v>892</v>
      </c>
      <c r="C874" s="153" t="s">
        <v>205</v>
      </c>
      <c r="D874" s="153"/>
      <c r="E874" s="154"/>
      <c r="F874" s="154">
        <f t="shared" ref="F874:F905" si="199">ROUNDUP(E874*0.15,2)</f>
        <v>0</v>
      </c>
      <c r="G874" s="154">
        <f t="shared" si="195"/>
        <v>0</v>
      </c>
      <c r="H874" s="154">
        <f t="shared" si="196"/>
        <v>0</v>
      </c>
      <c r="I874" s="154">
        <f t="shared" si="197"/>
        <v>0</v>
      </c>
      <c r="J874" s="220"/>
    </row>
    <row r="875" spans="1:10">
      <c r="A875" s="155"/>
      <c r="B875" s="153">
        <v>893</v>
      </c>
      <c r="C875" s="153" t="s">
        <v>205</v>
      </c>
      <c r="D875" s="153"/>
      <c r="E875" s="154"/>
      <c r="F875" s="154">
        <f t="shared" si="199"/>
        <v>0</v>
      </c>
      <c r="G875" s="154">
        <f t="shared" si="195"/>
        <v>0</v>
      </c>
      <c r="H875" s="154">
        <f t="shared" si="196"/>
        <v>0</v>
      </c>
      <c r="I875" s="154">
        <f t="shared" si="197"/>
        <v>0</v>
      </c>
      <c r="J875" s="220"/>
    </row>
    <row r="876" spans="1:10">
      <c r="A876" s="155"/>
      <c r="B876" s="153">
        <v>894</v>
      </c>
      <c r="C876" s="153" t="s">
        <v>205</v>
      </c>
      <c r="D876" s="153"/>
      <c r="E876" s="154"/>
      <c r="F876" s="154">
        <f t="shared" si="199"/>
        <v>0</v>
      </c>
      <c r="G876" s="154">
        <f t="shared" si="195"/>
        <v>0</v>
      </c>
      <c r="H876" s="154">
        <f t="shared" si="196"/>
        <v>0</v>
      </c>
      <c r="I876" s="154">
        <f t="shared" si="197"/>
        <v>0</v>
      </c>
      <c r="J876" s="220"/>
    </row>
    <row r="877" spans="1:10">
      <c r="A877" s="155"/>
      <c r="B877" s="153">
        <v>895</v>
      </c>
      <c r="C877" s="153" t="s">
        <v>205</v>
      </c>
      <c r="D877" s="153"/>
      <c r="E877" s="154"/>
      <c r="F877" s="154">
        <f t="shared" si="199"/>
        <v>0</v>
      </c>
      <c r="G877" s="154">
        <f t="shared" si="195"/>
        <v>0</v>
      </c>
      <c r="H877" s="154">
        <f t="shared" si="196"/>
        <v>0</v>
      </c>
      <c r="I877" s="154">
        <f t="shared" si="197"/>
        <v>0</v>
      </c>
      <c r="J877" s="220"/>
    </row>
    <row r="878" spans="1:10">
      <c r="A878" s="155"/>
      <c r="B878" s="153">
        <v>896</v>
      </c>
      <c r="C878" s="153" t="s">
        <v>205</v>
      </c>
      <c r="D878" s="153"/>
      <c r="E878" s="154"/>
      <c r="F878" s="154">
        <f t="shared" si="199"/>
        <v>0</v>
      </c>
      <c r="G878" s="154">
        <f t="shared" si="195"/>
        <v>0</v>
      </c>
      <c r="H878" s="154">
        <f t="shared" si="196"/>
        <v>0</v>
      </c>
      <c r="I878" s="154">
        <f t="shared" si="197"/>
        <v>0</v>
      </c>
      <c r="J878" s="220"/>
    </row>
    <row r="879" spans="1:10">
      <c r="A879" s="155"/>
      <c r="B879" s="153">
        <v>897</v>
      </c>
      <c r="C879" s="153" t="s">
        <v>205</v>
      </c>
      <c r="D879" s="153"/>
      <c r="E879" s="154"/>
      <c r="F879" s="154">
        <f t="shared" si="199"/>
        <v>0</v>
      </c>
      <c r="G879" s="154">
        <f t="shared" si="195"/>
        <v>0</v>
      </c>
      <c r="H879" s="154">
        <f t="shared" si="196"/>
        <v>0</v>
      </c>
      <c r="I879" s="154">
        <f t="shared" si="197"/>
        <v>0</v>
      </c>
      <c r="J879" s="220"/>
    </row>
    <row r="880" spans="1:10">
      <c r="A880" s="155"/>
      <c r="B880" s="153">
        <v>898</v>
      </c>
      <c r="C880" s="153" t="s">
        <v>657</v>
      </c>
      <c r="D880" s="153" t="s">
        <v>228</v>
      </c>
      <c r="E880" s="154">
        <v>7.91</v>
      </c>
      <c r="F880" s="154">
        <f t="shared" si="199"/>
        <v>1.19</v>
      </c>
      <c r="G880" s="154">
        <f t="shared" si="195"/>
        <v>9.1</v>
      </c>
      <c r="H880" s="154">
        <f t="shared" si="196"/>
        <v>10.01</v>
      </c>
      <c r="I880" s="154">
        <f t="shared" si="197"/>
        <v>0</v>
      </c>
      <c r="J880" s="220">
        <v>44949</v>
      </c>
    </row>
    <row r="881" spans="1:10">
      <c r="A881" s="155"/>
      <c r="B881" s="153">
        <v>899</v>
      </c>
      <c r="C881" s="153" t="s">
        <v>658</v>
      </c>
      <c r="D881" s="153" t="s">
        <v>228</v>
      </c>
      <c r="E881" s="154">
        <v>0.94</v>
      </c>
      <c r="F881" s="154">
        <f t="shared" si="199"/>
        <v>0.15000000000000002</v>
      </c>
      <c r="G881" s="154">
        <f t="shared" si="195"/>
        <v>1.0899999999999999</v>
      </c>
      <c r="H881" s="154">
        <f t="shared" si="196"/>
        <v>1.2</v>
      </c>
      <c r="I881" s="154">
        <f t="shared" si="197"/>
        <v>0</v>
      </c>
      <c r="J881" s="220">
        <v>44949</v>
      </c>
    </row>
    <row r="882" spans="1:10">
      <c r="A882" s="155"/>
      <c r="B882" s="153">
        <v>900</v>
      </c>
      <c r="C882" s="153" t="s">
        <v>205</v>
      </c>
      <c r="D882" s="153"/>
      <c r="E882" s="154"/>
      <c r="F882" s="154">
        <f t="shared" si="199"/>
        <v>0</v>
      </c>
      <c r="G882" s="154">
        <f t="shared" si="195"/>
        <v>0</v>
      </c>
      <c r="H882" s="154">
        <f t="shared" si="196"/>
        <v>0</v>
      </c>
      <c r="I882" s="154">
        <f t="shared" si="197"/>
        <v>0</v>
      </c>
      <c r="J882" s="220"/>
    </row>
    <row r="883" spans="1:10">
      <c r="A883" s="155"/>
      <c r="B883" s="153">
        <v>901</v>
      </c>
      <c r="C883" s="153" t="s">
        <v>205</v>
      </c>
      <c r="D883" s="153"/>
      <c r="E883" s="154"/>
      <c r="F883" s="154">
        <f t="shared" si="199"/>
        <v>0</v>
      </c>
      <c r="G883" s="154">
        <f t="shared" si="195"/>
        <v>0</v>
      </c>
      <c r="H883" s="154">
        <f t="shared" si="196"/>
        <v>0</v>
      </c>
      <c r="I883" s="154">
        <f t="shared" si="197"/>
        <v>0</v>
      </c>
      <c r="J883" s="220"/>
    </row>
    <row r="884" spans="1:10">
      <c r="A884" s="155"/>
      <c r="B884" s="153">
        <v>902</v>
      </c>
      <c r="C884" s="153" t="s">
        <v>205</v>
      </c>
      <c r="D884" s="153"/>
      <c r="E884" s="154"/>
      <c r="F884" s="154">
        <f t="shared" si="199"/>
        <v>0</v>
      </c>
      <c r="G884" s="154">
        <f t="shared" si="195"/>
        <v>0</v>
      </c>
      <c r="H884" s="154">
        <f t="shared" si="196"/>
        <v>0</v>
      </c>
      <c r="I884" s="154">
        <f t="shared" si="197"/>
        <v>0</v>
      </c>
      <c r="J884" s="220"/>
    </row>
    <row r="885" spans="1:10">
      <c r="A885" s="155"/>
      <c r="B885" s="153">
        <v>903</v>
      </c>
      <c r="C885" s="153" t="s">
        <v>659</v>
      </c>
      <c r="D885" s="153" t="s">
        <v>228</v>
      </c>
      <c r="E885" s="154">
        <v>0.51</v>
      </c>
      <c r="F885" s="154">
        <f t="shared" si="199"/>
        <v>0.08</v>
      </c>
      <c r="G885" s="154">
        <f t="shared" si="195"/>
        <v>0.59</v>
      </c>
      <c r="H885" s="154">
        <f t="shared" si="196"/>
        <v>0.65</v>
      </c>
      <c r="I885" s="154">
        <f t="shared" si="197"/>
        <v>0</v>
      </c>
      <c r="J885" s="220">
        <v>44949</v>
      </c>
    </row>
    <row r="886" spans="1:10">
      <c r="A886" s="155"/>
      <c r="B886" s="153">
        <v>904</v>
      </c>
      <c r="C886" s="153" t="s">
        <v>660</v>
      </c>
      <c r="D886" s="153" t="s">
        <v>228</v>
      </c>
      <c r="E886" s="154">
        <v>0.46</v>
      </c>
      <c r="F886" s="154">
        <f t="shared" si="199"/>
        <v>6.9999999999999993E-2</v>
      </c>
      <c r="G886" s="154">
        <f t="shared" si="195"/>
        <v>0.53</v>
      </c>
      <c r="H886" s="154">
        <f t="shared" si="196"/>
        <v>0.59</v>
      </c>
      <c r="I886" s="154">
        <f t="shared" si="197"/>
        <v>0</v>
      </c>
      <c r="J886" s="220">
        <v>44949</v>
      </c>
    </row>
    <row r="887" spans="1:10">
      <c r="A887" s="155"/>
      <c r="B887" s="153">
        <v>905</v>
      </c>
      <c r="C887" s="153" t="s">
        <v>205</v>
      </c>
      <c r="D887" s="153"/>
      <c r="E887" s="154"/>
      <c r="F887" s="154">
        <f t="shared" si="199"/>
        <v>0</v>
      </c>
      <c r="G887" s="154">
        <f t="shared" si="195"/>
        <v>0</v>
      </c>
      <c r="H887" s="154">
        <f t="shared" si="196"/>
        <v>0</v>
      </c>
      <c r="I887" s="154">
        <f t="shared" si="197"/>
        <v>0</v>
      </c>
      <c r="J887" s="220"/>
    </row>
    <row r="888" spans="1:10">
      <c r="A888" s="155"/>
      <c r="B888" s="153">
        <v>906</v>
      </c>
      <c r="C888" s="153" t="s">
        <v>205</v>
      </c>
      <c r="D888" s="153"/>
      <c r="E888" s="154"/>
      <c r="F888" s="154">
        <f t="shared" si="199"/>
        <v>0</v>
      </c>
      <c r="G888" s="154">
        <f t="shared" si="195"/>
        <v>0</v>
      </c>
      <c r="H888" s="154">
        <f t="shared" si="196"/>
        <v>0</v>
      </c>
      <c r="I888" s="154">
        <f t="shared" si="197"/>
        <v>0</v>
      </c>
      <c r="J888" s="220"/>
    </row>
    <row r="889" spans="1:10">
      <c r="A889" s="155"/>
      <c r="B889" s="153">
        <v>907</v>
      </c>
      <c r="C889" s="153" t="s">
        <v>205</v>
      </c>
      <c r="D889" s="153"/>
      <c r="E889" s="154"/>
      <c r="F889" s="154">
        <f t="shared" si="199"/>
        <v>0</v>
      </c>
      <c r="G889" s="154">
        <f t="shared" si="195"/>
        <v>0</v>
      </c>
      <c r="H889" s="154">
        <f t="shared" si="196"/>
        <v>0</v>
      </c>
      <c r="I889" s="154">
        <f t="shared" si="197"/>
        <v>0</v>
      </c>
      <c r="J889" s="220"/>
    </row>
    <row r="890" spans="1:10">
      <c r="A890" s="155"/>
      <c r="B890" s="153">
        <v>908</v>
      </c>
      <c r="C890" s="153" t="s">
        <v>205</v>
      </c>
      <c r="D890" s="153"/>
      <c r="E890" s="154"/>
      <c r="F890" s="154">
        <f t="shared" si="199"/>
        <v>0</v>
      </c>
      <c r="G890" s="154">
        <f t="shared" si="195"/>
        <v>0</v>
      </c>
      <c r="H890" s="154">
        <f t="shared" si="196"/>
        <v>0</v>
      </c>
      <c r="I890" s="154">
        <f t="shared" si="197"/>
        <v>0</v>
      </c>
      <c r="J890" s="220"/>
    </row>
    <row r="891" spans="1:10">
      <c r="A891" s="155"/>
      <c r="B891" s="153">
        <v>909</v>
      </c>
      <c r="C891" s="153" t="s">
        <v>205</v>
      </c>
      <c r="D891" s="153"/>
      <c r="E891" s="154"/>
      <c r="F891" s="154">
        <f t="shared" si="199"/>
        <v>0</v>
      </c>
      <c r="G891" s="154">
        <f t="shared" si="195"/>
        <v>0</v>
      </c>
      <c r="H891" s="154">
        <f t="shared" si="196"/>
        <v>0</v>
      </c>
      <c r="I891" s="154">
        <f t="shared" si="197"/>
        <v>0</v>
      </c>
      <c r="J891" s="220"/>
    </row>
    <row r="892" spans="1:10">
      <c r="A892" s="155"/>
      <c r="B892" s="153">
        <v>910</v>
      </c>
      <c r="C892" s="153" t="s">
        <v>205</v>
      </c>
      <c r="D892" s="153"/>
      <c r="E892" s="154"/>
      <c r="F892" s="154">
        <f t="shared" si="199"/>
        <v>0</v>
      </c>
      <c r="G892" s="154">
        <f t="shared" si="195"/>
        <v>0</v>
      </c>
      <c r="H892" s="154">
        <f t="shared" si="196"/>
        <v>0</v>
      </c>
      <c r="I892" s="154">
        <f t="shared" si="197"/>
        <v>0</v>
      </c>
      <c r="J892" s="220"/>
    </row>
    <row r="893" spans="1:10">
      <c r="A893" s="155"/>
      <c r="B893" s="153">
        <v>911</v>
      </c>
      <c r="C893" s="153" t="s">
        <v>661</v>
      </c>
      <c r="D893" s="153" t="s">
        <v>228</v>
      </c>
      <c r="E893" s="154">
        <v>0.47</v>
      </c>
      <c r="F893" s="154">
        <f t="shared" si="199"/>
        <v>0.08</v>
      </c>
      <c r="G893" s="154">
        <f t="shared" si="195"/>
        <v>0.54999999999999993</v>
      </c>
      <c r="H893" s="154">
        <f t="shared" si="196"/>
        <v>0.61</v>
      </c>
      <c r="I893" s="154">
        <f t="shared" si="197"/>
        <v>0</v>
      </c>
      <c r="J893" s="220"/>
    </row>
    <row r="894" spans="1:10">
      <c r="A894" s="155"/>
      <c r="B894" s="153">
        <v>912</v>
      </c>
      <c r="C894" s="153" t="s">
        <v>662</v>
      </c>
      <c r="D894" s="153" t="s">
        <v>228</v>
      </c>
      <c r="E894" s="154">
        <v>24.33</v>
      </c>
      <c r="F894" s="154">
        <f t="shared" si="199"/>
        <v>3.65</v>
      </c>
      <c r="G894" s="154">
        <f t="shared" si="195"/>
        <v>27.979999999999997</v>
      </c>
      <c r="H894" s="154">
        <f t="shared" si="196"/>
        <v>30.78</v>
      </c>
      <c r="I894" s="154">
        <f t="shared" si="197"/>
        <v>0</v>
      </c>
      <c r="J894" s="220">
        <v>44949</v>
      </c>
    </row>
    <row r="895" spans="1:10">
      <c r="A895" s="155"/>
      <c r="B895" s="153">
        <v>913</v>
      </c>
      <c r="C895" s="153" t="s">
        <v>663</v>
      </c>
      <c r="D895" s="153" t="s">
        <v>460</v>
      </c>
      <c r="E895" s="154">
        <v>7.97</v>
      </c>
      <c r="F895" s="154">
        <f t="shared" si="199"/>
        <v>1.2</v>
      </c>
      <c r="G895" s="154">
        <f t="shared" si="195"/>
        <v>9.17</v>
      </c>
      <c r="H895" s="154">
        <f t="shared" si="196"/>
        <v>10.09</v>
      </c>
      <c r="I895" s="154">
        <f t="shared" si="197"/>
        <v>0</v>
      </c>
      <c r="J895" s="220">
        <v>44949</v>
      </c>
    </row>
    <row r="896" spans="1:10">
      <c r="A896" s="155"/>
      <c r="B896" s="153">
        <v>914</v>
      </c>
      <c r="C896" s="153" t="s">
        <v>664</v>
      </c>
      <c r="D896" s="153" t="s">
        <v>312</v>
      </c>
      <c r="E896" s="154">
        <v>27.3</v>
      </c>
      <c r="F896" s="154">
        <f t="shared" si="199"/>
        <v>4.0999999999999996</v>
      </c>
      <c r="G896" s="154">
        <f t="shared" si="195"/>
        <v>31.4</v>
      </c>
      <c r="H896" s="154">
        <f t="shared" si="196"/>
        <v>34.54</v>
      </c>
      <c r="I896" s="154">
        <f t="shared" si="197"/>
        <v>0</v>
      </c>
      <c r="J896" s="220">
        <v>44949</v>
      </c>
    </row>
    <row r="897" spans="1:10">
      <c r="A897" s="155"/>
      <c r="B897" s="153">
        <v>915</v>
      </c>
      <c r="C897" s="153" t="s">
        <v>665</v>
      </c>
      <c r="D897" s="153" t="s">
        <v>312</v>
      </c>
      <c r="E897" s="154">
        <v>25.61</v>
      </c>
      <c r="F897" s="154">
        <f t="shared" si="199"/>
        <v>3.8499999999999996</v>
      </c>
      <c r="G897" s="154">
        <f t="shared" si="195"/>
        <v>29.46</v>
      </c>
      <c r="H897" s="154">
        <f t="shared" si="196"/>
        <v>32.409999999999997</v>
      </c>
      <c r="I897" s="154">
        <f t="shared" si="197"/>
        <v>0</v>
      </c>
      <c r="J897" s="220"/>
    </row>
    <row r="898" spans="1:10">
      <c r="A898" s="155"/>
      <c r="B898" s="153">
        <v>916</v>
      </c>
      <c r="C898" s="153" t="s">
        <v>666</v>
      </c>
      <c r="D898" s="153" t="s">
        <v>228</v>
      </c>
      <c r="E898" s="154">
        <v>26.76</v>
      </c>
      <c r="F898" s="154">
        <f t="shared" si="199"/>
        <v>4.0199999999999996</v>
      </c>
      <c r="G898" s="154">
        <f t="shared" si="195"/>
        <v>30.78</v>
      </c>
      <c r="H898" s="154">
        <f t="shared" si="196"/>
        <v>33.86</v>
      </c>
      <c r="I898" s="154">
        <f t="shared" si="197"/>
        <v>0</v>
      </c>
      <c r="J898" s="220"/>
    </row>
    <row r="899" spans="1:10">
      <c r="A899" s="155"/>
      <c r="B899" s="153">
        <v>917</v>
      </c>
      <c r="C899" s="153" t="s">
        <v>667</v>
      </c>
      <c r="D899" s="153" t="s">
        <v>312</v>
      </c>
      <c r="E899" s="154">
        <v>11.36</v>
      </c>
      <c r="F899" s="154">
        <f t="shared" si="199"/>
        <v>1.71</v>
      </c>
      <c r="G899" s="154">
        <f t="shared" si="195"/>
        <v>13.07</v>
      </c>
      <c r="H899" s="154">
        <f t="shared" si="196"/>
        <v>14.379999999999999</v>
      </c>
      <c r="I899" s="154">
        <f t="shared" si="197"/>
        <v>0</v>
      </c>
      <c r="J899" s="220"/>
    </row>
    <row r="900" spans="1:10">
      <c r="A900" s="155"/>
      <c r="B900" s="153">
        <v>918</v>
      </c>
      <c r="C900" s="153" t="s">
        <v>794</v>
      </c>
      <c r="D900" s="153" t="s">
        <v>312</v>
      </c>
      <c r="E900" s="154">
        <v>4.17</v>
      </c>
      <c r="F900" s="154">
        <f t="shared" si="199"/>
        <v>0.63</v>
      </c>
      <c r="G900" s="154">
        <f t="shared" si="195"/>
        <v>4.8</v>
      </c>
      <c r="H900" s="154">
        <f t="shared" si="196"/>
        <v>5.28</v>
      </c>
      <c r="I900" s="154">
        <f t="shared" si="197"/>
        <v>0</v>
      </c>
      <c r="J900" s="220"/>
    </row>
    <row r="901" spans="1:10">
      <c r="A901" s="155"/>
      <c r="B901" s="153">
        <v>919</v>
      </c>
      <c r="C901" s="153" t="s">
        <v>795</v>
      </c>
      <c r="D901" s="153" t="s">
        <v>312</v>
      </c>
      <c r="E901" s="154">
        <v>8.4600000000000009</v>
      </c>
      <c r="F901" s="154">
        <f t="shared" si="199"/>
        <v>1.27</v>
      </c>
      <c r="G901" s="154">
        <f t="shared" si="195"/>
        <v>9.73</v>
      </c>
      <c r="H901" s="154">
        <f t="shared" si="196"/>
        <v>10.709999999999999</v>
      </c>
      <c r="I901" s="154">
        <f t="shared" si="197"/>
        <v>0</v>
      </c>
      <c r="J901" s="220"/>
    </row>
    <row r="902" spans="1:10">
      <c r="A902" s="155"/>
      <c r="B902" s="153">
        <v>920</v>
      </c>
      <c r="C902" s="153" t="s">
        <v>668</v>
      </c>
      <c r="D902" s="153" t="s">
        <v>196</v>
      </c>
      <c r="E902" s="154">
        <v>1.82</v>
      </c>
      <c r="F902" s="154">
        <f t="shared" si="199"/>
        <v>0.28000000000000003</v>
      </c>
      <c r="G902" s="154">
        <f t="shared" ref="G902:G965" si="200">E902+F902</f>
        <v>2.1</v>
      </c>
      <c r="H902" s="154">
        <f t="shared" ref="H902:H967" si="201">ROUNDUP(($E902+F902)*1.1,2)</f>
        <v>2.31</v>
      </c>
      <c r="I902" s="154">
        <f t="shared" ref="I902:I965" si="202">IF($C$2="Inventory Cost",A902*G902,A902*H902)</f>
        <v>0</v>
      </c>
      <c r="J902" s="220">
        <v>44949</v>
      </c>
    </row>
    <row r="903" spans="1:10">
      <c r="A903" s="155"/>
      <c r="B903" s="153">
        <v>921</v>
      </c>
      <c r="C903" s="153" t="s">
        <v>669</v>
      </c>
      <c r="D903" s="153" t="s">
        <v>228</v>
      </c>
      <c r="E903" s="154">
        <v>5.42</v>
      </c>
      <c r="F903" s="154">
        <f t="shared" si="199"/>
        <v>0.82000000000000006</v>
      </c>
      <c r="G903" s="154">
        <f t="shared" si="200"/>
        <v>6.24</v>
      </c>
      <c r="H903" s="154">
        <f t="shared" si="201"/>
        <v>6.87</v>
      </c>
      <c r="I903" s="154">
        <f t="shared" si="202"/>
        <v>0</v>
      </c>
      <c r="J903" s="220">
        <v>44949</v>
      </c>
    </row>
    <row r="904" spans="1:10">
      <c r="A904" s="155"/>
      <c r="B904" s="153">
        <v>922</v>
      </c>
      <c r="C904" s="153" t="s">
        <v>670</v>
      </c>
      <c r="D904" s="153" t="s">
        <v>228</v>
      </c>
      <c r="E904" s="154">
        <v>8.99</v>
      </c>
      <c r="F904" s="154">
        <f t="shared" si="199"/>
        <v>1.35</v>
      </c>
      <c r="G904" s="154">
        <f t="shared" si="200"/>
        <v>10.34</v>
      </c>
      <c r="H904" s="154">
        <f t="shared" si="201"/>
        <v>11.379999999999999</v>
      </c>
      <c r="I904" s="154">
        <f t="shared" si="202"/>
        <v>0</v>
      </c>
      <c r="J904" s="220">
        <v>44949</v>
      </c>
    </row>
    <row r="905" spans="1:10">
      <c r="A905" s="155"/>
      <c r="B905" s="153">
        <v>923</v>
      </c>
      <c r="C905" s="153" t="s">
        <v>796</v>
      </c>
      <c r="D905" s="153" t="s">
        <v>312</v>
      </c>
      <c r="E905" s="154">
        <v>56.47</v>
      </c>
      <c r="F905" s="154">
        <f t="shared" si="199"/>
        <v>8.48</v>
      </c>
      <c r="G905" s="154">
        <f t="shared" si="200"/>
        <v>64.95</v>
      </c>
      <c r="H905" s="154">
        <f t="shared" si="201"/>
        <v>71.45</v>
      </c>
      <c r="I905" s="154">
        <f t="shared" si="202"/>
        <v>0</v>
      </c>
      <c r="J905" s="220"/>
    </row>
    <row r="906" spans="1:10">
      <c r="A906" s="155"/>
      <c r="B906" s="153">
        <v>924</v>
      </c>
      <c r="C906" s="153" t="s">
        <v>671</v>
      </c>
      <c r="D906" s="153" t="s">
        <v>228</v>
      </c>
      <c r="E906" s="154">
        <v>25</v>
      </c>
      <c r="F906" s="154">
        <f t="shared" ref="F906:F937" si="203">ROUNDUP(E906*0.15,2)</f>
        <v>3.75</v>
      </c>
      <c r="G906" s="154">
        <f t="shared" si="200"/>
        <v>28.75</v>
      </c>
      <c r="H906" s="154">
        <f t="shared" si="201"/>
        <v>31.630000000000003</v>
      </c>
      <c r="I906" s="154">
        <f t="shared" si="202"/>
        <v>0</v>
      </c>
      <c r="J906" s="220"/>
    </row>
    <row r="907" spans="1:10">
      <c r="A907" s="155"/>
      <c r="B907" s="153">
        <v>925</v>
      </c>
      <c r="C907" s="153" t="s">
        <v>672</v>
      </c>
      <c r="D907" s="153" t="s">
        <v>228</v>
      </c>
      <c r="E907" s="154">
        <v>25</v>
      </c>
      <c r="F907" s="154">
        <f t="shared" si="203"/>
        <v>3.75</v>
      </c>
      <c r="G907" s="154">
        <f t="shared" si="200"/>
        <v>28.75</v>
      </c>
      <c r="H907" s="154">
        <f t="shared" si="201"/>
        <v>31.630000000000003</v>
      </c>
      <c r="I907" s="154">
        <f t="shared" si="202"/>
        <v>0</v>
      </c>
      <c r="J907" s="220"/>
    </row>
    <row r="908" spans="1:10">
      <c r="A908" s="155"/>
      <c r="B908" s="153">
        <v>926</v>
      </c>
      <c r="C908" s="153" t="s">
        <v>673</v>
      </c>
      <c r="D908" s="153" t="s">
        <v>228</v>
      </c>
      <c r="E908" s="154">
        <v>1.22</v>
      </c>
      <c r="F908" s="154">
        <f t="shared" si="203"/>
        <v>0.19</v>
      </c>
      <c r="G908" s="154">
        <f t="shared" si="200"/>
        <v>1.41</v>
      </c>
      <c r="H908" s="154">
        <f t="shared" si="201"/>
        <v>1.56</v>
      </c>
      <c r="I908" s="154">
        <f t="shared" si="202"/>
        <v>0</v>
      </c>
      <c r="J908" s="220"/>
    </row>
    <row r="909" spans="1:10">
      <c r="A909" s="155"/>
      <c r="B909" s="153">
        <v>927</v>
      </c>
      <c r="C909" s="153" t="s">
        <v>674</v>
      </c>
      <c r="D909" s="153" t="s">
        <v>246</v>
      </c>
      <c r="E909" s="154">
        <v>3.29</v>
      </c>
      <c r="F909" s="154">
        <f t="shared" si="203"/>
        <v>0.5</v>
      </c>
      <c r="G909" s="154">
        <f t="shared" si="200"/>
        <v>3.79</v>
      </c>
      <c r="H909" s="154">
        <f t="shared" si="201"/>
        <v>4.17</v>
      </c>
      <c r="I909" s="154">
        <f t="shared" si="202"/>
        <v>0</v>
      </c>
      <c r="J909" s="220">
        <v>45147</v>
      </c>
    </row>
    <row r="910" spans="1:10">
      <c r="A910" s="155"/>
      <c r="B910" s="153">
        <v>928</v>
      </c>
      <c r="C910" s="153" t="s">
        <v>675</v>
      </c>
      <c r="D910" s="153" t="s">
        <v>246</v>
      </c>
      <c r="E910" s="154">
        <v>15.55</v>
      </c>
      <c r="F910" s="154">
        <f t="shared" si="203"/>
        <v>2.34</v>
      </c>
      <c r="G910" s="154">
        <f t="shared" si="200"/>
        <v>17.89</v>
      </c>
      <c r="H910" s="154">
        <f t="shared" si="201"/>
        <v>19.680000000000003</v>
      </c>
      <c r="I910" s="154">
        <f t="shared" si="202"/>
        <v>0</v>
      </c>
      <c r="J910" s="220">
        <v>44949</v>
      </c>
    </row>
    <row r="911" spans="1:10">
      <c r="A911" s="155"/>
      <c r="B911" s="153">
        <v>929</v>
      </c>
      <c r="C911" s="153" t="s">
        <v>676</v>
      </c>
      <c r="D911" s="153" t="s">
        <v>228</v>
      </c>
      <c r="E911" s="154">
        <v>0.92</v>
      </c>
      <c r="F911" s="154">
        <f t="shared" si="203"/>
        <v>0.14000000000000001</v>
      </c>
      <c r="G911" s="154">
        <f t="shared" si="200"/>
        <v>1.06</v>
      </c>
      <c r="H911" s="154">
        <f t="shared" si="201"/>
        <v>1.17</v>
      </c>
      <c r="I911" s="154">
        <f t="shared" si="202"/>
        <v>0</v>
      </c>
      <c r="J911" s="220">
        <v>44476</v>
      </c>
    </row>
    <row r="912" spans="1:10">
      <c r="A912" s="155"/>
      <c r="B912" s="153">
        <v>930</v>
      </c>
      <c r="C912" s="153" t="s">
        <v>677</v>
      </c>
      <c r="D912" s="153" t="s">
        <v>228</v>
      </c>
      <c r="E912" s="154">
        <v>1.49</v>
      </c>
      <c r="F912" s="154">
        <f t="shared" si="203"/>
        <v>0.23</v>
      </c>
      <c r="G912" s="154">
        <f t="shared" si="200"/>
        <v>1.72</v>
      </c>
      <c r="H912" s="154">
        <f t="shared" si="201"/>
        <v>1.9</v>
      </c>
      <c r="I912" s="154">
        <f t="shared" si="202"/>
        <v>0</v>
      </c>
      <c r="J912" s="220">
        <v>44476</v>
      </c>
    </row>
    <row r="913" spans="1:10">
      <c r="A913" s="155"/>
      <c r="B913" s="153">
        <v>931</v>
      </c>
      <c r="C913" s="153" t="s">
        <v>678</v>
      </c>
      <c r="D913" s="153" t="s">
        <v>246</v>
      </c>
      <c r="E913" s="154">
        <v>0.96</v>
      </c>
      <c r="F913" s="154">
        <f t="shared" si="203"/>
        <v>0.15000000000000002</v>
      </c>
      <c r="G913" s="154">
        <f t="shared" si="200"/>
        <v>1.1099999999999999</v>
      </c>
      <c r="H913" s="154">
        <f t="shared" si="201"/>
        <v>1.23</v>
      </c>
      <c r="I913" s="154">
        <f t="shared" si="202"/>
        <v>0</v>
      </c>
      <c r="J913" s="220"/>
    </row>
    <row r="914" spans="1:10">
      <c r="A914" s="155"/>
      <c r="B914" s="153">
        <v>932</v>
      </c>
      <c r="C914" s="153" t="s">
        <v>679</v>
      </c>
      <c r="D914" s="153" t="s">
        <v>228</v>
      </c>
      <c r="E914" s="154">
        <v>12.41</v>
      </c>
      <c r="F914" s="154">
        <f t="shared" si="203"/>
        <v>1.87</v>
      </c>
      <c r="G914" s="154">
        <f t="shared" si="200"/>
        <v>14.280000000000001</v>
      </c>
      <c r="H914" s="154">
        <f t="shared" si="201"/>
        <v>15.709999999999999</v>
      </c>
      <c r="I914" s="154">
        <f t="shared" si="202"/>
        <v>0</v>
      </c>
      <c r="J914" s="220"/>
    </row>
    <row r="915" spans="1:10">
      <c r="A915" s="155"/>
      <c r="B915" s="153">
        <v>933</v>
      </c>
      <c r="C915" s="153" t="s">
        <v>205</v>
      </c>
      <c r="D915" s="153"/>
      <c r="E915" s="154"/>
      <c r="F915" s="154">
        <f t="shared" si="203"/>
        <v>0</v>
      </c>
      <c r="G915" s="154">
        <f t="shared" si="200"/>
        <v>0</v>
      </c>
      <c r="H915" s="154">
        <f t="shared" si="201"/>
        <v>0</v>
      </c>
      <c r="I915" s="154">
        <f t="shared" si="202"/>
        <v>0</v>
      </c>
      <c r="J915" s="220"/>
    </row>
    <row r="916" spans="1:10">
      <c r="A916" s="155"/>
      <c r="B916" s="153">
        <v>934</v>
      </c>
      <c r="C916" s="153" t="s">
        <v>680</v>
      </c>
      <c r="D916" s="153" t="s">
        <v>228</v>
      </c>
      <c r="E916" s="154">
        <v>24.52</v>
      </c>
      <c r="F916" s="154">
        <f t="shared" si="203"/>
        <v>3.6799999999999997</v>
      </c>
      <c r="G916" s="154">
        <f t="shared" si="200"/>
        <v>28.2</v>
      </c>
      <c r="H916" s="154">
        <f t="shared" si="201"/>
        <v>31.02</v>
      </c>
      <c r="I916" s="154">
        <f t="shared" si="202"/>
        <v>0</v>
      </c>
      <c r="J916" s="220">
        <v>44476</v>
      </c>
    </row>
    <row r="917" spans="1:10">
      <c r="A917" s="155"/>
      <c r="B917" s="153">
        <v>935</v>
      </c>
      <c r="C917" s="153" t="s">
        <v>840</v>
      </c>
      <c r="D917" s="153" t="s">
        <v>228</v>
      </c>
      <c r="E917" s="154">
        <v>20</v>
      </c>
      <c r="F917" s="154">
        <f t="shared" si="203"/>
        <v>3</v>
      </c>
      <c r="G917" s="154">
        <f t="shared" si="200"/>
        <v>23</v>
      </c>
      <c r="H917" s="154">
        <f t="shared" si="201"/>
        <v>25.3</v>
      </c>
      <c r="I917" s="154">
        <f t="shared" si="202"/>
        <v>0</v>
      </c>
      <c r="J917" s="220"/>
    </row>
    <row r="918" spans="1:10">
      <c r="A918" s="155"/>
      <c r="B918" s="153">
        <v>936</v>
      </c>
      <c r="C918" s="153" t="s">
        <v>841</v>
      </c>
      <c r="D918" s="153" t="s">
        <v>228</v>
      </c>
      <c r="E918" s="154">
        <v>9.2899999999999991</v>
      </c>
      <c r="F918" s="154">
        <f t="shared" si="203"/>
        <v>1.4</v>
      </c>
      <c r="G918" s="154">
        <f t="shared" si="200"/>
        <v>10.69</v>
      </c>
      <c r="H918" s="154">
        <f t="shared" si="201"/>
        <v>11.76</v>
      </c>
      <c r="I918" s="154">
        <f t="shared" si="202"/>
        <v>0</v>
      </c>
      <c r="J918" s="220"/>
    </row>
    <row r="919" spans="1:10">
      <c r="A919" s="155"/>
      <c r="B919" s="153">
        <v>937</v>
      </c>
      <c r="C919" s="153" t="s">
        <v>842</v>
      </c>
      <c r="D919" s="153" t="s">
        <v>228</v>
      </c>
      <c r="E919" s="154">
        <v>15</v>
      </c>
      <c r="F919" s="154">
        <f t="shared" si="203"/>
        <v>2.25</v>
      </c>
      <c r="G919" s="154">
        <f t="shared" si="200"/>
        <v>17.25</v>
      </c>
      <c r="H919" s="154">
        <f t="shared" si="201"/>
        <v>18.98</v>
      </c>
      <c r="I919" s="154">
        <f t="shared" si="202"/>
        <v>0</v>
      </c>
      <c r="J919" s="220">
        <v>44698</v>
      </c>
    </row>
    <row r="920" spans="1:10">
      <c r="A920" s="155"/>
      <c r="B920" s="153">
        <v>938</v>
      </c>
      <c r="C920" s="153" t="s">
        <v>843</v>
      </c>
      <c r="D920" s="153" t="s">
        <v>228</v>
      </c>
      <c r="E920" s="154">
        <v>10.54</v>
      </c>
      <c r="F920" s="154">
        <f t="shared" si="203"/>
        <v>1.59</v>
      </c>
      <c r="G920" s="154">
        <f t="shared" si="200"/>
        <v>12.129999999999999</v>
      </c>
      <c r="H920" s="154">
        <f t="shared" si="201"/>
        <v>13.35</v>
      </c>
      <c r="I920" s="154">
        <f t="shared" si="202"/>
        <v>0</v>
      </c>
      <c r="J920" s="220"/>
    </row>
    <row r="921" spans="1:10">
      <c r="A921" s="155"/>
      <c r="B921" s="153">
        <v>939</v>
      </c>
      <c r="C921" s="153" t="s">
        <v>844</v>
      </c>
      <c r="D921" s="153" t="s">
        <v>228</v>
      </c>
      <c r="E921" s="154">
        <v>22.15</v>
      </c>
      <c r="F921" s="154">
        <f t="shared" si="203"/>
        <v>3.3299999999999996</v>
      </c>
      <c r="G921" s="154">
        <f t="shared" si="200"/>
        <v>25.479999999999997</v>
      </c>
      <c r="H921" s="154">
        <f t="shared" si="201"/>
        <v>28.03</v>
      </c>
      <c r="I921" s="154">
        <f t="shared" si="202"/>
        <v>0</v>
      </c>
      <c r="J921" s="220"/>
    </row>
    <row r="922" spans="1:10">
      <c r="A922" s="155"/>
      <c r="B922" s="153">
        <v>940</v>
      </c>
      <c r="C922" s="153" t="s">
        <v>845</v>
      </c>
      <c r="D922" s="153" t="s">
        <v>228</v>
      </c>
      <c r="E922" s="154">
        <v>34.299999999999997</v>
      </c>
      <c r="F922" s="154">
        <f t="shared" si="203"/>
        <v>5.1499999999999995</v>
      </c>
      <c r="G922" s="154">
        <f t="shared" si="200"/>
        <v>39.449999999999996</v>
      </c>
      <c r="H922" s="154">
        <f t="shared" si="201"/>
        <v>43.4</v>
      </c>
      <c r="I922" s="154">
        <f t="shared" si="202"/>
        <v>0</v>
      </c>
      <c r="J922" s="220"/>
    </row>
    <row r="923" spans="1:10">
      <c r="A923" s="155"/>
      <c r="B923" s="153">
        <v>941</v>
      </c>
      <c r="C923" s="153" t="s">
        <v>846</v>
      </c>
      <c r="D923" s="153" t="s">
        <v>228</v>
      </c>
      <c r="E923" s="154">
        <v>1.27</v>
      </c>
      <c r="F923" s="154">
        <f t="shared" si="203"/>
        <v>0.2</v>
      </c>
      <c r="G923" s="154">
        <f t="shared" si="200"/>
        <v>1.47</v>
      </c>
      <c r="H923" s="154">
        <f t="shared" si="201"/>
        <v>1.62</v>
      </c>
      <c r="I923" s="154">
        <f t="shared" si="202"/>
        <v>0</v>
      </c>
      <c r="J923" s="220"/>
    </row>
    <row r="924" spans="1:10">
      <c r="A924" s="155"/>
      <c r="B924" s="153">
        <v>942</v>
      </c>
      <c r="C924" s="153" t="s">
        <v>847</v>
      </c>
      <c r="D924" s="153" t="s">
        <v>228</v>
      </c>
      <c r="E924" s="154">
        <v>1.66</v>
      </c>
      <c r="F924" s="154">
        <f t="shared" si="203"/>
        <v>0.25</v>
      </c>
      <c r="G924" s="154">
        <f t="shared" si="200"/>
        <v>1.91</v>
      </c>
      <c r="H924" s="154">
        <f t="shared" si="201"/>
        <v>2.11</v>
      </c>
      <c r="I924" s="154">
        <f t="shared" si="202"/>
        <v>0</v>
      </c>
      <c r="J924" s="220">
        <v>44949</v>
      </c>
    </row>
    <row r="925" spans="1:10">
      <c r="A925" s="155"/>
      <c r="B925" s="153">
        <v>943</v>
      </c>
      <c r="C925" s="153" t="s">
        <v>848</v>
      </c>
      <c r="D925" s="153" t="s">
        <v>228</v>
      </c>
      <c r="E925" s="154">
        <v>3.11</v>
      </c>
      <c r="F925" s="154">
        <f t="shared" si="203"/>
        <v>0.47000000000000003</v>
      </c>
      <c r="G925" s="154">
        <f t="shared" si="200"/>
        <v>3.58</v>
      </c>
      <c r="H925" s="154">
        <f t="shared" si="201"/>
        <v>3.94</v>
      </c>
      <c r="I925" s="154">
        <f t="shared" si="202"/>
        <v>0</v>
      </c>
      <c r="J925" s="220"/>
    </row>
    <row r="926" spans="1:10">
      <c r="A926" s="155"/>
      <c r="B926" s="153">
        <v>944</v>
      </c>
      <c r="C926" s="153" t="s">
        <v>849</v>
      </c>
      <c r="D926" s="153" t="s">
        <v>228</v>
      </c>
      <c r="E926" s="154">
        <v>4.0999999999999996</v>
      </c>
      <c r="F926" s="154">
        <f t="shared" si="203"/>
        <v>0.62</v>
      </c>
      <c r="G926" s="154">
        <f t="shared" si="200"/>
        <v>4.72</v>
      </c>
      <c r="H926" s="154">
        <f t="shared" si="201"/>
        <v>5.2</v>
      </c>
      <c r="I926" s="154">
        <f t="shared" si="202"/>
        <v>0</v>
      </c>
      <c r="J926" s="220">
        <v>44949</v>
      </c>
    </row>
    <row r="927" spans="1:10">
      <c r="A927" s="155"/>
      <c r="B927" s="153">
        <v>945</v>
      </c>
      <c r="C927" s="153" t="s">
        <v>850</v>
      </c>
      <c r="D927" s="153" t="s">
        <v>228</v>
      </c>
      <c r="E927" s="154">
        <v>5.83</v>
      </c>
      <c r="F927" s="154">
        <f t="shared" si="203"/>
        <v>0.88</v>
      </c>
      <c r="G927" s="154">
        <f t="shared" si="200"/>
        <v>6.71</v>
      </c>
      <c r="H927" s="154">
        <f t="shared" si="201"/>
        <v>7.39</v>
      </c>
      <c r="I927" s="154">
        <f t="shared" si="202"/>
        <v>0</v>
      </c>
      <c r="J927" s="220"/>
    </row>
    <row r="928" spans="1:10">
      <c r="A928" s="155"/>
      <c r="B928" s="153">
        <v>946</v>
      </c>
      <c r="C928" s="153" t="s">
        <v>851</v>
      </c>
      <c r="D928" s="153" t="s">
        <v>228</v>
      </c>
      <c r="E928" s="154">
        <v>6.58</v>
      </c>
      <c r="F928" s="154">
        <f t="shared" si="203"/>
        <v>0.99</v>
      </c>
      <c r="G928" s="154">
        <f t="shared" si="200"/>
        <v>7.57</v>
      </c>
      <c r="H928" s="154">
        <f t="shared" si="201"/>
        <v>8.33</v>
      </c>
      <c r="I928" s="154">
        <f t="shared" si="202"/>
        <v>0</v>
      </c>
      <c r="J928" s="220"/>
    </row>
    <row r="929" spans="1:10">
      <c r="A929" s="155"/>
      <c r="B929" s="153">
        <v>947</v>
      </c>
      <c r="C929" s="153" t="s">
        <v>1130</v>
      </c>
      <c r="D929" s="153" t="s">
        <v>228</v>
      </c>
      <c r="E929" s="154">
        <v>9.31</v>
      </c>
      <c r="F929" s="154">
        <f t="shared" si="203"/>
        <v>1.4</v>
      </c>
      <c r="G929" s="154">
        <f t="shared" si="200"/>
        <v>10.71</v>
      </c>
      <c r="H929" s="154">
        <f t="shared" si="201"/>
        <v>11.79</v>
      </c>
      <c r="I929" s="154">
        <f t="shared" si="202"/>
        <v>0</v>
      </c>
      <c r="J929" s="220">
        <v>44698</v>
      </c>
    </row>
    <row r="930" spans="1:10">
      <c r="A930" s="155"/>
      <c r="B930" s="153">
        <v>948</v>
      </c>
      <c r="C930" s="153" t="s">
        <v>1131</v>
      </c>
      <c r="D930" s="153" t="s">
        <v>228</v>
      </c>
      <c r="E930" s="154">
        <v>57.970869565217392</v>
      </c>
      <c r="F930" s="154">
        <f t="shared" si="203"/>
        <v>8.6999999999999993</v>
      </c>
      <c r="G930" s="154">
        <f t="shared" si="200"/>
        <v>66.670869565217387</v>
      </c>
      <c r="H930" s="154">
        <f t="shared" si="201"/>
        <v>73.34</v>
      </c>
      <c r="I930" s="154">
        <f t="shared" si="202"/>
        <v>0</v>
      </c>
      <c r="J930" s="220">
        <v>44698</v>
      </c>
    </row>
    <row r="931" spans="1:10">
      <c r="A931" s="155"/>
      <c r="B931" s="153">
        <v>949</v>
      </c>
      <c r="C931" s="153" t="s">
        <v>205</v>
      </c>
      <c r="D931" s="153"/>
      <c r="E931" s="154"/>
      <c r="F931" s="154">
        <f t="shared" si="203"/>
        <v>0</v>
      </c>
      <c r="G931" s="154">
        <f t="shared" si="200"/>
        <v>0</v>
      </c>
      <c r="H931" s="154">
        <f t="shared" si="201"/>
        <v>0</v>
      </c>
      <c r="I931" s="154">
        <f t="shared" si="202"/>
        <v>0</v>
      </c>
      <c r="J931" s="220"/>
    </row>
    <row r="932" spans="1:10">
      <c r="A932" s="155"/>
      <c r="B932" s="153">
        <v>950</v>
      </c>
      <c r="C932" s="153" t="s">
        <v>681</v>
      </c>
      <c r="D932" s="153" t="s">
        <v>228</v>
      </c>
      <c r="E932" s="154">
        <v>0.57499999999999996</v>
      </c>
      <c r="F932" s="154">
        <f t="shared" si="203"/>
        <v>0.09</v>
      </c>
      <c r="G932" s="154">
        <f t="shared" si="200"/>
        <v>0.66499999999999992</v>
      </c>
      <c r="H932" s="154">
        <f t="shared" si="201"/>
        <v>0.74</v>
      </c>
      <c r="I932" s="154">
        <f t="shared" si="202"/>
        <v>0</v>
      </c>
      <c r="J932" s="220"/>
    </row>
    <row r="933" spans="1:10">
      <c r="A933" s="155"/>
      <c r="B933" s="153">
        <v>951</v>
      </c>
      <c r="C933" s="153" t="s">
        <v>856</v>
      </c>
      <c r="D933" s="153" t="s">
        <v>228</v>
      </c>
      <c r="E933" s="154">
        <v>36.97</v>
      </c>
      <c r="F933" s="154">
        <f t="shared" si="203"/>
        <v>5.55</v>
      </c>
      <c r="G933" s="154">
        <f t="shared" si="200"/>
        <v>42.519999999999996</v>
      </c>
      <c r="H933" s="154">
        <f t="shared" si="201"/>
        <v>46.78</v>
      </c>
      <c r="I933" s="154">
        <f t="shared" si="202"/>
        <v>0</v>
      </c>
      <c r="J933" s="220">
        <v>45505</v>
      </c>
    </row>
    <row r="934" spans="1:10">
      <c r="A934" s="155"/>
      <c r="B934" s="153">
        <v>952</v>
      </c>
      <c r="C934" s="153" t="s">
        <v>857</v>
      </c>
      <c r="D934" s="153" t="s">
        <v>228</v>
      </c>
      <c r="E934" s="154">
        <v>40.81</v>
      </c>
      <c r="F934" s="154">
        <f t="shared" si="203"/>
        <v>6.13</v>
      </c>
      <c r="G934" s="154">
        <f t="shared" si="200"/>
        <v>46.940000000000005</v>
      </c>
      <c r="H934" s="154">
        <f t="shared" si="201"/>
        <v>51.64</v>
      </c>
      <c r="I934" s="154">
        <f t="shared" si="202"/>
        <v>0</v>
      </c>
      <c r="J934" s="220">
        <v>45505</v>
      </c>
    </row>
    <row r="935" spans="1:10">
      <c r="A935" s="155"/>
      <c r="B935" s="153">
        <v>953</v>
      </c>
      <c r="C935" s="153" t="s">
        <v>858</v>
      </c>
      <c r="D935" s="153" t="s">
        <v>228</v>
      </c>
      <c r="E935" s="154">
        <v>50.21</v>
      </c>
      <c r="F935" s="154">
        <f t="shared" si="203"/>
        <v>7.54</v>
      </c>
      <c r="G935" s="154">
        <f t="shared" si="200"/>
        <v>57.75</v>
      </c>
      <c r="H935" s="154">
        <f t="shared" si="201"/>
        <v>63.53</v>
      </c>
      <c r="I935" s="154">
        <f t="shared" si="202"/>
        <v>0</v>
      </c>
      <c r="J935" s="220">
        <v>45505</v>
      </c>
    </row>
    <row r="936" spans="1:10">
      <c r="A936" s="155"/>
      <c r="B936" s="153">
        <v>954</v>
      </c>
      <c r="C936" s="153" t="s">
        <v>859</v>
      </c>
      <c r="D936" s="153" t="s">
        <v>228</v>
      </c>
      <c r="E936" s="154">
        <v>59.24</v>
      </c>
      <c r="F936" s="154">
        <f t="shared" si="203"/>
        <v>8.89</v>
      </c>
      <c r="G936" s="154">
        <f t="shared" si="200"/>
        <v>68.13</v>
      </c>
      <c r="H936" s="154">
        <f t="shared" si="201"/>
        <v>74.95</v>
      </c>
      <c r="I936" s="154">
        <f t="shared" si="202"/>
        <v>0</v>
      </c>
      <c r="J936" s="220">
        <v>45505</v>
      </c>
    </row>
    <row r="937" spans="1:10">
      <c r="A937" s="155"/>
      <c r="B937" s="153">
        <v>955</v>
      </c>
      <c r="C937" s="153" t="s">
        <v>860</v>
      </c>
      <c r="D937" s="153" t="s">
        <v>228</v>
      </c>
      <c r="E937" s="154">
        <v>71.819999999999993</v>
      </c>
      <c r="F937" s="154">
        <f t="shared" si="203"/>
        <v>10.78</v>
      </c>
      <c r="G937" s="154">
        <f t="shared" si="200"/>
        <v>82.6</v>
      </c>
      <c r="H937" s="154">
        <f t="shared" si="201"/>
        <v>90.86</v>
      </c>
      <c r="I937" s="154">
        <f t="shared" si="202"/>
        <v>0</v>
      </c>
      <c r="J937" s="220">
        <v>45505</v>
      </c>
    </row>
    <row r="938" spans="1:10">
      <c r="A938" s="155"/>
      <c r="B938" s="153">
        <v>956</v>
      </c>
      <c r="C938" s="153" t="s">
        <v>861</v>
      </c>
      <c r="D938" s="153" t="s">
        <v>228</v>
      </c>
      <c r="E938" s="154">
        <v>19.57</v>
      </c>
      <c r="F938" s="154">
        <f t="shared" ref="F938:F967" si="204">ROUNDUP(E938*0.15,2)</f>
        <v>2.94</v>
      </c>
      <c r="G938" s="154">
        <f t="shared" si="200"/>
        <v>22.51</v>
      </c>
      <c r="H938" s="154">
        <f t="shared" si="201"/>
        <v>24.770000000000003</v>
      </c>
      <c r="I938" s="154">
        <f t="shared" si="202"/>
        <v>0</v>
      </c>
      <c r="J938" s="220">
        <v>45505</v>
      </c>
    </row>
    <row r="939" spans="1:10">
      <c r="A939" s="155"/>
      <c r="B939" s="153">
        <v>957</v>
      </c>
      <c r="C939" s="153" t="s">
        <v>862</v>
      </c>
      <c r="D939" s="153" t="s">
        <v>228</v>
      </c>
      <c r="E939" s="154">
        <v>20.92</v>
      </c>
      <c r="F939" s="154">
        <f t="shared" si="204"/>
        <v>3.1399999999999997</v>
      </c>
      <c r="G939" s="154">
        <f t="shared" si="200"/>
        <v>24.060000000000002</v>
      </c>
      <c r="H939" s="154">
        <f t="shared" si="201"/>
        <v>26.470000000000002</v>
      </c>
      <c r="I939" s="154">
        <f t="shared" si="202"/>
        <v>0</v>
      </c>
      <c r="J939" s="220">
        <v>45505</v>
      </c>
    </row>
    <row r="940" spans="1:10">
      <c r="A940" s="155"/>
      <c r="B940" s="153">
        <v>958</v>
      </c>
      <c r="C940" s="153" t="s">
        <v>863</v>
      </c>
      <c r="D940" s="153" t="s">
        <v>228</v>
      </c>
      <c r="E940" s="154">
        <v>13.65</v>
      </c>
      <c r="F940" s="154">
        <f t="shared" si="204"/>
        <v>2.0499999999999998</v>
      </c>
      <c r="G940" s="154">
        <f t="shared" si="200"/>
        <v>15.7</v>
      </c>
      <c r="H940" s="154">
        <f t="shared" si="201"/>
        <v>17.27</v>
      </c>
      <c r="I940" s="154">
        <f t="shared" si="202"/>
        <v>0</v>
      </c>
      <c r="J940" s="220"/>
    </row>
    <row r="941" spans="1:10">
      <c r="A941" s="155"/>
      <c r="B941" s="153">
        <v>959</v>
      </c>
      <c r="C941" s="153" t="s">
        <v>864</v>
      </c>
      <c r="D941" s="153" t="s">
        <v>228</v>
      </c>
      <c r="E941" s="154">
        <v>14.56</v>
      </c>
      <c r="F941" s="154">
        <f t="shared" si="204"/>
        <v>2.19</v>
      </c>
      <c r="G941" s="154">
        <f t="shared" si="200"/>
        <v>16.75</v>
      </c>
      <c r="H941" s="154">
        <f t="shared" si="201"/>
        <v>18.430000000000003</v>
      </c>
      <c r="I941" s="154">
        <f t="shared" si="202"/>
        <v>0</v>
      </c>
      <c r="J941" s="220"/>
    </row>
    <row r="942" spans="1:10">
      <c r="A942" s="155"/>
      <c r="B942" s="153">
        <v>960</v>
      </c>
      <c r="C942" s="153" t="s">
        <v>865</v>
      </c>
      <c r="D942" s="153" t="s">
        <v>228</v>
      </c>
      <c r="E942" s="154">
        <v>28.97</v>
      </c>
      <c r="F942" s="154">
        <f t="shared" si="204"/>
        <v>4.3499999999999996</v>
      </c>
      <c r="G942" s="154">
        <f t="shared" si="200"/>
        <v>33.32</v>
      </c>
      <c r="H942" s="154">
        <f t="shared" si="201"/>
        <v>36.659999999999997</v>
      </c>
      <c r="I942" s="154">
        <f t="shared" si="202"/>
        <v>0</v>
      </c>
      <c r="J942" s="220">
        <v>45505</v>
      </c>
    </row>
    <row r="943" spans="1:10">
      <c r="A943" s="155"/>
      <c r="B943" s="153">
        <v>961</v>
      </c>
      <c r="C943" s="153" t="s">
        <v>868</v>
      </c>
      <c r="D943" s="153" t="s">
        <v>228</v>
      </c>
      <c r="E943" s="154">
        <v>109.50034311322719</v>
      </c>
      <c r="F943" s="154">
        <f t="shared" si="204"/>
        <v>16.430000000000003</v>
      </c>
      <c r="G943" s="154">
        <f t="shared" si="200"/>
        <v>125.9303431132272</v>
      </c>
      <c r="H943" s="154">
        <f t="shared" si="201"/>
        <v>138.53</v>
      </c>
      <c r="I943" s="154">
        <f t="shared" si="202"/>
        <v>0</v>
      </c>
      <c r="J943" s="220">
        <v>44698</v>
      </c>
    </row>
    <row r="944" spans="1:10">
      <c r="A944" s="155"/>
      <c r="B944" s="153">
        <v>962</v>
      </c>
      <c r="C944" s="153" t="s">
        <v>869</v>
      </c>
      <c r="D944" s="153" t="s">
        <v>228</v>
      </c>
      <c r="E944" s="154">
        <v>64.400916195095647</v>
      </c>
      <c r="F944" s="154">
        <f t="shared" si="204"/>
        <v>9.67</v>
      </c>
      <c r="G944" s="154">
        <f t="shared" si="200"/>
        <v>74.070916195095649</v>
      </c>
      <c r="H944" s="154">
        <f t="shared" si="201"/>
        <v>81.48</v>
      </c>
      <c r="I944" s="154">
        <f t="shared" si="202"/>
        <v>0</v>
      </c>
      <c r="J944" s="220">
        <v>44698</v>
      </c>
    </row>
    <row r="945" spans="1:10">
      <c r="A945" s="155"/>
      <c r="B945" s="153">
        <v>963</v>
      </c>
      <c r="C945" s="153" t="s">
        <v>870</v>
      </c>
      <c r="D945" s="153" t="s">
        <v>228</v>
      </c>
      <c r="E945" s="154">
        <v>54.740731045181306</v>
      </c>
      <c r="F945" s="154">
        <f t="shared" si="204"/>
        <v>8.2200000000000006</v>
      </c>
      <c r="G945" s="154">
        <f t="shared" si="200"/>
        <v>62.960731045181305</v>
      </c>
      <c r="H945" s="154">
        <f t="shared" si="201"/>
        <v>69.260000000000005</v>
      </c>
      <c r="I945" s="154">
        <f t="shared" si="202"/>
        <v>0</v>
      </c>
      <c r="J945" s="220">
        <v>44698</v>
      </c>
    </row>
    <row r="946" spans="1:10">
      <c r="A946" s="155"/>
      <c r="B946" s="153">
        <v>964</v>
      </c>
      <c r="C946" s="153" t="s">
        <v>871</v>
      </c>
      <c r="D946" s="153" t="s">
        <v>228</v>
      </c>
      <c r="E946" s="154">
        <v>148.14045281937379</v>
      </c>
      <c r="F946" s="154">
        <f t="shared" si="204"/>
        <v>22.23</v>
      </c>
      <c r="G946" s="154">
        <f t="shared" si="200"/>
        <v>170.37045281937378</v>
      </c>
      <c r="H946" s="154">
        <f t="shared" si="201"/>
        <v>187.41</v>
      </c>
      <c r="I946" s="154">
        <f t="shared" si="202"/>
        <v>0</v>
      </c>
      <c r="J946" s="220">
        <v>44698</v>
      </c>
    </row>
    <row r="947" spans="1:10">
      <c r="A947" s="155"/>
      <c r="B947" s="153">
        <v>965</v>
      </c>
      <c r="C947" s="153" t="s">
        <v>872</v>
      </c>
      <c r="D947" s="153" t="s">
        <v>228</v>
      </c>
      <c r="E947" s="154">
        <v>11.5</v>
      </c>
      <c r="F947" s="154">
        <f t="shared" si="204"/>
        <v>1.73</v>
      </c>
      <c r="G947" s="154">
        <f t="shared" si="200"/>
        <v>13.23</v>
      </c>
      <c r="H947" s="154">
        <f t="shared" si="201"/>
        <v>14.56</v>
      </c>
      <c r="I947" s="154">
        <f t="shared" si="202"/>
        <v>0</v>
      </c>
      <c r="J947" s="220">
        <v>44698</v>
      </c>
    </row>
    <row r="948" spans="1:10">
      <c r="A948" s="155"/>
      <c r="B948" s="153">
        <v>966</v>
      </c>
      <c r="C948" s="153" t="s">
        <v>873</v>
      </c>
      <c r="D948" s="153" t="s">
        <v>228</v>
      </c>
      <c r="E948" s="154">
        <v>2.2999999999999998</v>
      </c>
      <c r="F948" s="154">
        <f t="shared" si="204"/>
        <v>0.35000000000000003</v>
      </c>
      <c r="G948" s="154">
        <f t="shared" si="200"/>
        <v>2.65</v>
      </c>
      <c r="H948" s="154">
        <f t="shared" si="201"/>
        <v>2.92</v>
      </c>
      <c r="I948" s="154">
        <f t="shared" si="202"/>
        <v>0</v>
      </c>
      <c r="J948" s="220">
        <v>44698</v>
      </c>
    </row>
    <row r="949" spans="1:10">
      <c r="A949" s="155"/>
      <c r="B949" s="153">
        <v>967</v>
      </c>
      <c r="C949" s="153" t="s">
        <v>874</v>
      </c>
      <c r="D949" s="153" t="s">
        <v>228</v>
      </c>
      <c r="E949" s="154">
        <v>2.2999999999999998</v>
      </c>
      <c r="F949" s="154">
        <f t="shared" si="204"/>
        <v>0.35000000000000003</v>
      </c>
      <c r="G949" s="154">
        <f t="shared" si="200"/>
        <v>2.65</v>
      </c>
      <c r="H949" s="154">
        <f t="shared" si="201"/>
        <v>2.92</v>
      </c>
      <c r="I949" s="154">
        <f t="shared" si="202"/>
        <v>0</v>
      </c>
      <c r="J949" s="220">
        <v>44698</v>
      </c>
    </row>
    <row r="950" spans="1:10">
      <c r="A950" s="155"/>
      <c r="B950" s="153">
        <v>968</v>
      </c>
      <c r="C950" s="153" t="s">
        <v>875</v>
      </c>
      <c r="D950" s="153" t="s">
        <v>228</v>
      </c>
      <c r="E950" s="154">
        <v>25</v>
      </c>
      <c r="F950" s="154">
        <f t="shared" si="204"/>
        <v>3.75</v>
      </c>
      <c r="G950" s="154">
        <f t="shared" si="200"/>
        <v>28.75</v>
      </c>
      <c r="H950" s="154">
        <f t="shared" si="201"/>
        <v>31.630000000000003</v>
      </c>
      <c r="I950" s="154">
        <f t="shared" si="202"/>
        <v>0</v>
      </c>
      <c r="J950" s="220">
        <v>44698</v>
      </c>
    </row>
    <row r="951" spans="1:10">
      <c r="A951" s="155"/>
      <c r="B951" s="153">
        <v>969</v>
      </c>
      <c r="C951" s="153" t="s">
        <v>876</v>
      </c>
      <c r="D951" s="153" t="s">
        <v>228</v>
      </c>
      <c r="E951" s="154">
        <v>55</v>
      </c>
      <c r="F951" s="154">
        <f t="shared" si="204"/>
        <v>8.25</v>
      </c>
      <c r="G951" s="154">
        <f t="shared" si="200"/>
        <v>63.25</v>
      </c>
      <c r="H951" s="154">
        <f t="shared" si="201"/>
        <v>69.58</v>
      </c>
      <c r="I951" s="154">
        <f t="shared" si="202"/>
        <v>0</v>
      </c>
      <c r="J951" s="220">
        <v>44698</v>
      </c>
    </row>
    <row r="952" spans="1:10">
      <c r="A952" s="155"/>
      <c r="B952" s="153">
        <v>970</v>
      </c>
      <c r="C952" s="153" t="s">
        <v>877</v>
      </c>
      <c r="D952" s="153" t="s">
        <v>228</v>
      </c>
      <c r="E952" s="154">
        <v>27</v>
      </c>
      <c r="F952" s="154">
        <f t="shared" si="204"/>
        <v>4.05</v>
      </c>
      <c r="G952" s="154">
        <f t="shared" si="200"/>
        <v>31.05</v>
      </c>
      <c r="H952" s="154">
        <f t="shared" si="201"/>
        <v>34.159999999999997</v>
      </c>
      <c r="I952" s="154">
        <f t="shared" si="202"/>
        <v>0</v>
      </c>
      <c r="J952" s="220">
        <v>44698</v>
      </c>
    </row>
    <row r="953" spans="1:10">
      <c r="A953" s="155"/>
      <c r="B953" s="153">
        <v>971</v>
      </c>
      <c r="C953" s="153" t="s">
        <v>878</v>
      </c>
      <c r="D953" s="153" t="s">
        <v>228</v>
      </c>
      <c r="E953" s="154">
        <v>17</v>
      </c>
      <c r="F953" s="154">
        <f t="shared" si="204"/>
        <v>2.5499999999999998</v>
      </c>
      <c r="G953" s="154">
        <f t="shared" si="200"/>
        <v>19.55</v>
      </c>
      <c r="H953" s="154">
        <f t="shared" si="201"/>
        <v>21.51</v>
      </c>
      <c r="I953" s="154">
        <f t="shared" si="202"/>
        <v>0</v>
      </c>
      <c r="J953" s="220">
        <v>44698</v>
      </c>
    </row>
    <row r="954" spans="1:10">
      <c r="A954" s="155"/>
      <c r="B954" s="153">
        <v>972</v>
      </c>
      <c r="C954" s="153" t="s">
        <v>879</v>
      </c>
      <c r="D954" s="153" t="s">
        <v>228</v>
      </c>
      <c r="E954" s="154">
        <v>19</v>
      </c>
      <c r="F954" s="154">
        <f t="shared" si="204"/>
        <v>2.85</v>
      </c>
      <c r="G954" s="154">
        <f t="shared" si="200"/>
        <v>21.85</v>
      </c>
      <c r="H954" s="154">
        <f t="shared" si="201"/>
        <v>24.040000000000003</v>
      </c>
      <c r="I954" s="154">
        <f t="shared" si="202"/>
        <v>0</v>
      </c>
      <c r="J954" s="220">
        <v>44698</v>
      </c>
    </row>
    <row r="955" spans="1:10">
      <c r="A955" s="155"/>
      <c r="B955" s="153">
        <v>973</v>
      </c>
      <c r="C955" s="153" t="s">
        <v>896</v>
      </c>
      <c r="D955" s="153" t="s">
        <v>228</v>
      </c>
      <c r="E955" s="154">
        <v>7.19</v>
      </c>
      <c r="F955" s="154">
        <f t="shared" si="204"/>
        <v>1.08</v>
      </c>
      <c r="G955" s="154">
        <f t="shared" si="200"/>
        <v>8.27</v>
      </c>
      <c r="H955" s="154">
        <f t="shared" si="201"/>
        <v>9.1</v>
      </c>
      <c r="I955" s="154">
        <f t="shared" si="202"/>
        <v>0</v>
      </c>
      <c r="J955" s="220">
        <v>46066</v>
      </c>
    </row>
    <row r="956" spans="1:10">
      <c r="A956" s="155"/>
      <c r="B956" s="153">
        <v>974</v>
      </c>
      <c r="C956" s="153" t="s">
        <v>897</v>
      </c>
      <c r="D956" s="153" t="s">
        <v>228</v>
      </c>
      <c r="E956" s="154">
        <v>7.66</v>
      </c>
      <c r="F956" s="154">
        <f t="shared" si="204"/>
        <v>1.1499999999999999</v>
      </c>
      <c r="G956" s="154">
        <f t="shared" si="200"/>
        <v>8.81</v>
      </c>
      <c r="H956" s="154">
        <f t="shared" si="201"/>
        <v>9.6999999999999993</v>
      </c>
      <c r="I956" s="154">
        <f t="shared" si="202"/>
        <v>0</v>
      </c>
      <c r="J956" s="220">
        <v>46066</v>
      </c>
    </row>
    <row r="957" spans="1:10">
      <c r="A957" s="155"/>
      <c r="B957" s="153">
        <v>975</v>
      </c>
      <c r="C957" s="153" t="s">
        <v>898</v>
      </c>
      <c r="D957" s="153" t="s">
        <v>228</v>
      </c>
      <c r="E957" s="154">
        <v>7.19</v>
      </c>
      <c r="F957" s="154">
        <f t="shared" si="204"/>
        <v>1.08</v>
      </c>
      <c r="G957" s="154">
        <f t="shared" si="200"/>
        <v>8.27</v>
      </c>
      <c r="H957" s="154">
        <f t="shared" si="201"/>
        <v>9.1</v>
      </c>
      <c r="I957" s="154">
        <f t="shared" si="202"/>
        <v>0</v>
      </c>
      <c r="J957" s="220">
        <v>46066</v>
      </c>
    </row>
    <row r="958" spans="1:10">
      <c r="A958" s="155"/>
      <c r="B958" s="153">
        <v>976</v>
      </c>
      <c r="C958" s="153" t="s">
        <v>899</v>
      </c>
      <c r="D958" s="153" t="s">
        <v>228</v>
      </c>
      <c r="E958" s="154">
        <v>8.51</v>
      </c>
      <c r="F958" s="154">
        <f t="shared" si="204"/>
        <v>1.28</v>
      </c>
      <c r="G958" s="154">
        <f t="shared" si="200"/>
        <v>9.7899999999999991</v>
      </c>
      <c r="H958" s="154">
        <f t="shared" si="201"/>
        <v>10.77</v>
      </c>
      <c r="I958" s="154">
        <f t="shared" si="202"/>
        <v>0</v>
      </c>
      <c r="J958" s="220">
        <v>46066</v>
      </c>
    </row>
    <row r="959" spans="1:10">
      <c r="A959" s="155"/>
      <c r="B959" s="153">
        <v>977</v>
      </c>
      <c r="C959" s="153" t="s">
        <v>900</v>
      </c>
      <c r="D959" s="153" t="s">
        <v>228</v>
      </c>
      <c r="E959" s="154">
        <v>7.93</v>
      </c>
      <c r="F959" s="154">
        <f t="shared" si="204"/>
        <v>1.19</v>
      </c>
      <c r="G959" s="154">
        <f t="shared" si="200"/>
        <v>9.1199999999999992</v>
      </c>
      <c r="H959" s="154">
        <f t="shared" si="201"/>
        <v>10.039999999999999</v>
      </c>
      <c r="I959" s="154">
        <f t="shared" si="202"/>
        <v>0</v>
      </c>
      <c r="J959" s="220">
        <v>46066</v>
      </c>
    </row>
    <row r="960" spans="1:10">
      <c r="A960" s="155"/>
      <c r="B960" s="153">
        <v>978</v>
      </c>
      <c r="C960" s="153" t="s">
        <v>901</v>
      </c>
      <c r="D960" s="153" t="s">
        <v>228</v>
      </c>
      <c r="E960" s="154">
        <v>8.4700000000000006</v>
      </c>
      <c r="F960" s="154">
        <f t="shared" si="204"/>
        <v>1.28</v>
      </c>
      <c r="G960" s="154">
        <f t="shared" si="200"/>
        <v>9.75</v>
      </c>
      <c r="H960" s="154">
        <f t="shared" si="201"/>
        <v>10.73</v>
      </c>
      <c r="I960" s="154">
        <f t="shared" si="202"/>
        <v>0</v>
      </c>
      <c r="J960" s="220">
        <v>46066</v>
      </c>
    </row>
    <row r="961" spans="1:10">
      <c r="A961" s="155"/>
      <c r="B961" s="153">
        <v>979</v>
      </c>
      <c r="C961" s="153" t="s">
        <v>902</v>
      </c>
      <c r="D961" s="153" t="s">
        <v>228</v>
      </c>
      <c r="E961" s="154">
        <v>8.76</v>
      </c>
      <c r="F961" s="154">
        <f t="shared" si="204"/>
        <v>1.32</v>
      </c>
      <c r="G961" s="154">
        <f t="shared" si="200"/>
        <v>10.08</v>
      </c>
      <c r="H961" s="154">
        <f t="shared" si="201"/>
        <v>11.09</v>
      </c>
      <c r="I961" s="154">
        <f t="shared" si="202"/>
        <v>0</v>
      </c>
      <c r="J961" s="220">
        <v>46066</v>
      </c>
    </row>
    <row r="962" spans="1:10">
      <c r="A962" s="155"/>
      <c r="B962" s="153">
        <v>980</v>
      </c>
      <c r="C962" s="153" t="s">
        <v>903</v>
      </c>
      <c r="D962" s="153" t="s">
        <v>228</v>
      </c>
      <c r="E962" s="154">
        <v>11.22</v>
      </c>
      <c r="F962" s="154">
        <f t="shared" si="204"/>
        <v>1.69</v>
      </c>
      <c r="G962" s="154">
        <f t="shared" si="200"/>
        <v>12.91</v>
      </c>
      <c r="H962" s="154">
        <f t="shared" si="201"/>
        <v>14.209999999999999</v>
      </c>
      <c r="I962" s="154">
        <f t="shared" si="202"/>
        <v>0</v>
      </c>
      <c r="J962" s="220">
        <v>46066</v>
      </c>
    </row>
    <row r="963" spans="1:10">
      <c r="A963" s="155"/>
      <c r="B963" s="153">
        <v>981</v>
      </c>
      <c r="C963" s="153" t="s">
        <v>904</v>
      </c>
      <c r="D963" s="153" t="s">
        <v>228</v>
      </c>
      <c r="E963" s="154">
        <v>11.26</v>
      </c>
      <c r="F963" s="154">
        <f t="shared" si="204"/>
        <v>1.69</v>
      </c>
      <c r="G963" s="154">
        <f t="shared" si="200"/>
        <v>12.95</v>
      </c>
      <c r="H963" s="154">
        <f t="shared" si="201"/>
        <v>14.25</v>
      </c>
      <c r="I963" s="154">
        <f t="shared" si="202"/>
        <v>0</v>
      </c>
      <c r="J963" s="220">
        <v>46066</v>
      </c>
    </row>
    <row r="964" spans="1:10">
      <c r="A964" s="155"/>
      <c r="B964" s="153">
        <v>982</v>
      </c>
      <c r="C964" s="153" t="s">
        <v>905</v>
      </c>
      <c r="D964" s="153" t="s">
        <v>228</v>
      </c>
      <c r="E964" s="154">
        <v>14.3</v>
      </c>
      <c r="F964" s="154">
        <f t="shared" si="204"/>
        <v>2.15</v>
      </c>
      <c r="G964" s="154">
        <f t="shared" si="200"/>
        <v>16.45</v>
      </c>
      <c r="H964" s="154">
        <f t="shared" si="201"/>
        <v>18.100000000000001</v>
      </c>
      <c r="I964" s="154">
        <f t="shared" si="202"/>
        <v>0</v>
      </c>
      <c r="J964" s="220">
        <v>46066</v>
      </c>
    </row>
    <row r="965" spans="1:10">
      <c r="A965" s="155"/>
      <c r="B965" s="153">
        <v>983</v>
      </c>
      <c r="C965" s="153" t="s">
        <v>906</v>
      </c>
      <c r="D965" s="153" t="s">
        <v>228</v>
      </c>
      <c r="E965" s="154">
        <v>15.37</v>
      </c>
      <c r="F965" s="154">
        <f t="shared" si="204"/>
        <v>2.3099999999999996</v>
      </c>
      <c r="G965" s="154">
        <f t="shared" si="200"/>
        <v>17.68</v>
      </c>
      <c r="H965" s="154">
        <f t="shared" si="201"/>
        <v>19.450000000000003</v>
      </c>
      <c r="I965" s="154">
        <f t="shared" si="202"/>
        <v>0</v>
      </c>
      <c r="J965" s="220">
        <v>46066</v>
      </c>
    </row>
    <row r="966" spans="1:10">
      <c r="A966" s="155"/>
      <c r="B966" s="153">
        <v>984</v>
      </c>
      <c r="C966" s="153" t="s">
        <v>907</v>
      </c>
      <c r="D966" s="153" t="s">
        <v>228</v>
      </c>
      <c r="E966" s="154">
        <v>16.87</v>
      </c>
      <c r="F966" s="154">
        <f t="shared" si="204"/>
        <v>2.5399999999999996</v>
      </c>
      <c r="G966" s="154">
        <f>E966+F966</f>
        <v>19.41</v>
      </c>
      <c r="H966" s="154">
        <f t="shared" si="201"/>
        <v>21.360000000000003</v>
      </c>
      <c r="I966" s="154">
        <f>IF($C$2="Inventory Cost",A966*G966,A966*H966)</f>
        <v>0</v>
      </c>
      <c r="J966" s="220">
        <v>46066</v>
      </c>
    </row>
    <row r="967" spans="1:10">
      <c r="A967" s="155"/>
      <c r="B967" s="153">
        <v>985</v>
      </c>
      <c r="C967" s="153" t="s">
        <v>908</v>
      </c>
      <c r="D967" s="153" t="s">
        <v>228</v>
      </c>
      <c r="E967" s="154">
        <v>16.260000000000002</v>
      </c>
      <c r="F967" s="154">
        <f t="shared" si="204"/>
        <v>2.44</v>
      </c>
      <c r="G967" s="154">
        <f>E967+F967</f>
        <v>18.700000000000003</v>
      </c>
      <c r="H967" s="154">
        <f t="shared" si="201"/>
        <v>20.57</v>
      </c>
      <c r="I967" s="154">
        <f>IF($C$2="Inventory Cost",A967*G967,A967*H967)</f>
        <v>0</v>
      </c>
      <c r="J967" s="220">
        <v>44949</v>
      </c>
    </row>
  </sheetData>
  <sheetProtection algorithmName="SHA-512" hashValue="DZa3cn34oV0OrwNAN27cIc2NGvtSsemZJKq5aRUMGL8nlre5W6jVLY2WGYKhtJ8kou3Nzyx/jMs6Sr7Q1yxa+w==" saltValue="jPpBpVkM+xFopMozGlAjsw==" spinCount="100000" sheet="1" objects="1" scenarios="1" formatCells="0" autoFilter="0"/>
  <autoFilter ref="A5:J967" xr:uid="{00000000-0001-0000-0600-000000000000}"/>
  <phoneticPr fontId="68" type="noConversion"/>
  <conditionalFormatting sqref="E4:G5">
    <cfRule type="expression" dxfId="1" priority="2">
      <formula>$C$2="Inventory Cost"</formula>
    </cfRule>
  </conditionalFormatting>
  <conditionalFormatting sqref="H4:H5">
    <cfRule type="expression" dxfId="0" priority="1">
      <formula>$C$2="Estimation Cost"</formula>
    </cfRule>
  </conditionalFormatting>
  <dataValidations count="1">
    <dataValidation type="list" allowBlank="1" showInputMessage="1" showErrorMessage="1" sqref="C2" xr:uid="{00000000-0002-0000-0600-000000000000}">
      <formula1>"Inventory Cost,Estimation Cost"</formula1>
    </dataValidation>
  </dataValidations>
  <pageMargins left="0.7" right="0.7" top="0.75" bottom="0.75" header="0.3" footer="0.3"/>
  <pageSetup scale="50" orientation="portrait" r:id="rId1"/>
  <headerFooter scaleWithDoc="0">
    <oddHeader>&amp;C&amp;F&amp;R&amp;D</oddHeader>
    <oddFooter>Page &amp;P of &amp;N</oddFooter>
  </headerFooter>
  <rowBreaks count="1" manualBreakCount="1">
    <brk id="85" max="16383" man="1"/>
  </rowBreaks>
  <colBreaks count="1" manualBreakCount="1">
    <brk id="9" max="1048575" man="1"/>
  </colBreaks>
  <ignoredErrors>
    <ignoredError sqref="B735:B769" numberStoredAsText="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N78"/>
  <sheetViews>
    <sheetView workbookViewId="0">
      <selection activeCell="E42" sqref="E42"/>
    </sheetView>
  </sheetViews>
  <sheetFormatPr defaultRowHeight="14.5"/>
  <cols>
    <col min="1" max="1" width="18.453125" customWidth="1"/>
    <col min="2" max="2" width="7.54296875" customWidth="1"/>
    <col min="3" max="3" width="8.54296875" customWidth="1"/>
    <col min="4" max="4" width="12" customWidth="1"/>
    <col min="8" max="8" width="9.1796875" customWidth="1"/>
    <col min="10" max="10" width="8.7265625" style="425" customWidth="1"/>
    <col min="11" max="14" width="8.7265625" style="427" customWidth="1"/>
  </cols>
  <sheetData>
    <row r="1" spans="1:14" ht="15" thickBot="1">
      <c r="A1" s="773" t="s">
        <v>1275</v>
      </c>
      <c r="B1" s="773"/>
      <c r="C1" s="773"/>
      <c r="D1" s="773"/>
      <c r="E1" s="773"/>
      <c r="F1" s="773"/>
      <c r="G1" s="773"/>
      <c r="H1" s="773"/>
      <c r="I1" s="773"/>
      <c r="J1" s="425" t="s">
        <v>1139</v>
      </c>
      <c r="K1" s="425" t="s">
        <v>1180</v>
      </c>
      <c r="L1" s="425" t="s">
        <v>1183</v>
      </c>
      <c r="M1" s="425"/>
    </row>
    <row r="2" spans="1:14">
      <c r="A2" s="770" t="s">
        <v>34</v>
      </c>
      <c r="B2" s="771"/>
      <c r="C2" s="772"/>
      <c r="D2" s="30" t="s">
        <v>35</v>
      </c>
      <c r="E2" s="307">
        <f>'Labor Rates'!C2</f>
        <v>46113</v>
      </c>
      <c r="F2" s="31" t="s">
        <v>36</v>
      </c>
      <c r="G2" s="307">
        <f>'Labor Rates'!E2</f>
        <v>46326</v>
      </c>
      <c r="H2" s="32"/>
      <c r="I2" s="33"/>
      <c r="J2" s="428">
        <v>0.1</v>
      </c>
      <c r="K2" s="428">
        <v>0.1</v>
      </c>
      <c r="L2" s="428">
        <v>0.1</v>
      </c>
      <c r="M2" s="428"/>
    </row>
    <row r="3" spans="1:14" ht="32" thickBot="1">
      <c r="A3" s="150" t="s">
        <v>191</v>
      </c>
      <c r="B3" s="144" t="str">
        <f>"Ratio"&amp;" "&amp;ROUND(((C8*0.75)+C7+(C6*1.1)+(C5*1.2))/SUM(C5:C8),2)</f>
        <v>Ratio 0.96</v>
      </c>
      <c r="C3" s="144" t="s">
        <v>54</v>
      </c>
      <c r="D3" s="145" t="s">
        <v>37</v>
      </c>
      <c r="E3" s="146" t="s">
        <v>38</v>
      </c>
      <c r="F3" s="146" t="s">
        <v>40</v>
      </c>
      <c r="G3" s="146" t="s">
        <v>39</v>
      </c>
      <c r="H3" s="146" t="s">
        <v>1273</v>
      </c>
      <c r="I3" s="147" t="s">
        <v>41</v>
      </c>
      <c r="J3" s="445">
        <f>$E$7*J2</f>
        <v>6.2869999999999999</v>
      </c>
      <c r="K3" s="445">
        <f>$E$7*K2</f>
        <v>6.2869999999999999</v>
      </c>
      <c r="L3" s="445">
        <f>$E$7*L2</f>
        <v>6.2869999999999999</v>
      </c>
      <c r="M3" s="446" t="s">
        <v>1159</v>
      </c>
      <c r="N3" s="446" t="s">
        <v>1159</v>
      </c>
    </row>
    <row r="4" spans="1:14">
      <c r="A4" s="780" t="s">
        <v>42</v>
      </c>
      <c r="B4" s="781"/>
      <c r="C4" s="781"/>
      <c r="D4" s="781"/>
      <c r="E4" s="781"/>
      <c r="F4" s="781"/>
      <c r="G4" s="781"/>
      <c r="H4" s="781"/>
      <c r="I4" s="782"/>
      <c r="J4" s="426" t="s">
        <v>1185</v>
      </c>
      <c r="K4" s="425" t="s">
        <v>1249</v>
      </c>
      <c r="L4" s="425" t="s">
        <v>1200</v>
      </c>
      <c r="M4" s="425" t="s">
        <v>1201</v>
      </c>
      <c r="N4" s="425" t="s">
        <v>1202</v>
      </c>
    </row>
    <row r="5" spans="1:14">
      <c r="A5" s="34" t="s">
        <v>43</v>
      </c>
      <c r="B5" s="136">
        <f>IF(C5=0,0,C5/SUM($C$5:$C$8))</f>
        <v>0</v>
      </c>
      <c r="C5" s="137">
        <v>0</v>
      </c>
      <c r="D5" s="93">
        <f>'Labor Rates'!B5</f>
        <v>5183</v>
      </c>
      <c r="E5" s="95">
        <f>'Labor Rates'!C5</f>
        <v>83.19</v>
      </c>
      <c r="F5" s="95">
        <f>'Labor Rates'!D5</f>
        <v>38.75</v>
      </c>
      <c r="G5" s="95">
        <f>'Labor Rates'!E5</f>
        <v>15.3</v>
      </c>
      <c r="H5" s="221">
        <f>'Labor Rates'!F5</f>
        <v>0</v>
      </c>
      <c r="I5" s="143">
        <f>'Labor Rates'!G5</f>
        <v>137.24</v>
      </c>
      <c r="J5" s="426">
        <f>ROUND($K$5*B5,2)</f>
        <v>0</v>
      </c>
      <c r="K5" s="426">
        <f>L5-K10-K15</f>
        <v>0</v>
      </c>
      <c r="L5" s="426">
        <f>'Plumb Takeoff'!$D$93</f>
        <v>0</v>
      </c>
      <c r="M5" s="426">
        <f>ROUND(B5*'Plumb Takeoff'!$M$1,2)</f>
        <v>0</v>
      </c>
      <c r="N5" s="425">
        <f>ROUND(B5*'Plumb Takeoff'!$L$1,2)</f>
        <v>0</v>
      </c>
    </row>
    <row r="6" spans="1:14">
      <c r="A6" s="34" t="s">
        <v>44</v>
      </c>
      <c r="B6" s="136">
        <f>IF(C6=0,0,C6/SUM($C$5:$C$8))</f>
        <v>0.25</v>
      </c>
      <c r="C6" s="137">
        <v>1</v>
      </c>
      <c r="D6" s="93">
        <f>'Labor Rates'!B6</f>
        <v>5183</v>
      </c>
      <c r="E6" s="95">
        <f>'Labor Rates'!C6</f>
        <v>73.03</v>
      </c>
      <c r="F6" s="95">
        <f>'Labor Rates'!D6</f>
        <v>38.75</v>
      </c>
      <c r="G6" s="95">
        <f>'Labor Rates'!E6</f>
        <v>13.43</v>
      </c>
      <c r="H6" s="221">
        <f>'Labor Rates'!F6</f>
        <v>0</v>
      </c>
      <c r="I6" s="143">
        <f>'Labor Rates'!G6</f>
        <v>125.21000000000001</v>
      </c>
      <c r="J6" s="426">
        <f>ROUND($K$5*B6,2)</f>
        <v>0</v>
      </c>
      <c r="M6" s="426">
        <f>ROUND(B6*'Plumb Takeoff'!$M$1,2)</f>
        <v>0</v>
      </c>
      <c r="N6" s="425">
        <f>ROUND(B6*'Plumb Takeoff'!$L$1,2)</f>
        <v>0</v>
      </c>
    </row>
    <row r="7" spans="1:14">
      <c r="A7" s="34" t="s">
        <v>45</v>
      </c>
      <c r="B7" s="136">
        <f>IF(C7=0,0,C7/SUM($C$5:$C$8))</f>
        <v>0.5</v>
      </c>
      <c r="C7" s="137">
        <v>2</v>
      </c>
      <c r="D7" s="93">
        <f>'Labor Rates'!B7</f>
        <v>5183</v>
      </c>
      <c r="E7" s="95">
        <f>'Labor Rates'!C7</f>
        <v>62.87</v>
      </c>
      <c r="F7" s="95">
        <f>'Labor Rates'!D7</f>
        <v>38.75</v>
      </c>
      <c r="G7" s="95">
        <f>'Labor Rates'!E7</f>
        <v>11.56</v>
      </c>
      <c r="H7" s="221">
        <f>'Labor Rates'!F7</f>
        <v>0</v>
      </c>
      <c r="I7" s="143">
        <f>'Labor Rates'!G7</f>
        <v>113.18</v>
      </c>
      <c r="J7" s="426">
        <f>ROUND($K$5*B7,2)</f>
        <v>0</v>
      </c>
      <c r="M7" s="426">
        <f>ROUND(B7*'Plumb Takeoff'!$M$1,2)</f>
        <v>0</v>
      </c>
      <c r="N7" s="425">
        <f>ROUND(B7*'Plumb Takeoff'!$L$1,2)</f>
        <v>0</v>
      </c>
    </row>
    <row r="8" spans="1:14" ht="15" thickBot="1">
      <c r="A8" s="35" t="s">
        <v>797</v>
      </c>
      <c r="B8" s="139">
        <f>IF(C8=0,0,C8/SUM($C$5:$C$8))</f>
        <v>0.25</v>
      </c>
      <c r="C8" s="148">
        <v>1</v>
      </c>
      <c r="D8" s="304">
        <f>'Labor Rates'!B8</f>
        <v>5183</v>
      </c>
      <c r="E8" s="96">
        <f>'Labor Rates'!C8</f>
        <v>47.15</v>
      </c>
      <c r="F8" s="96">
        <f>'Labor Rates'!D8</f>
        <v>34.17</v>
      </c>
      <c r="G8" s="95">
        <f>'Labor Rates'!E8</f>
        <v>8.67</v>
      </c>
      <c r="H8" s="222">
        <f>'Labor Rates'!F8</f>
        <v>0</v>
      </c>
      <c r="I8" s="149">
        <f>'Labor Rates'!G8</f>
        <v>89.99</v>
      </c>
      <c r="J8" s="426">
        <f>ROUND($K$5*B8,2)</f>
        <v>0</v>
      </c>
      <c r="M8" s="426">
        <f>ROUND(B8*'Plumb Takeoff'!$M$1,2)</f>
        <v>0</v>
      </c>
      <c r="N8" s="425">
        <f>ROUND(B8*'Plumb Takeoff'!$L$1,2)</f>
        <v>0</v>
      </c>
    </row>
    <row r="9" spans="1:14">
      <c r="A9" s="774" t="s">
        <v>46</v>
      </c>
      <c r="B9" s="775"/>
      <c r="C9" s="775"/>
      <c r="D9" s="775"/>
      <c r="E9" s="775"/>
      <c r="F9" s="775"/>
      <c r="G9" s="775"/>
      <c r="H9" s="775"/>
      <c r="I9" s="776"/>
      <c r="J9" s="426"/>
      <c r="K9" s="425" t="s">
        <v>1249</v>
      </c>
      <c r="M9" s="447">
        <f>SUM(M5:M8)</f>
        <v>0</v>
      </c>
      <c r="N9" s="448">
        <f>SUM(N5:N8)</f>
        <v>0</v>
      </c>
    </row>
    <row r="10" spans="1:14">
      <c r="A10" s="34" t="s">
        <v>43</v>
      </c>
      <c r="B10" s="136">
        <f>IF(C10=0,0,C10/SUM($C$10:$C$13))</f>
        <v>0</v>
      </c>
      <c r="C10" s="137">
        <f>IF(C5=0,0,C5)</f>
        <v>0</v>
      </c>
      <c r="D10" s="93">
        <f>'Labor Rates'!B10</f>
        <v>5183</v>
      </c>
      <c r="E10" s="95">
        <f>'Labor Rates'!C10</f>
        <v>124.79</v>
      </c>
      <c r="F10" s="95">
        <f>'Labor Rates'!D10</f>
        <v>38.75</v>
      </c>
      <c r="G10" s="95">
        <f>'Labor Rates'!E10</f>
        <v>22.96</v>
      </c>
      <c r="H10" s="221">
        <f>'Labor Rates'!F10</f>
        <v>0</v>
      </c>
      <c r="I10" s="141">
        <f>'Labor Rates'!G10</f>
        <v>186.50000000000003</v>
      </c>
      <c r="J10" s="426">
        <f>ROUND(SUMIFS('Plumb Takeoff'!Takeoff_Plumb_FieldLabor,'Plumb Takeoff'!Takeoff_Plumb_FieldOvertime,"OT")*B10,2)</f>
        <v>0</v>
      </c>
      <c r="K10" s="426">
        <f>SUM(J10:J13)</f>
        <v>0</v>
      </c>
    </row>
    <row r="11" spans="1:14">
      <c r="A11" s="34" t="s">
        <v>44</v>
      </c>
      <c r="B11" s="136">
        <f>IF(C11=0,0,C11/SUM($C$10:$C$13))</f>
        <v>0.25</v>
      </c>
      <c r="C11" s="137">
        <f>IF(C6=0,0,C6)</f>
        <v>1</v>
      </c>
      <c r="D11" s="93">
        <f>'Labor Rates'!B11</f>
        <v>5183</v>
      </c>
      <c r="E11" s="95">
        <f>'Labor Rates'!C11</f>
        <v>109.55</v>
      </c>
      <c r="F11" s="95">
        <f>'Labor Rates'!D11</f>
        <v>38.75</v>
      </c>
      <c r="G11" s="95">
        <f>'Labor Rates'!E11</f>
        <v>20.149999999999999</v>
      </c>
      <c r="H11" s="221">
        <f>'Labor Rates'!F11</f>
        <v>0</v>
      </c>
      <c r="I11" s="141">
        <f>'Labor Rates'!G11</f>
        <v>168.45000000000002</v>
      </c>
      <c r="J11" s="426">
        <f>ROUND(SUMIFS('Plumb Takeoff'!Takeoff_Plumb_FieldLabor,'Plumb Takeoff'!Takeoff_Plumb_FieldOvertime,"OT")*B11,2)</f>
        <v>0</v>
      </c>
    </row>
    <row r="12" spans="1:14">
      <c r="A12" s="34" t="s">
        <v>45</v>
      </c>
      <c r="B12" s="136">
        <f>IF(C12=0,0,C12/SUM($C$10:$C$13))</f>
        <v>0.5</v>
      </c>
      <c r="C12" s="137">
        <f>IF(C7=0,0,C7)</f>
        <v>2</v>
      </c>
      <c r="D12" s="93">
        <f>'Labor Rates'!B12</f>
        <v>5183</v>
      </c>
      <c r="E12" s="95">
        <f>'Labor Rates'!C12</f>
        <v>94.31</v>
      </c>
      <c r="F12" s="95">
        <f>'Labor Rates'!D12</f>
        <v>38.75</v>
      </c>
      <c r="G12" s="95">
        <f>'Labor Rates'!E12</f>
        <v>17.350000000000001</v>
      </c>
      <c r="H12" s="221">
        <f>'Labor Rates'!F12</f>
        <v>0</v>
      </c>
      <c r="I12" s="141">
        <f>'Labor Rates'!G12</f>
        <v>150.41</v>
      </c>
      <c r="J12" s="426">
        <f>ROUND(SUMIFS('Plumb Takeoff'!Takeoff_Plumb_FieldLabor,'Plumb Takeoff'!Takeoff_Plumb_FieldOvertime,"OT")*B12,2)</f>
        <v>0</v>
      </c>
    </row>
    <row r="13" spans="1:14" ht="15" thickBot="1">
      <c r="A13" s="35" t="s">
        <v>797</v>
      </c>
      <c r="B13" s="136">
        <f>IF(C13=0,0,C13/SUM($C$10:$C$13))</f>
        <v>0.25</v>
      </c>
      <c r="C13" s="148">
        <f>IF(C8=0,0,C8)</f>
        <v>1</v>
      </c>
      <c r="D13" s="304">
        <f>'Labor Rates'!B13</f>
        <v>5183</v>
      </c>
      <c r="E13" s="96">
        <f>'Labor Rates'!C13</f>
        <v>70.73</v>
      </c>
      <c r="F13" s="96">
        <f>'Labor Rates'!D13</f>
        <v>34.17</v>
      </c>
      <c r="G13" s="95">
        <f>'Labor Rates'!E13</f>
        <v>13.01</v>
      </c>
      <c r="H13" s="222">
        <f>'Labor Rates'!F13</f>
        <v>0</v>
      </c>
      <c r="I13" s="142">
        <f>'Labor Rates'!G13</f>
        <v>117.91000000000001</v>
      </c>
      <c r="J13" s="426">
        <f>ROUND(SUMIFS('Plumb Takeoff'!Takeoff_Plumb_FieldLabor,'Plumb Takeoff'!Takeoff_Plumb_FieldOvertime,"OT")*B13,2)</f>
        <v>0</v>
      </c>
    </row>
    <row r="14" spans="1:14">
      <c r="A14" s="777" t="s">
        <v>47</v>
      </c>
      <c r="B14" s="778"/>
      <c r="C14" s="778"/>
      <c r="D14" s="778"/>
      <c r="E14" s="778"/>
      <c r="F14" s="778"/>
      <c r="G14" s="778"/>
      <c r="H14" s="778"/>
      <c r="I14" s="779"/>
      <c r="J14" s="426"/>
      <c r="K14" s="425" t="s">
        <v>1249</v>
      </c>
    </row>
    <row r="15" spans="1:14">
      <c r="A15" s="34" t="s">
        <v>43</v>
      </c>
      <c r="B15" s="136">
        <f>IF(C15=0,0,C15/SUM($C$15:$C$18))</f>
        <v>0</v>
      </c>
      <c r="C15" s="137">
        <f>IF(C10=0,0,C10)</f>
        <v>0</v>
      </c>
      <c r="D15" s="93">
        <f>'Labor Rates'!B15</f>
        <v>5183</v>
      </c>
      <c r="E15" s="95">
        <f>'Labor Rates'!C15</f>
        <v>166.38</v>
      </c>
      <c r="F15" s="95">
        <f>'Labor Rates'!D15</f>
        <v>38.75</v>
      </c>
      <c r="G15" s="95">
        <f>'Labor Rates'!E15</f>
        <v>30.61</v>
      </c>
      <c r="H15" s="221">
        <f>'Labor Rates'!F15</f>
        <v>0</v>
      </c>
      <c r="I15" s="140">
        <f>'Labor Rates'!G15</f>
        <v>235.74</v>
      </c>
      <c r="J15" s="426">
        <f>ROUND(SUMIFS('Plumb Takeoff'!Takeoff_Plumb_FieldLabor,'Plumb Takeoff'!Takeoff_Plumb_FieldOvertime,"DBLT")*B15,2)</f>
        <v>0</v>
      </c>
      <c r="K15" s="426">
        <f>SUM(J15:J18)</f>
        <v>0</v>
      </c>
    </row>
    <row r="16" spans="1:14">
      <c r="A16" s="34" t="s">
        <v>44</v>
      </c>
      <c r="B16" s="136">
        <f>IF(C16=0,0,C16/SUM($C$15:$C$18))</f>
        <v>0.25</v>
      </c>
      <c r="C16" s="137">
        <f>IF(C11=0,0,C11)</f>
        <v>1</v>
      </c>
      <c r="D16" s="93">
        <f>'Labor Rates'!B16</f>
        <v>5183</v>
      </c>
      <c r="E16" s="95">
        <f>'Labor Rates'!C16</f>
        <v>146.06</v>
      </c>
      <c r="F16" s="95">
        <f>'Labor Rates'!D16</f>
        <v>38.75</v>
      </c>
      <c r="G16" s="95">
        <f>'Labor Rates'!E16</f>
        <v>26.87</v>
      </c>
      <c r="H16" s="221">
        <f>'Labor Rates'!F16</f>
        <v>0</v>
      </c>
      <c r="I16" s="140">
        <f>'Labor Rates'!G16</f>
        <v>211.68</v>
      </c>
      <c r="J16" s="426">
        <f>ROUND(SUMIFS('Plumb Takeoff'!Takeoff_Plumb_FieldLabor,'Plumb Takeoff'!Takeoff_Plumb_FieldOvertime,"DBLT")*B16,2)</f>
        <v>0</v>
      </c>
    </row>
    <row r="17" spans="1:14">
      <c r="A17" s="34" t="s">
        <v>45</v>
      </c>
      <c r="B17" s="136">
        <f>IF(C17=0,0,C17/SUM($C$15:$C$18))</f>
        <v>0.5</v>
      </c>
      <c r="C17" s="137">
        <f>IF(C12=0,0,C12)</f>
        <v>2</v>
      </c>
      <c r="D17" s="93">
        <f>'Labor Rates'!B17</f>
        <v>5183</v>
      </c>
      <c r="E17" s="95">
        <f>'Labor Rates'!C17</f>
        <v>125.74</v>
      </c>
      <c r="F17" s="95">
        <f>'Labor Rates'!D17</f>
        <v>38.75</v>
      </c>
      <c r="G17" s="95">
        <f>'Labor Rates'!E17</f>
        <v>23.13</v>
      </c>
      <c r="H17" s="221">
        <f>'Labor Rates'!F17</f>
        <v>0</v>
      </c>
      <c r="I17" s="140">
        <f>'Labor Rates'!G17</f>
        <v>187.62</v>
      </c>
      <c r="J17" s="426">
        <f>ROUND(SUMIFS('Plumb Takeoff'!Takeoff_Plumb_FieldLabor,'Plumb Takeoff'!Takeoff_Plumb_FieldOvertime,"DBLT")*B17,2)</f>
        <v>0</v>
      </c>
    </row>
    <row r="18" spans="1:14" ht="15" thickBot="1">
      <c r="A18" s="35" t="s">
        <v>797</v>
      </c>
      <c r="B18" s="303">
        <f>IF(C18=0,0,C18/SUM($C$15:$C$18))</f>
        <v>0.25</v>
      </c>
      <c r="C18" s="148">
        <f>IF(C13=0,0,C13)</f>
        <v>1</v>
      </c>
      <c r="D18" s="304">
        <f>'Labor Rates'!B18</f>
        <v>5183</v>
      </c>
      <c r="E18" s="96">
        <f>'Labor Rates'!C18</f>
        <v>94.3</v>
      </c>
      <c r="F18" s="96">
        <f>'Labor Rates'!D18</f>
        <v>34.17</v>
      </c>
      <c r="G18" s="96">
        <f>'Labor Rates'!E18</f>
        <v>17.350000000000001</v>
      </c>
      <c r="H18" s="222">
        <f>'Labor Rates'!F18</f>
        <v>0</v>
      </c>
      <c r="I18" s="305">
        <f>'Labor Rates'!G18</f>
        <v>145.82</v>
      </c>
      <c r="J18" s="426">
        <f>ROUND(SUMIFS('Plumb Takeoff'!Takeoff_Plumb_FieldLabor,'Plumb Takeoff'!Takeoff_Plumb_FieldOvertime,"DBLT")*B18,2)</f>
        <v>0</v>
      </c>
    </row>
    <row r="21" spans="1:14" ht="15" thickBot="1">
      <c r="A21" s="773" t="s">
        <v>1276</v>
      </c>
      <c r="B21" s="773"/>
      <c r="C21" s="773"/>
      <c r="D21" s="773"/>
      <c r="E21" s="773"/>
      <c r="F21" s="773"/>
      <c r="G21" s="773"/>
      <c r="H21" s="773"/>
      <c r="I21" s="773"/>
      <c r="J21" s="425" t="s">
        <v>1139</v>
      </c>
      <c r="K21" s="425" t="s">
        <v>1180</v>
      </c>
      <c r="L21" s="425" t="s">
        <v>1183</v>
      </c>
      <c r="M21" s="425"/>
    </row>
    <row r="22" spans="1:14">
      <c r="A22" s="770" t="s">
        <v>34</v>
      </c>
      <c r="B22" s="771"/>
      <c r="C22" s="772"/>
      <c r="D22" s="30" t="s">
        <v>35</v>
      </c>
      <c r="E22" s="307">
        <f>E2</f>
        <v>46113</v>
      </c>
      <c r="F22" s="31" t="s">
        <v>36</v>
      </c>
      <c r="G22" s="307">
        <f>G2</f>
        <v>46326</v>
      </c>
      <c r="H22" s="32"/>
      <c r="I22" s="33"/>
      <c r="J22" s="428">
        <v>0.1</v>
      </c>
      <c r="K22" s="428">
        <v>0.1</v>
      </c>
      <c r="L22" s="428">
        <v>0.1</v>
      </c>
      <c r="M22" s="428"/>
    </row>
    <row r="23" spans="1:14" ht="32" thickBot="1">
      <c r="A23" s="150" t="s">
        <v>191</v>
      </c>
      <c r="B23" s="144" t="str">
        <f>"Ratio"&amp;" "&amp;ROUND(((C28*0.75)+C27+(C26*1.1)+(C25*1.2))/SUM(C25:C28),2)</f>
        <v>Ratio 1.1</v>
      </c>
      <c r="C23" s="144" t="s">
        <v>54</v>
      </c>
      <c r="D23" s="145" t="s">
        <v>37</v>
      </c>
      <c r="E23" s="146" t="s">
        <v>38</v>
      </c>
      <c r="F23" s="146" t="s">
        <v>40</v>
      </c>
      <c r="G23" s="146" t="s">
        <v>39</v>
      </c>
      <c r="H23" s="146" t="s">
        <v>1273</v>
      </c>
      <c r="I23" s="147" t="s">
        <v>41</v>
      </c>
      <c r="J23" s="445">
        <f>$E$27*J22</f>
        <v>6.2869999999999999</v>
      </c>
      <c r="K23" s="445">
        <f>$E$27*K22</f>
        <v>6.2869999999999999</v>
      </c>
      <c r="L23" s="445">
        <f>$E$27*L22</f>
        <v>6.2869999999999999</v>
      </c>
      <c r="M23" s="446" t="s">
        <v>1159</v>
      </c>
      <c r="N23" s="446" t="s">
        <v>1159</v>
      </c>
    </row>
    <row r="24" spans="1:14">
      <c r="A24" s="780" t="s">
        <v>42</v>
      </c>
      <c r="B24" s="781"/>
      <c r="C24" s="781"/>
      <c r="D24" s="781"/>
      <c r="E24" s="781"/>
      <c r="F24" s="781"/>
      <c r="G24" s="781"/>
      <c r="H24" s="781"/>
      <c r="I24" s="782"/>
      <c r="J24" s="426" t="s">
        <v>1185</v>
      </c>
      <c r="K24" s="425" t="s">
        <v>1249</v>
      </c>
      <c r="L24" s="425" t="s">
        <v>1200</v>
      </c>
      <c r="M24" s="425" t="s">
        <v>1201</v>
      </c>
      <c r="N24" s="425" t="s">
        <v>1202</v>
      </c>
    </row>
    <row r="25" spans="1:14">
      <c r="A25" s="34" t="s">
        <v>43</v>
      </c>
      <c r="B25" s="136">
        <f>IF(C25=0,0,C25/SUM($C$25:$C$28))</f>
        <v>0.25</v>
      </c>
      <c r="C25" s="137">
        <v>1</v>
      </c>
      <c r="D25" s="93">
        <f>'Labor Rates'!B25</f>
        <v>5183</v>
      </c>
      <c r="E25" s="95">
        <f>'Labor Rates'!C25</f>
        <v>83.19</v>
      </c>
      <c r="F25" s="95">
        <f>'Labor Rates'!D25</f>
        <v>38.75</v>
      </c>
      <c r="G25" s="95">
        <f>'Labor Rates'!E25</f>
        <v>15.3</v>
      </c>
      <c r="H25" s="221">
        <f>'Labor Rates'!F25</f>
        <v>0</v>
      </c>
      <c r="I25" s="143">
        <f>'Labor Rates'!G25</f>
        <v>137.24</v>
      </c>
      <c r="J25" s="426">
        <f>ROUND($K$25*B25,2)</f>
        <v>0</v>
      </c>
      <c r="K25" s="426">
        <f>L25-K30-K35</f>
        <v>0</v>
      </c>
      <c r="L25" s="426">
        <f>'Pipe Takeoff'!D93</f>
        <v>0</v>
      </c>
      <c r="M25" s="426">
        <f>ROUND(B25*'Pipe Takeoff'!$M$1,2)</f>
        <v>0</v>
      </c>
      <c r="N25" s="425">
        <f>ROUND(B25*'Pipe Takeoff'!$L$1,2)</f>
        <v>0</v>
      </c>
    </row>
    <row r="26" spans="1:14">
      <c r="A26" s="34" t="s">
        <v>44</v>
      </c>
      <c r="B26" s="136">
        <f>IF(C26=0,0,C26/SUM($C$25:$C$28))</f>
        <v>0.5</v>
      </c>
      <c r="C26" s="137">
        <v>2</v>
      </c>
      <c r="D26" s="93">
        <f>'Labor Rates'!B26</f>
        <v>5183</v>
      </c>
      <c r="E26" s="95">
        <f>'Labor Rates'!C26</f>
        <v>73.03</v>
      </c>
      <c r="F26" s="95">
        <f>'Labor Rates'!D26</f>
        <v>38.75</v>
      </c>
      <c r="G26" s="95">
        <f>'Labor Rates'!E26</f>
        <v>13.43</v>
      </c>
      <c r="H26" s="221">
        <f>'Labor Rates'!F26</f>
        <v>0</v>
      </c>
      <c r="I26" s="143">
        <f>'Labor Rates'!G26</f>
        <v>125.21000000000001</v>
      </c>
      <c r="J26" s="426">
        <f>ROUND($K$25*B26,2)</f>
        <v>0</v>
      </c>
      <c r="M26" s="426">
        <f>ROUND(B26*'Pipe Takeoff'!$M$1,2)</f>
        <v>0</v>
      </c>
      <c r="N26" s="425">
        <f>ROUND(B26*'Pipe Takeoff'!$L$1,2)</f>
        <v>0</v>
      </c>
    </row>
    <row r="27" spans="1:14">
      <c r="A27" s="34" t="s">
        <v>45</v>
      </c>
      <c r="B27" s="136">
        <f>IF(C27=0,0,C27/SUM($C$25:$C$28))</f>
        <v>0.25</v>
      </c>
      <c r="C27" s="137">
        <v>1</v>
      </c>
      <c r="D27" s="93">
        <f>'Labor Rates'!B27</f>
        <v>5183</v>
      </c>
      <c r="E27" s="95">
        <f>'Labor Rates'!C27</f>
        <v>62.87</v>
      </c>
      <c r="F27" s="95">
        <f>'Labor Rates'!D27</f>
        <v>38.75</v>
      </c>
      <c r="G27" s="95">
        <f>'Labor Rates'!E27</f>
        <v>11.56</v>
      </c>
      <c r="H27" s="221">
        <f>'Labor Rates'!F27</f>
        <v>0</v>
      </c>
      <c r="I27" s="143">
        <f>'Labor Rates'!G27</f>
        <v>113.18</v>
      </c>
      <c r="J27" s="426">
        <f>ROUND($K$25*B27,2)</f>
        <v>0</v>
      </c>
      <c r="M27" s="426">
        <f>ROUND(B27*'Pipe Takeoff'!$M$1,2)</f>
        <v>0</v>
      </c>
      <c r="N27" s="425">
        <f>ROUND(B27*'Pipe Takeoff'!$L$1,2)</f>
        <v>0</v>
      </c>
    </row>
    <row r="28" spans="1:14" ht="15" thickBot="1">
      <c r="A28" s="35" t="s">
        <v>797</v>
      </c>
      <c r="B28" s="139">
        <f>IF(C28=0,0,C28/SUM($C$25:$C$28))</f>
        <v>0</v>
      </c>
      <c r="C28" s="148">
        <v>0</v>
      </c>
      <c r="D28" s="304">
        <f>'Labor Rates'!B28</f>
        <v>5183</v>
      </c>
      <c r="E28" s="96">
        <f>'Labor Rates'!C28</f>
        <v>47.15</v>
      </c>
      <c r="F28" s="96">
        <f>'Labor Rates'!D28</f>
        <v>34.17</v>
      </c>
      <c r="G28" s="95">
        <f>'Labor Rates'!E28</f>
        <v>8.67</v>
      </c>
      <c r="H28" s="222">
        <f>'Labor Rates'!F28</f>
        <v>0</v>
      </c>
      <c r="I28" s="149">
        <f>'Labor Rates'!G28</f>
        <v>89.99</v>
      </c>
      <c r="J28" s="426">
        <f>ROUND($K$25*B28,2)</f>
        <v>0</v>
      </c>
      <c r="M28" s="426">
        <f>ROUND(B28*'Pipe Takeoff'!$M$1,2)</f>
        <v>0</v>
      </c>
      <c r="N28" s="425">
        <f>ROUND(B28*'Pipe Takeoff'!$L$1,2)</f>
        <v>0</v>
      </c>
    </row>
    <row r="29" spans="1:14">
      <c r="A29" s="774" t="s">
        <v>46</v>
      </c>
      <c r="B29" s="775"/>
      <c r="C29" s="775"/>
      <c r="D29" s="775"/>
      <c r="E29" s="775"/>
      <c r="F29" s="775"/>
      <c r="G29" s="775"/>
      <c r="H29" s="775"/>
      <c r="I29" s="776"/>
      <c r="J29" s="426"/>
      <c r="K29" s="425" t="s">
        <v>1249</v>
      </c>
      <c r="M29" s="447">
        <f>SUM(M25:M28)</f>
        <v>0</v>
      </c>
      <c r="N29" s="448">
        <f>SUM(N25:N28)</f>
        <v>0</v>
      </c>
    </row>
    <row r="30" spans="1:14">
      <c r="A30" s="34" t="s">
        <v>43</v>
      </c>
      <c r="B30" s="136">
        <f>IF(C30=0,0,C30/SUM($C$30:$C$33))</f>
        <v>0.25</v>
      </c>
      <c r="C30" s="137">
        <f>IF(C25=0,0,C25)</f>
        <v>1</v>
      </c>
      <c r="D30" s="93">
        <f>'Labor Rates'!B30</f>
        <v>5183</v>
      </c>
      <c r="E30" s="95">
        <f>'Labor Rates'!C30</f>
        <v>124.79</v>
      </c>
      <c r="F30" s="95">
        <f>'Labor Rates'!D30</f>
        <v>38.75</v>
      </c>
      <c r="G30" s="95">
        <f>'Labor Rates'!E30</f>
        <v>22.96</v>
      </c>
      <c r="H30" s="221">
        <f>'Labor Rates'!F30</f>
        <v>0</v>
      </c>
      <c r="I30" s="141">
        <f>'Labor Rates'!G30</f>
        <v>186.50000000000003</v>
      </c>
      <c r="J30" s="426">
        <f>ROUND(SUMIFS('Pipe Takeoff'!Takeoff_Pipe_FieldLabor,'Pipe Takeoff'!Takeoff_Pipe_FieldOvertime,"OT")*B30,2)</f>
        <v>0</v>
      </c>
      <c r="K30" s="426">
        <f>SUM(J30:J33)</f>
        <v>0</v>
      </c>
    </row>
    <row r="31" spans="1:14">
      <c r="A31" s="34" t="s">
        <v>44</v>
      </c>
      <c r="B31" s="136">
        <f>IF(C31=0,0,C31/SUM($C$30:$C$33))</f>
        <v>0.5</v>
      </c>
      <c r="C31" s="137">
        <f>IF(C26=0,0,C26)</f>
        <v>2</v>
      </c>
      <c r="D31" s="93">
        <f>'Labor Rates'!B31</f>
        <v>5183</v>
      </c>
      <c r="E31" s="95">
        <f>'Labor Rates'!C31</f>
        <v>109.55</v>
      </c>
      <c r="F31" s="95">
        <f>'Labor Rates'!D31</f>
        <v>38.75</v>
      </c>
      <c r="G31" s="95">
        <f>'Labor Rates'!E31</f>
        <v>20.149999999999999</v>
      </c>
      <c r="H31" s="221">
        <f>'Labor Rates'!F31</f>
        <v>0</v>
      </c>
      <c r="I31" s="141">
        <f>'Labor Rates'!G31</f>
        <v>168.45000000000002</v>
      </c>
      <c r="J31" s="426">
        <f>ROUND(SUMIFS('Pipe Takeoff'!Takeoff_Pipe_FieldLabor,'Pipe Takeoff'!Takeoff_Pipe_FieldOvertime,"OT")*B31,2)</f>
        <v>0</v>
      </c>
    </row>
    <row r="32" spans="1:14">
      <c r="A32" s="34" t="s">
        <v>45</v>
      </c>
      <c r="B32" s="136">
        <f>IF(C32=0,0,C32/SUM($C$30:$C$33))</f>
        <v>0.25</v>
      </c>
      <c r="C32" s="137">
        <f>IF(C27=0,0,C27)</f>
        <v>1</v>
      </c>
      <c r="D32" s="93">
        <f>'Labor Rates'!B32</f>
        <v>5183</v>
      </c>
      <c r="E32" s="95">
        <f>'Labor Rates'!C32</f>
        <v>94.31</v>
      </c>
      <c r="F32" s="95">
        <f>'Labor Rates'!D32</f>
        <v>38.75</v>
      </c>
      <c r="G32" s="95">
        <f>'Labor Rates'!E32</f>
        <v>17.350000000000001</v>
      </c>
      <c r="H32" s="221">
        <f>'Labor Rates'!F32</f>
        <v>0</v>
      </c>
      <c r="I32" s="141">
        <f>'Labor Rates'!G32</f>
        <v>150.41</v>
      </c>
      <c r="J32" s="426">
        <f>ROUND(SUMIFS('Pipe Takeoff'!Takeoff_Pipe_FieldLabor,'Pipe Takeoff'!Takeoff_Pipe_FieldOvertime,"OT")*B32,2)</f>
        <v>0</v>
      </c>
    </row>
    <row r="33" spans="1:14" ht="15" thickBot="1">
      <c r="A33" s="35" t="s">
        <v>797</v>
      </c>
      <c r="B33" s="136">
        <f>IF(C33=0,0,C33/SUM($C$30:$C$33))</f>
        <v>0</v>
      </c>
      <c r="C33" s="148">
        <f>IF(C28=0,0,C28)</f>
        <v>0</v>
      </c>
      <c r="D33" s="304">
        <f>'Labor Rates'!B33</f>
        <v>5183</v>
      </c>
      <c r="E33" s="96">
        <f>'Labor Rates'!C33</f>
        <v>70.73</v>
      </c>
      <c r="F33" s="96">
        <f>'Labor Rates'!D33</f>
        <v>34.17</v>
      </c>
      <c r="G33" s="95">
        <f>'Labor Rates'!E33</f>
        <v>13.01</v>
      </c>
      <c r="H33" s="222">
        <f>'Labor Rates'!F33</f>
        <v>0</v>
      </c>
      <c r="I33" s="142">
        <f>'Labor Rates'!G33</f>
        <v>117.91000000000001</v>
      </c>
      <c r="J33" s="426">
        <f>ROUND(SUMIFS('Pipe Takeoff'!Takeoff_Pipe_FieldLabor,'Pipe Takeoff'!Takeoff_Pipe_FieldOvertime,"OT")*B33,2)</f>
        <v>0</v>
      </c>
    </row>
    <row r="34" spans="1:14">
      <c r="A34" s="777" t="s">
        <v>47</v>
      </c>
      <c r="B34" s="778"/>
      <c r="C34" s="778"/>
      <c r="D34" s="778"/>
      <c r="E34" s="778"/>
      <c r="F34" s="778"/>
      <c r="G34" s="778"/>
      <c r="H34" s="778"/>
      <c r="I34" s="779"/>
      <c r="J34" s="426"/>
      <c r="K34" s="425" t="s">
        <v>1249</v>
      </c>
    </row>
    <row r="35" spans="1:14">
      <c r="A35" s="34" t="s">
        <v>43</v>
      </c>
      <c r="B35" s="136">
        <f>IF(C35=0,0,C35/SUM($C$35:$C$38))</f>
        <v>0.25</v>
      </c>
      <c r="C35" s="137">
        <f>IF(C30=0,0,C30)</f>
        <v>1</v>
      </c>
      <c r="D35" s="93">
        <f>'Labor Rates'!B35</f>
        <v>5183</v>
      </c>
      <c r="E35" s="95">
        <f>'Labor Rates'!C35</f>
        <v>166.38</v>
      </c>
      <c r="F35" s="95">
        <f>'Labor Rates'!D35</f>
        <v>38.75</v>
      </c>
      <c r="G35" s="95">
        <f>'Labor Rates'!E35</f>
        <v>30.61</v>
      </c>
      <c r="H35" s="221">
        <f>'Labor Rates'!F35</f>
        <v>0</v>
      </c>
      <c r="I35" s="140">
        <f>'Labor Rates'!G35</f>
        <v>235.74</v>
      </c>
      <c r="J35" s="426">
        <f>ROUND(SUMIFS('Pipe Takeoff'!Takeoff_Pipe_FieldLabor,'Pipe Takeoff'!Takeoff_Pipe_FieldOvertime,"DBLT")*B35,2)</f>
        <v>0</v>
      </c>
      <c r="K35" s="426">
        <f>SUM(J35:J38)</f>
        <v>0</v>
      </c>
    </row>
    <row r="36" spans="1:14">
      <c r="A36" s="34" t="s">
        <v>44</v>
      </c>
      <c r="B36" s="136">
        <f>IF(C36=0,0,C36/SUM($C$35:$C$38))</f>
        <v>0.5</v>
      </c>
      <c r="C36" s="137">
        <f>IF(C31=0,0,C31)</f>
        <v>2</v>
      </c>
      <c r="D36" s="93">
        <f>'Labor Rates'!B36</f>
        <v>5183</v>
      </c>
      <c r="E36" s="95">
        <f>'Labor Rates'!C36</f>
        <v>146.06</v>
      </c>
      <c r="F36" s="95">
        <f>'Labor Rates'!D36</f>
        <v>38.75</v>
      </c>
      <c r="G36" s="95">
        <f>'Labor Rates'!E36</f>
        <v>26.87</v>
      </c>
      <c r="H36" s="221">
        <f>'Labor Rates'!F36</f>
        <v>0</v>
      </c>
      <c r="I36" s="140">
        <f>'Labor Rates'!G36</f>
        <v>211.68</v>
      </c>
      <c r="J36" s="426">
        <f>ROUND(SUMIFS('Pipe Takeoff'!Takeoff_Pipe_FieldLabor,'Pipe Takeoff'!Takeoff_Pipe_FieldOvertime,"DBLT")*B36,2)</f>
        <v>0</v>
      </c>
    </row>
    <row r="37" spans="1:14">
      <c r="A37" s="34" t="s">
        <v>45</v>
      </c>
      <c r="B37" s="136">
        <f>IF(C37=0,0,C37/SUM($C$35:$C$38))</f>
        <v>0.25</v>
      </c>
      <c r="C37" s="137">
        <f>IF(C32=0,0,C32)</f>
        <v>1</v>
      </c>
      <c r="D37" s="93">
        <f>'Labor Rates'!B37</f>
        <v>5183</v>
      </c>
      <c r="E37" s="95">
        <f>'Labor Rates'!C37</f>
        <v>125.74</v>
      </c>
      <c r="F37" s="95">
        <f>'Labor Rates'!D37</f>
        <v>38.75</v>
      </c>
      <c r="G37" s="95">
        <f>'Labor Rates'!E37</f>
        <v>23.13</v>
      </c>
      <c r="H37" s="221">
        <f>'Labor Rates'!F37</f>
        <v>0</v>
      </c>
      <c r="I37" s="140">
        <f>'Labor Rates'!G37</f>
        <v>187.62</v>
      </c>
      <c r="J37" s="426">
        <f>ROUND(SUMIFS('Pipe Takeoff'!Takeoff_Pipe_FieldLabor,'Pipe Takeoff'!Takeoff_Pipe_FieldOvertime,"DBLT")*B37,2)</f>
        <v>0</v>
      </c>
    </row>
    <row r="38" spans="1:14" ht="15" thickBot="1">
      <c r="A38" s="35" t="s">
        <v>797</v>
      </c>
      <c r="B38" s="303">
        <f>IF(C38=0,0,C38/SUM($C$35:$C$38))</f>
        <v>0</v>
      </c>
      <c r="C38" s="148">
        <f>IF(C33=0,0,C33)</f>
        <v>0</v>
      </c>
      <c r="D38" s="304">
        <f>'Labor Rates'!B38</f>
        <v>5183</v>
      </c>
      <c r="E38" s="96">
        <f>'Labor Rates'!C38</f>
        <v>94.3</v>
      </c>
      <c r="F38" s="96">
        <f>'Labor Rates'!D38</f>
        <v>34.17</v>
      </c>
      <c r="G38" s="96">
        <f>'Labor Rates'!E38</f>
        <v>17.350000000000001</v>
      </c>
      <c r="H38" s="222">
        <f>'Labor Rates'!F38</f>
        <v>0</v>
      </c>
      <c r="I38" s="305">
        <f>'Labor Rates'!G38</f>
        <v>145.82</v>
      </c>
      <c r="J38" s="426">
        <f>ROUND(SUMIFS('Pipe Takeoff'!Takeoff_Pipe_FieldLabor,'Pipe Takeoff'!Takeoff_Pipe_FieldOvertime,"DBLT")*B38,2)</f>
        <v>0</v>
      </c>
    </row>
    <row r="41" spans="1:14" ht="15" thickBot="1">
      <c r="A41" s="773" t="s">
        <v>1277</v>
      </c>
      <c r="B41" s="773"/>
      <c r="C41" s="773"/>
      <c r="D41" s="773"/>
      <c r="E41" s="773"/>
      <c r="F41" s="773"/>
      <c r="G41" s="773"/>
      <c r="H41" s="773"/>
      <c r="I41" s="773"/>
      <c r="J41" s="425" t="s">
        <v>1139</v>
      </c>
      <c r="K41" s="425" t="s">
        <v>1180</v>
      </c>
      <c r="L41" s="425" t="s">
        <v>1183</v>
      </c>
      <c r="M41" s="425"/>
    </row>
    <row r="42" spans="1:14">
      <c r="A42" s="770" t="s">
        <v>34</v>
      </c>
      <c r="B42" s="771"/>
      <c r="C42" s="772"/>
      <c r="D42" s="30" t="s">
        <v>35</v>
      </c>
      <c r="E42" s="307">
        <f>'Labor Rates'!C42</f>
        <v>46204</v>
      </c>
      <c r="F42" s="31" t="s">
        <v>36</v>
      </c>
      <c r="G42" s="307">
        <f>'Labor Rates'!E42</f>
        <v>46568</v>
      </c>
      <c r="H42" s="32"/>
      <c r="I42" s="33"/>
      <c r="J42" s="428">
        <v>0.15</v>
      </c>
      <c r="K42" s="428">
        <v>0.23</v>
      </c>
      <c r="L42" s="428">
        <v>0.1</v>
      </c>
      <c r="M42" s="428"/>
    </row>
    <row r="43" spans="1:14" ht="32" thickBot="1">
      <c r="A43" s="150" t="s">
        <v>191</v>
      </c>
      <c r="B43" s="144" t="str">
        <f>"Ratio"&amp;" "&amp;ROUND(((C48*0.75)+C47+(C46*1.1)+(C45*1.2))/SUM(C45:C48),2)</f>
        <v>Ratio 0.96</v>
      </c>
      <c r="C43" s="144" t="s">
        <v>54</v>
      </c>
      <c r="D43" s="145" t="s">
        <v>37</v>
      </c>
      <c r="E43" s="146" t="s">
        <v>38</v>
      </c>
      <c r="F43" s="146" t="s">
        <v>40</v>
      </c>
      <c r="G43" s="146" t="s">
        <v>39</v>
      </c>
      <c r="H43" s="146" t="s">
        <v>1273</v>
      </c>
      <c r="I43" s="147" t="s">
        <v>41</v>
      </c>
      <c r="J43" s="445">
        <f>$E$47*J42</f>
        <v>8.8859999999999992</v>
      </c>
      <c r="K43" s="445">
        <f>$E$47*K42</f>
        <v>13.625200000000001</v>
      </c>
      <c r="L43" s="445">
        <f>$E$47*L42</f>
        <v>5.9240000000000004</v>
      </c>
      <c r="M43" s="446" t="s">
        <v>1159</v>
      </c>
      <c r="N43" s="446" t="s">
        <v>1159</v>
      </c>
    </row>
    <row r="44" spans="1:14">
      <c r="A44" s="780" t="s">
        <v>42</v>
      </c>
      <c r="B44" s="781"/>
      <c r="C44" s="781"/>
      <c r="D44" s="781"/>
      <c r="E44" s="781"/>
      <c r="F44" s="781"/>
      <c r="G44" s="781"/>
      <c r="H44" s="781"/>
      <c r="I44" s="782"/>
      <c r="J44" s="426" t="s">
        <v>1185</v>
      </c>
      <c r="K44" s="425" t="s">
        <v>1249</v>
      </c>
      <c r="L44" s="425" t="s">
        <v>1200</v>
      </c>
      <c r="M44" s="425" t="s">
        <v>1201</v>
      </c>
      <c r="N44" s="425" t="s">
        <v>1202</v>
      </c>
    </row>
    <row r="45" spans="1:14">
      <c r="A45" s="34" t="s">
        <v>43</v>
      </c>
      <c r="B45" s="136">
        <f>IF(C45=0,0,C45/SUM($C$45:$C$48))</f>
        <v>0</v>
      </c>
      <c r="C45" s="137">
        <v>0</v>
      </c>
      <c r="D45" s="93">
        <f>'Labor Rates'!B45</f>
        <v>5537</v>
      </c>
      <c r="E45" s="95">
        <f>'Labor Rates'!C45</f>
        <v>70.84</v>
      </c>
      <c r="F45" s="95">
        <f>'Labor Rates'!D45</f>
        <v>35.93</v>
      </c>
      <c r="G45" s="95">
        <f>'Labor Rates'!E45</f>
        <v>12.48</v>
      </c>
      <c r="H45" s="221">
        <f>'Labor Rates'!F45</f>
        <v>0</v>
      </c>
      <c r="I45" s="143">
        <f>'Labor Rates'!G45</f>
        <v>119.25000000000001</v>
      </c>
      <c r="J45" s="426">
        <f>ROUND($K$45*B45,2)</f>
        <v>0</v>
      </c>
      <c r="K45" s="426">
        <f>L45-K50-K55</f>
        <v>0</v>
      </c>
      <c r="L45" s="426">
        <f>'SM Takeoff'!$D$93</f>
        <v>0</v>
      </c>
      <c r="M45" s="426">
        <f>ROUND(B45*'SM Takeoff'!$Q$1,2)</f>
        <v>0</v>
      </c>
      <c r="N45" s="425">
        <f>ROUND(B45*'SM Takeoff'!$P$1,2)</f>
        <v>0</v>
      </c>
    </row>
    <row r="46" spans="1:14">
      <c r="A46" s="34" t="s">
        <v>44</v>
      </c>
      <c r="B46" s="136">
        <f>IF(C46=0,0,C46/SUM($C$45:$C$48))</f>
        <v>0.25</v>
      </c>
      <c r="C46" s="137">
        <v>1</v>
      </c>
      <c r="D46" s="93">
        <f>'Labor Rates'!B46</f>
        <v>5537</v>
      </c>
      <c r="E46" s="95">
        <f>'Labor Rates'!C46</f>
        <v>67.94</v>
      </c>
      <c r="F46" s="95">
        <f>'Labor Rates'!D46</f>
        <v>35.93</v>
      </c>
      <c r="G46" s="95">
        <f>'Labor Rates'!E46</f>
        <v>11.97</v>
      </c>
      <c r="H46" s="221">
        <f>'Labor Rates'!F46</f>
        <v>0</v>
      </c>
      <c r="I46" s="143">
        <f>'Labor Rates'!G46</f>
        <v>115.84</v>
      </c>
      <c r="J46" s="426">
        <f>ROUND($K$45*B46,2)</f>
        <v>0</v>
      </c>
      <c r="M46" s="426">
        <f>ROUND(B46*'SM Takeoff'!$Q$1,2)</f>
        <v>0</v>
      </c>
      <c r="N46" s="425">
        <f>ROUND(B46*'SM Takeoff'!$P$1,2)</f>
        <v>0</v>
      </c>
    </row>
    <row r="47" spans="1:14">
      <c r="A47" s="34" t="s">
        <v>45</v>
      </c>
      <c r="B47" s="136">
        <f>IF(C47=0,0,C47/SUM($C$45:$C$48))</f>
        <v>0.5</v>
      </c>
      <c r="C47" s="137">
        <v>2</v>
      </c>
      <c r="D47" s="93">
        <f>'Labor Rates'!B47</f>
        <v>5537</v>
      </c>
      <c r="E47" s="95">
        <f>'Labor Rates'!C47</f>
        <v>59.24</v>
      </c>
      <c r="F47" s="95">
        <f>'Labor Rates'!D47</f>
        <v>35.93</v>
      </c>
      <c r="G47" s="95">
        <f>'Labor Rates'!E47</f>
        <v>10.44</v>
      </c>
      <c r="H47" s="221">
        <f>'Labor Rates'!F47</f>
        <v>0</v>
      </c>
      <c r="I47" s="143">
        <f>'Labor Rates'!G47</f>
        <v>105.61</v>
      </c>
      <c r="J47" s="426">
        <f>ROUND($K$45*B47,2)</f>
        <v>0</v>
      </c>
      <c r="M47" s="426">
        <f>ROUND(B47*'SM Takeoff'!$Q$1,2)</f>
        <v>0</v>
      </c>
      <c r="N47" s="425">
        <f>ROUND(B47*'SM Takeoff'!$P$1,2)</f>
        <v>0</v>
      </c>
    </row>
    <row r="48" spans="1:14" ht="15" thickBot="1">
      <c r="A48" s="35" t="s">
        <v>797</v>
      </c>
      <c r="B48" s="139">
        <f>IF(C48=0,0,C48/SUM($C$45:$C$48))</f>
        <v>0.25</v>
      </c>
      <c r="C48" s="148">
        <v>1</v>
      </c>
      <c r="D48" s="304">
        <f>'Labor Rates'!B48</f>
        <v>5537</v>
      </c>
      <c r="E48" s="96">
        <f>'Labor Rates'!C48</f>
        <v>44.44</v>
      </c>
      <c r="F48" s="96">
        <f>'Labor Rates'!D48</f>
        <v>31.17</v>
      </c>
      <c r="G48" s="95">
        <f>'Labor Rates'!E48</f>
        <v>7.83</v>
      </c>
      <c r="H48" s="222">
        <f>'Labor Rates'!F48</f>
        <v>0</v>
      </c>
      <c r="I48" s="149">
        <f>'Labor Rates'!G48</f>
        <v>83.44</v>
      </c>
      <c r="J48" s="426">
        <f>ROUND($K$45*B48,2)</f>
        <v>0</v>
      </c>
      <c r="M48" s="426">
        <f>ROUND(B48*'SM Takeoff'!$Q$1,2)</f>
        <v>0</v>
      </c>
      <c r="N48" s="425">
        <f>ROUND(B48*'SM Takeoff'!$P$1,2)</f>
        <v>0</v>
      </c>
    </row>
    <row r="49" spans="1:14">
      <c r="A49" s="774" t="s">
        <v>46</v>
      </c>
      <c r="B49" s="775"/>
      <c r="C49" s="775"/>
      <c r="D49" s="775"/>
      <c r="E49" s="775"/>
      <c r="F49" s="775"/>
      <c r="G49" s="775"/>
      <c r="H49" s="775"/>
      <c r="I49" s="776"/>
      <c r="J49" s="426"/>
      <c r="K49" s="425" t="s">
        <v>1249</v>
      </c>
      <c r="M49" s="447">
        <f>SUM(M45:M48)</f>
        <v>0</v>
      </c>
      <c r="N49" s="448">
        <f>SUM(N45:N48)</f>
        <v>0</v>
      </c>
    </row>
    <row r="50" spans="1:14">
      <c r="A50" s="34" t="s">
        <v>43</v>
      </c>
      <c r="B50" s="136">
        <f>IF(C50=0,0,C50/SUM($C$50:$C$53))</f>
        <v>0</v>
      </c>
      <c r="C50" s="137">
        <f>IF(C45=0,0,C45)</f>
        <v>0</v>
      </c>
      <c r="D50" s="93">
        <f>'Labor Rates'!B50</f>
        <v>5537</v>
      </c>
      <c r="E50" s="95">
        <f>'Labor Rates'!C50</f>
        <v>106.26</v>
      </c>
      <c r="F50" s="95">
        <f>'Labor Rates'!D50</f>
        <v>35.93</v>
      </c>
      <c r="G50" s="95">
        <f>'Labor Rates'!E50</f>
        <v>18.72</v>
      </c>
      <c r="H50" s="221">
        <f>'Labor Rates'!F50</f>
        <v>0</v>
      </c>
      <c r="I50" s="141">
        <f>'Labor Rates'!G50</f>
        <v>160.91</v>
      </c>
      <c r="J50" s="426">
        <f>ROUND(SUMIFS(Takeoff_SM_FieldLabor,Takeoff_SM_FieldOvertime,"OT")*B50,2)</f>
        <v>0</v>
      </c>
      <c r="K50" s="426">
        <f>SUM(J50:J53)</f>
        <v>0</v>
      </c>
    </row>
    <row r="51" spans="1:14">
      <c r="A51" s="34" t="s">
        <v>44</v>
      </c>
      <c r="B51" s="136">
        <f>IF(C51=0,0,C51/SUM($C$50:$C$53))</f>
        <v>0.25</v>
      </c>
      <c r="C51" s="137">
        <f>IF(C46=0,0,C46)</f>
        <v>1</v>
      </c>
      <c r="D51" s="93">
        <f>'Labor Rates'!B51</f>
        <v>5537</v>
      </c>
      <c r="E51" s="95">
        <f>'Labor Rates'!C51</f>
        <v>101.91</v>
      </c>
      <c r="F51" s="95">
        <f>'Labor Rates'!D51</f>
        <v>35.93</v>
      </c>
      <c r="G51" s="95">
        <f>'Labor Rates'!E51</f>
        <v>17.96</v>
      </c>
      <c r="H51" s="221">
        <f>'Labor Rates'!F51</f>
        <v>0</v>
      </c>
      <c r="I51" s="141">
        <f>'Labor Rates'!G51</f>
        <v>155.80000000000001</v>
      </c>
      <c r="J51" s="426">
        <f>ROUND(SUMIFS(Takeoff_SM_FieldLabor,Takeoff_SM_FieldOvertime,"OT")*B51,2)</f>
        <v>0</v>
      </c>
    </row>
    <row r="52" spans="1:14">
      <c r="A52" s="34" t="s">
        <v>45</v>
      </c>
      <c r="B52" s="136">
        <f>IF(C52=0,0,C52/SUM($C$50:$C$53))</f>
        <v>0.5</v>
      </c>
      <c r="C52" s="137">
        <f>IF(C47=0,0,C47)</f>
        <v>2</v>
      </c>
      <c r="D52" s="93">
        <f>'Labor Rates'!B52</f>
        <v>5537</v>
      </c>
      <c r="E52" s="95">
        <f>'Labor Rates'!C52</f>
        <v>88.86</v>
      </c>
      <c r="F52" s="95">
        <f>'Labor Rates'!D52</f>
        <v>35.93</v>
      </c>
      <c r="G52" s="95">
        <f>'Labor Rates'!E52</f>
        <v>15.66</v>
      </c>
      <c r="H52" s="221">
        <f>'Labor Rates'!F52</f>
        <v>0</v>
      </c>
      <c r="I52" s="141">
        <f>'Labor Rates'!G52</f>
        <v>140.44999999999999</v>
      </c>
      <c r="J52" s="426">
        <f>ROUND(SUMIFS(Takeoff_SM_FieldLabor,Takeoff_SM_FieldOvertime,"OT")*B52,2)</f>
        <v>0</v>
      </c>
    </row>
    <row r="53" spans="1:14" ht="15" thickBot="1">
      <c r="A53" s="35" t="s">
        <v>797</v>
      </c>
      <c r="B53" s="136">
        <f>IF(C53=0,0,C53/SUM($C$50:$C$53))</f>
        <v>0.25</v>
      </c>
      <c r="C53" s="148">
        <f>IF(C48=0,0,C48)</f>
        <v>1</v>
      </c>
      <c r="D53" s="304">
        <f>'Labor Rates'!B53</f>
        <v>5537</v>
      </c>
      <c r="E53" s="96">
        <f>'Labor Rates'!C53</f>
        <v>66.66</v>
      </c>
      <c r="F53" s="96">
        <f>'Labor Rates'!D53</f>
        <v>31.17</v>
      </c>
      <c r="G53" s="95">
        <f>'Labor Rates'!E53</f>
        <v>11.75</v>
      </c>
      <c r="H53" s="222">
        <f>'Labor Rates'!F53</f>
        <v>0</v>
      </c>
      <c r="I53" s="142">
        <f>'Labor Rates'!G53</f>
        <v>109.58</v>
      </c>
      <c r="J53" s="426">
        <f>ROUND(SUMIFS(Takeoff_SM_FieldLabor,Takeoff_SM_FieldOvertime,"OT")*B53,2)</f>
        <v>0</v>
      </c>
    </row>
    <row r="54" spans="1:14">
      <c r="A54" s="777" t="s">
        <v>47</v>
      </c>
      <c r="B54" s="778"/>
      <c r="C54" s="778"/>
      <c r="D54" s="778"/>
      <c r="E54" s="778"/>
      <c r="F54" s="778"/>
      <c r="G54" s="778"/>
      <c r="H54" s="778"/>
      <c r="I54" s="779"/>
      <c r="J54" s="426"/>
      <c r="K54" s="425" t="s">
        <v>1249</v>
      </c>
    </row>
    <row r="55" spans="1:14">
      <c r="A55" s="34" t="s">
        <v>43</v>
      </c>
      <c r="B55" s="136">
        <f>IF(C55=0,0,C55/SUM($C$55:$C$58))</f>
        <v>0</v>
      </c>
      <c r="C55" s="137">
        <f>IF(C50=0,0,C50)</f>
        <v>0</v>
      </c>
      <c r="D55" s="93">
        <f>'Labor Rates'!B55</f>
        <v>5537</v>
      </c>
      <c r="E55" s="95">
        <f>'Labor Rates'!C55</f>
        <v>141.68</v>
      </c>
      <c r="F55" s="95">
        <f>'Labor Rates'!D55</f>
        <v>35.93</v>
      </c>
      <c r="G55" s="95">
        <f>'Labor Rates'!E55</f>
        <v>24.96</v>
      </c>
      <c r="H55" s="221">
        <f>'Labor Rates'!F55</f>
        <v>0</v>
      </c>
      <c r="I55" s="140">
        <f>'Labor Rates'!G55</f>
        <v>202.57000000000002</v>
      </c>
      <c r="J55" s="426">
        <f>ROUND(SUMIFS(Takeoff_SM_FieldLabor,Takeoff_SM_FieldOvertime,"DBLT")*B55,2)</f>
        <v>0</v>
      </c>
      <c r="K55" s="426">
        <f>SUM(J55:J58)</f>
        <v>0</v>
      </c>
    </row>
    <row r="56" spans="1:14">
      <c r="A56" s="34" t="s">
        <v>44</v>
      </c>
      <c r="B56" s="136">
        <f>IF(C56=0,0,C56/SUM($C$55:$C$58))</f>
        <v>0.25</v>
      </c>
      <c r="C56" s="137">
        <f>IF(C51=0,0,C51)</f>
        <v>1</v>
      </c>
      <c r="D56" s="93">
        <f>'Labor Rates'!B56</f>
        <v>5537</v>
      </c>
      <c r="E56" s="95">
        <f>'Labor Rates'!C56</f>
        <v>135.88</v>
      </c>
      <c r="F56" s="95">
        <f>'Labor Rates'!D56</f>
        <v>35.93</v>
      </c>
      <c r="G56" s="95">
        <f>'Labor Rates'!E56</f>
        <v>23.94</v>
      </c>
      <c r="H56" s="221">
        <f>'Labor Rates'!F56</f>
        <v>0</v>
      </c>
      <c r="I56" s="140">
        <f>'Labor Rates'!G56</f>
        <v>195.75</v>
      </c>
      <c r="J56" s="426">
        <f>ROUND(SUMIFS(Takeoff_SM_FieldLabor,Takeoff_SM_FieldOvertime,"DBLT")*B56,2)</f>
        <v>0</v>
      </c>
    </row>
    <row r="57" spans="1:14">
      <c r="A57" s="34" t="s">
        <v>45</v>
      </c>
      <c r="B57" s="136">
        <f>IF(C57=0,0,C57/SUM($C$55:$C$58))</f>
        <v>0.5</v>
      </c>
      <c r="C57" s="137">
        <f>IF(C52=0,0,C52)</f>
        <v>2</v>
      </c>
      <c r="D57" s="93">
        <f>'Labor Rates'!B57</f>
        <v>5537</v>
      </c>
      <c r="E57" s="95">
        <f>'Labor Rates'!C57</f>
        <v>118.48</v>
      </c>
      <c r="F57" s="95">
        <f>'Labor Rates'!D57</f>
        <v>35.93</v>
      </c>
      <c r="G57" s="95">
        <f>'Labor Rates'!E57</f>
        <v>20.88</v>
      </c>
      <c r="H57" s="221">
        <f>'Labor Rates'!F57</f>
        <v>0</v>
      </c>
      <c r="I57" s="140">
        <f>'Labor Rates'!G57</f>
        <v>175.29</v>
      </c>
      <c r="J57" s="426">
        <f>ROUND(SUMIFS(Takeoff_SM_FieldLabor,Takeoff_SM_FieldOvertime,"DBLT")*B57,2)</f>
        <v>0</v>
      </c>
    </row>
    <row r="58" spans="1:14" ht="15" thickBot="1">
      <c r="A58" s="35" t="s">
        <v>797</v>
      </c>
      <c r="B58" s="139">
        <f>IF(C58=0,0,C58/SUM($C$55:$C$58))</f>
        <v>0.25</v>
      </c>
      <c r="C58" s="148">
        <f>IF(C53=0,0,C53)</f>
        <v>1</v>
      </c>
      <c r="D58" s="304">
        <f>'Labor Rates'!B58</f>
        <v>5537</v>
      </c>
      <c r="E58" s="96">
        <f>'Labor Rates'!C58</f>
        <v>88.88</v>
      </c>
      <c r="F58" s="96">
        <f>'Labor Rates'!D58</f>
        <v>31.17</v>
      </c>
      <c r="G58" s="96">
        <f>'Labor Rates'!E58</f>
        <v>15.66</v>
      </c>
      <c r="H58" s="222">
        <f>'Labor Rates'!F58</f>
        <v>0</v>
      </c>
      <c r="I58" s="305">
        <f>'Labor Rates'!G58</f>
        <v>135.71</v>
      </c>
      <c r="J58" s="426">
        <f>ROUND(SUMIFS(Takeoff_SM_FieldLabor,Takeoff_SM_FieldOvertime,"DBLT")*B58,2)</f>
        <v>0</v>
      </c>
    </row>
    <row r="59" spans="1:14">
      <c r="A59" s="161"/>
      <c r="B59" s="161"/>
      <c r="C59" s="161"/>
      <c r="D59" s="161"/>
      <c r="E59" s="161"/>
      <c r="F59" s="161"/>
      <c r="G59" s="161"/>
      <c r="H59" s="161"/>
      <c r="I59" s="161"/>
    </row>
    <row r="61" spans="1:14" ht="15" thickBot="1">
      <c r="A61" s="773" t="s">
        <v>1278</v>
      </c>
      <c r="B61" s="773"/>
      <c r="C61" s="773"/>
      <c r="D61" s="773"/>
      <c r="E61" s="773"/>
      <c r="F61" s="773"/>
      <c r="G61" s="773"/>
      <c r="H61" s="773"/>
      <c r="I61" s="773"/>
      <c r="J61" s="425" t="s">
        <v>1139</v>
      </c>
      <c r="K61" s="425" t="s">
        <v>1180</v>
      </c>
      <c r="L61" s="425" t="s">
        <v>1183</v>
      </c>
      <c r="M61" s="425"/>
    </row>
    <row r="62" spans="1:14">
      <c r="A62" s="770" t="s">
        <v>34</v>
      </c>
      <c r="B62" s="771"/>
      <c r="C62" s="772"/>
      <c r="D62" s="30" t="s">
        <v>35</v>
      </c>
      <c r="E62" s="307">
        <f>'Crew Mix'!E42</f>
        <v>46204</v>
      </c>
      <c r="F62" s="31" t="s">
        <v>36</v>
      </c>
      <c r="G62" s="307">
        <f>'Crew Mix'!G42</f>
        <v>46568</v>
      </c>
      <c r="H62" s="32"/>
      <c r="I62" s="33"/>
      <c r="J62" s="428">
        <v>0.15</v>
      </c>
      <c r="K62" s="428">
        <v>0.23</v>
      </c>
      <c r="L62" s="428">
        <v>0.1</v>
      </c>
      <c r="M62" s="428"/>
    </row>
    <row r="63" spans="1:14" ht="32.25" customHeight="1" thickBot="1">
      <c r="A63" s="150" t="s">
        <v>191</v>
      </c>
      <c r="B63" s="144" t="str">
        <f>"Ratio"&amp;" "&amp;ROUND(((C68*0.75)+C67+(C66*1.1)+(C65*1.2))/SUM(C65:C68),2)</f>
        <v>Ratio 0.96</v>
      </c>
      <c r="C63" s="144" t="s">
        <v>54</v>
      </c>
      <c r="D63" s="145" t="s">
        <v>37</v>
      </c>
      <c r="E63" s="146" t="s">
        <v>38</v>
      </c>
      <c r="F63" s="146" t="s">
        <v>40</v>
      </c>
      <c r="G63" s="146" t="s">
        <v>39</v>
      </c>
      <c r="H63" s="146" t="s">
        <v>1273</v>
      </c>
      <c r="I63" s="147" t="s">
        <v>41</v>
      </c>
      <c r="J63" s="445">
        <f>$E$67*J62</f>
        <v>8.8859999999999992</v>
      </c>
      <c r="K63" s="445">
        <f>$E$67*K62</f>
        <v>13.625200000000001</v>
      </c>
      <c r="L63" s="445">
        <f>$E$67*L62</f>
        <v>5.9240000000000004</v>
      </c>
      <c r="M63" s="446" t="s">
        <v>1159</v>
      </c>
      <c r="N63" s="446" t="s">
        <v>1159</v>
      </c>
    </row>
    <row r="64" spans="1:14" ht="15" customHeight="1">
      <c r="A64" s="780" t="s">
        <v>42</v>
      </c>
      <c r="B64" s="781"/>
      <c r="C64" s="781"/>
      <c r="D64" s="781"/>
      <c r="E64" s="781"/>
      <c r="F64" s="781"/>
      <c r="G64" s="781"/>
      <c r="H64" s="781"/>
      <c r="I64" s="782"/>
      <c r="J64" s="426" t="s">
        <v>1185</v>
      </c>
      <c r="K64" s="425" t="s">
        <v>1249</v>
      </c>
      <c r="L64" s="425" t="s">
        <v>1200</v>
      </c>
      <c r="M64" s="425" t="s">
        <v>1201</v>
      </c>
      <c r="N64" s="425" t="s">
        <v>1202</v>
      </c>
    </row>
    <row r="65" spans="1:14">
      <c r="A65" s="34" t="s">
        <v>43</v>
      </c>
      <c r="B65" s="136">
        <f>IF(C65=0,0,C65/SUM($C$65:$C$68))</f>
        <v>0</v>
      </c>
      <c r="C65" s="137">
        <v>0</v>
      </c>
      <c r="D65" s="93">
        <f>'Labor Rates'!B65</f>
        <v>3076</v>
      </c>
      <c r="E65" s="95">
        <f>'Labor Rates'!C65</f>
        <v>70.84</v>
      </c>
      <c r="F65" s="95">
        <f>'Labor Rates'!D65</f>
        <v>35.93</v>
      </c>
      <c r="G65" s="95">
        <f>'Labor Rates'!E65</f>
        <v>12.48</v>
      </c>
      <c r="H65" s="221">
        <f>'Labor Rates'!F65</f>
        <v>16.5</v>
      </c>
      <c r="I65" s="143">
        <f>'Labor Rates'!G65</f>
        <v>135.75</v>
      </c>
      <c r="J65" s="426">
        <f>ROUND($K$65*B65,2)</f>
        <v>0</v>
      </c>
      <c r="K65" s="426">
        <f>L65-K70-K75</f>
        <v>0</v>
      </c>
      <c r="L65" s="426">
        <f>'SM Takeoff'!$F$93</f>
        <v>0</v>
      </c>
      <c r="M65" s="426">
        <f>ROUND(B65*'SM Takeoff'!$O$1,2)</f>
        <v>0</v>
      </c>
      <c r="N65" s="425">
        <f>ROUND(B65*'SM Takeoff'!$N$1,2)</f>
        <v>0</v>
      </c>
    </row>
    <row r="66" spans="1:14">
      <c r="A66" s="34" t="s">
        <v>44</v>
      </c>
      <c r="B66" s="136">
        <f>IF(C66=0,0,C66/SUM($C$65:$C$68))</f>
        <v>0.25</v>
      </c>
      <c r="C66" s="137">
        <v>1</v>
      </c>
      <c r="D66" s="93">
        <f>'Labor Rates'!B66</f>
        <v>3076</v>
      </c>
      <c r="E66" s="95">
        <f>'Labor Rates'!C66</f>
        <v>67.94</v>
      </c>
      <c r="F66" s="95">
        <f>'Labor Rates'!D66</f>
        <v>35.93</v>
      </c>
      <c r="G66" s="95">
        <f>'Labor Rates'!E66</f>
        <v>11.97</v>
      </c>
      <c r="H66" s="221">
        <f>'Labor Rates'!F66</f>
        <v>16.5</v>
      </c>
      <c r="I66" s="143">
        <f>'Labor Rates'!G66</f>
        <v>132.34</v>
      </c>
      <c r="J66" s="426">
        <f>ROUND($K$65*B66,2)</f>
        <v>0</v>
      </c>
      <c r="K66"/>
      <c r="L66"/>
      <c r="M66" s="426">
        <f>ROUND(B66*'SM Takeoff'!$O$1,2)</f>
        <v>0</v>
      </c>
      <c r="N66" s="425">
        <f>ROUND(B66*'SM Takeoff'!$N$1,2)</f>
        <v>0</v>
      </c>
    </row>
    <row r="67" spans="1:14">
      <c r="A67" s="34" t="s">
        <v>45</v>
      </c>
      <c r="B67" s="136">
        <f>IF(C67=0,0,C67/SUM($C$65:$C$68))</f>
        <v>0.5</v>
      </c>
      <c r="C67" s="137">
        <v>2</v>
      </c>
      <c r="D67" s="93">
        <f>'Labor Rates'!B67</f>
        <v>3076</v>
      </c>
      <c r="E67" s="95">
        <f>'Labor Rates'!C67</f>
        <v>59.24</v>
      </c>
      <c r="F67" s="95">
        <f>'Labor Rates'!D67</f>
        <v>35.93</v>
      </c>
      <c r="G67" s="95">
        <f>'Labor Rates'!E67</f>
        <v>10.44</v>
      </c>
      <c r="H67" s="221">
        <f>'Labor Rates'!F67</f>
        <v>16.5</v>
      </c>
      <c r="I67" s="143">
        <f>'Labor Rates'!G67</f>
        <v>122.11</v>
      </c>
      <c r="J67" s="426">
        <f>ROUND($K$65*B67,2)</f>
        <v>0</v>
      </c>
      <c r="K67"/>
      <c r="L67"/>
      <c r="M67" s="426">
        <f>ROUND(B67*'SM Takeoff'!$O$1,2)</f>
        <v>0</v>
      </c>
      <c r="N67" s="425">
        <f>ROUND(B67*'SM Takeoff'!$N$1,2)</f>
        <v>0</v>
      </c>
    </row>
    <row r="68" spans="1:14" ht="15" thickBot="1">
      <c r="A68" s="35" t="s">
        <v>797</v>
      </c>
      <c r="B68" s="139">
        <f>IF(C68=0,0,C68/SUM($C$65:$C$68))</f>
        <v>0.25</v>
      </c>
      <c r="C68" s="148">
        <v>1</v>
      </c>
      <c r="D68" s="304">
        <f>'Labor Rates'!B68</f>
        <v>3076</v>
      </c>
      <c r="E68" s="96">
        <f>'Labor Rates'!C68</f>
        <v>44.44</v>
      </c>
      <c r="F68" s="96">
        <f>'Labor Rates'!D68</f>
        <v>31.17</v>
      </c>
      <c r="G68" s="95">
        <f>'Labor Rates'!E68</f>
        <v>7.83</v>
      </c>
      <c r="H68" s="222">
        <f>'Labor Rates'!F68</f>
        <v>16.5</v>
      </c>
      <c r="I68" s="149">
        <f>'Labor Rates'!G68</f>
        <v>99.94</v>
      </c>
      <c r="J68" s="426">
        <f>ROUND($K$65*B68,2)</f>
        <v>0</v>
      </c>
      <c r="M68" s="426">
        <f>ROUND(B68*'SM Takeoff'!$O$1,2)</f>
        <v>0</v>
      </c>
      <c r="N68" s="425">
        <f>ROUND(B68*'SM Takeoff'!$N$1,2)</f>
        <v>0</v>
      </c>
    </row>
    <row r="69" spans="1:14">
      <c r="A69" s="774" t="s">
        <v>46</v>
      </c>
      <c r="B69" s="775"/>
      <c r="C69" s="775"/>
      <c r="D69" s="775"/>
      <c r="E69" s="775"/>
      <c r="F69" s="775"/>
      <c r="G69" s="775"/>
      <c r="H69" s="775"/>
      <c r="I69" s="776"/>
      <c r="J69" s="426"/>
      <c r="K69" s="425" t="s">
        <v>1249</v>
      </c>
      <c r="M69" s="447">
        <f>SUM(M65:M68)</f>
        <v>0</v>
      </c>
      <c r="N69" s="448">
        <f>SUM(N65:N68)</f>
        <v>0</v>
      </c>
    </row>
    <row r="70" spans="1:14">
      <c r="A70" s="34" t="s">
        <v>43</v>
      </c>
      <c r="B70" s="136">
        <f>IF(C70=0,0,C70/SUM($C$70:$C$73))</f>
        <v>0</v>
      </c>
      <c r="C70" s="137">
        <f>IF(C65=0,0,C65)</f>
        <v>0</v>
      </c>
      <c r="D70" s="93">
        <f>'Labor Rates'!B70</f>
        <v>3076</v>
      </c>
      <c r="E70" s="95">
        <f>'Labor Rates'!C70</f>
        <v>106.26</v>
      </c>
      <c r="F70" s="95">
        <f>'Labor Rates'!D70</f>
        <v>35.93</v>
      </c>
      <c r="G70" s="95">
        <f>'Labor Rates'!E70</f>
        <v>18.72</v>
      </c>
      <c r="H70" s="221">
        <f>'Labor Rates'!F70</f>
        <v>16.5</v>
      </c>
      <c r="I70" s="141">
        <f>'Labor Rates'!G70</f>
        <v>177.41</v>
      </c>
      <c r="J70" s="426">
        <f>ROUND(SUMIFS(Takeoff_ShopLabor,Takeoff_SM_FieldOvertime,"OT")*B70,2)</f>
        <v>0</v>
      </c>
      <c r="K70" s="426">
        <f>SUM(J70:J73)</f>
        <v>0</v>
      </c>
    </row>
    <row r="71" spans="1:14">
      <c r="A71" s="34" t="s">
        <v>44</v>
      </c>
      <c r="B71" s="136">
        <f>IF(C71=0,0,C71/SUM($C$70:$C$73))</f>
        <v>0.25</v>
      </c>
      <c r="C71" s="137">
        <f>IF(C66=0,0,C66)</f>
        <v>1</v>
      </c>
      <c r="D71" s="93">
        <f>'Labor Rates'!B71</f>
        <v>3076</v>
      </c>
      <c r="E71" s="95">
        <f>'Labor Rates'!C71</f>
        <v>101.91</v>
      </c>
      <c r="F71" s="95">
        <f>'Labor Rates'!D71</f>
        <v>35.93</v>
      </c>
      <c r="G71" s="95">
        <f>'Labor Rates'!E71</f>
        <v>17.96</v>
      </c>
      <c r="H71" s="221">
        <f>'Labor Rates'!F71</f>
        <v>16.5</v>
      </c>
      <c r="I71" s="141">
        <f>'Labor Rates'!G71</f>
        <v>172.3</v>
      </c>
      <c r="J71" s="426">
        <f>ROUND(SUMIFS(Takeoff_ShopLabor,Takeoff_SM_FieldOvertime,"OT")*B71,2)</f>
        <v>0</v>
      </c>
    </row>
    <row r="72" spans="1:14">
      <c r="A72" s="34" t="s">
        <v>45</v>
      </c>
      <c r="B72" s="136">
        <f>IF(C72=0,0,C72/SUM($C$70:$C$73))</f>
        <v>0.5</v>
      </c>
      <c r="C72" s="137">
        <f>IF(C67=0,0,C67)</f>
        <v>2</v>
      </c>
      <c r="D72" s="93">
        <f>'Labor Rates'!B72</f>
        <v>3076</v>
      </c>
      <c r="E72" s="95">
        <f>'Labor Rates'!C72</f>
        <v>88.86</v>
      </c>
      <c r="F72" s="95">
        <f>'Labor Rates'!D72</f>
        <v>35.93</v>
      </c>
      <c r="G72" s="95">
        <f>'Labor Rates'!E72</f>
        <v>15.66</v>
      </c>
      <c r="H72" s="221">
        <f>'Labor Rates'!F72</f>
        <v>16.5</v>
      </c>
      <c r="I72" s="141">
        <f>'Labor Rates'!G72</f>
        <v>156.94999999999999</v>
      </c>
      <c r="J72" s="426">
        <f>ROUND(SUMIFS(Takeoff_ShopLabor,Takeoff_SM_FieldOvertime,"OT")*B72,2)</f>
        <v>0</v>
      </c>
    </row>
    <row r="73" spans="1:14" ht="15" thickBot="1">
      <c r="A73" s="35" t="s">
        <v>797</v>
      </c>
      <c r="B73" s="136">
        <f>IF(C73=0,0,C73/SUM($C$70:$C$73))</f>
        <v>0.25</v>
      </c>
      <c r="C73" s="148">
        <f>IF(C68=0,0,C68)</f>
        <v>1</v>
      </c>
      <c r="D73" s="304">
        <f>'Labor Rates'!B73</f>
        <v>3076</v>
      </c>
      <c r="E73" s="96">
        <f>'Labor Rates'!C73</f>
        <v>66.66</v>
      </c>
      <c r="F73" s="96">
        <f>'Labor Rates'!D73</f>
        <v>31.17</v>
      </c>
      <c r="G73" s="95">
        <f>'Labor Rates'!E73</f>
        <v>11.75</v>
      </c>
      <c r="H73" s="222">
        <f>'Labor Rates'!F73</f>
        <v>16.5</v>
      </c>
      <c r="I73" s="142">
        <f>'Labor Rates'!G73</f>
        <v>126.08</v>
      </c>
      <c r="J73" s="426">
        <f>ROUND(SUMIFS(Takeoff_ShopLabor,Takeoff_SM_FieldOvertime,"OT")*B73,2)</f>
        <v>0</v>
      </c>
    </row>
    <row r="74" spans="1:14">
      <c r="A74" s="777" t="s">
        <v>47</v>
      </c>
      <c r="B74" s="778"/>
      <c r="C74" s="778"/>
      <c r="D74" s="778"/>
      <c r="E74" s="778"/>
      <c r="F74" s="778"/>
      <c r="G74" s="778"/>
      <c r="H74" s="778"/>
      <c r="I74" s="779"/>
      <c r="J74" s="426"/>
      <c r="K74" s="425" t="s">
        <v>1249</v>
      </c>
    </row>
    <row r="75" spans="1:14">
      <c r="A75" s="34" t="s">
        <v>43</v>
      </c>
      <c r="B75" s="136">
        <f>IF(C75=0,0,C75/SUM($C$75:$C$78))</f>
        <v>0</v>
      </c>
      <c r="C75" s="137">
        <f>IF(C70=0,0,C70)</f>
        <v>0</v>
      </c>
      <c r="D75" s="93">
        <f>'Labor Rates'!B75</f>
        <v>3076</v>
      </c>
      <c r="E75" s="95">
        <f>'Labor Rates'!C75</f>
        <v>141.68</v>
      </c>
      <c r="F75" s="95">
        <f>'Labor Rates'!D75</f>
        <v>35.93</v>
      </c>
      <c r="G75" s="95">
        <f>'Labor Rates'!E75</f>
        <v>24.96</v>
      </c>
      <c r="H75" s="221">
        <f>'Labor Rates'!F75</f>
        <v>16.5</v>
      </c>
      <c r="I75" s="140">
        <f>'Labor Rates'!G75</f>
        <v>219.07000000000002</v>
      </c>
      <c r="J75" s="426">
        <f>ROUND(SUMIFS(Takeoff_ShopLabor,Takeoff_SM_FieldOvertime,"DBLT")*B75,2)</f>
        <v>0</v>
      </c>
      <c r="K75" s="426">
        <f>SUM(J75:J78)</f>
        <v>0</v>
      </c>
    </row>
    <row r="76" spans="1:14">
      <c r="A76" s="34" t="s">
        <v>44</v>
      </c>
      <c r="B76" s="136">
        <f>IF(C76=0,0,C76/SUM($C$75:$C$78))</f>
        <v>0.25</v>
      </c>
      <c r="C76" s="137">
        <f>IF(C71=0,0,C71)</f>
        <v>1</v>
      </c>
      <c r="D76" s="93">
        <f>'Labor Rates'!B76</f>
        <v>3076</v>
      </c>
      <c r="E76" s="95">
        <f>'Labor Rates'!C76</f>
        <v>135.88</v>
      </c>
      <c r="F76" s="95">
        <f>'Labor Rates'!D76</f>
        <v>35.93</v>
      </c>
      <c r="G76" s="95">
        <f>'Labor Rates'!E76</f>
        <v>23.94</v>
      </c>
      <c r="H76" s="221">
        <f>'Labor Rates'!F76</f>
        <v>16.5</v>
      </c>
      <c r="I76" s="140">
        <f>'Labor Rates'!G76</f>
        <v>212.25</v>
      </c>
      <c r="J76" s="426">
        <f>ROUND(SUMIFS(Takeoff_ShopLabor,Takeoff_SM_FieldOvertime,"DBLT")*B76,2)</f>
        <v>0</v>
      </c>
    </row>
    <row r="77" spans="1:14">
      <c r="A77" s="34" t="s">
        <v>45</v>
      </c>
      <c r="B77" s="136">
        <f>IF(C77=0,0,C77/SUM($C$75:$C$78))</f>
        <v>0.5</v>
      </c>
      <c r="C77" s="137">
        <f>IF(C72=0,0,C72)</f>
        <v>2</v>
      </c>
      <c r="D77" s="93">
        <f>'Labor Rates'!B77</f>
        <v>3076</v>
      </c>
      <c r="E77" s="95">
        <f>'Labor Rates'!C77</f>
        <v>118.48</v>
      </c>
      <c r="F77" s="95">
        <f>'Labor Rates'!D77</f>
        <v>35.93</v>
      </c>
      <c r="G77" s="95">
        <f>'Labor Rates'!E77</f>
        <v>20.88</v>
      </c>
      <c r="H77" s="221">
        <f>'Labor Rates'!F77</f>
        <v>16.5</v>
      </c>
      <c r="I77" s="140">
        <f>'Labor Rates'!G77</f>
        <v>191.79</v>
      </c>
      <c r="J77" s="426">
        <f>ROUND(SUMIFS(Takeoff_ShopLabor,Takeoff_SM_FieldOvertime,"DBLT")*B77,2)</f>
        <v>0</v>
      </c>
    </row>
    <row r="78" spans="1:14" ht="15" thickBot="1">
      <c r="A78" s="35" t="s">
        <v>797</v>
      </c>
      <c r="B78" s="139">
        <f>IF(C78=0,0,C78/SUM($C$75:$C$78))</f>
        <v>0.25</v>
      </c>
      <c r="C78" s="148">
        <f>IF(C73=0,0,C73)</f>
        <v>1</v>
      </c>
      <c r="D78" s="304">
        <f>'Labor Rates'!B78</f>
        <v>3076</v>
      </c>
      <c r="E78" s="96">
        <f>'Labor Rates'!C78</f>
        <v>88.88</v>
      </c>
      <c r="F78" s="96">
        <f>'Labor Rates'!D78</f>
        <v>31.17</v>
      </c>
      <c r="G78" s="96">
        <f>'Labor Rates'!E78</f>
        <v>15.66</v>
      </c>
      <c r="H78" s="222">
        <f>'Labor Rates'!F78</f>
        <v>16.5</v>
      </c>
      <c r="I78" s="305">
        <f>'Labor Rates'!G78</f>
        <v>152.21</v>
      </c>
      <c r="J78" s="426">
        <f>ROUND(SUMIFS(Takeoff_ShopLabor,Takeoff_SM_FieldOvertime,"DBLT")*B78,2)</f>
        <v>0</v>
      </c>
    </row>
  </sheetData>
  <sheetProtection algorithmName="SHA-512" hashValue="/xj88QU6jyl9L/QPd2+rIvUxMWppkVrL7h/R4ZgetXTIxFaYR3c4xiNsdOnzrnHNDFKvvjupMt7R6KMFEFtzaA==" saltValue="7qXJOl24X46vUqPWUCXNEg==" spinCount="100000" sheet="1" objects="1" scenarios="1" formatCells="0" autoFilter="0"/>
  <mergeCells count="20">
    <mergeCell ref="A44:I44"/>
    <mergeCell ref="A49:I49"/>
    <mergeCell ref="A64:I64"/>
    <mergeCell ref="A69:I69"/>
    <mergeCell ref="A74:I74"/>
    <mergeCell ref="A61:I61"/>
    <mergeCell ref="A62:C62"/>
    <mergeCell ref="A54:I54"/>
    <mergeCell ref="A42:C42"/>
    <mergeCell ref="A1:I1"/>
    <mergeCell ref="A2:C2"/>
    <mergeCell ref="A21:I21"/>
    <mergeCell ref="A22:C22"/>
    <mergeCell ref="A41:I41"/>
    <mergeCell ref="A29:I29"/>
    <mergeCell ref="A34:I34"/>
    <mergeCell ref="A4:I4"/>
    <mergeCell ref="A9:I9"/>
    <mergeCell ref="A14:I14"/>
    <mergeCell ref="A24:I24"/>
  </mergeCells>
  <printOptions horizontalCentered="1"/>
  <pageMargins left="0.5" right="0.5" top="0.75" bottom="0.75" header="0.3" footer="0.3"/>
  <pageSetup fitToHeight="0" orientation="portrait" blackAndWhite="1" r:id="rId1"/>
  <headerFooter scaleWithDoc="0">
    <oddHeader>&amp;C&amp;A
FOR INTERNAL USE ONLY</oddHeader>
    <oddFooter>Page &amp;P of &amp;N</oddFooter>
  </headerFooter>
  <rowBreaks count="1" manualBreakCount="1">
    <brk id="40" max="8" man="1"/>
  </rowBreaks>
  <ignoredErrors>
    <ignoredError sqref="C35:C38 C30:C33 C15:C18 C10:C13 C50:C53 C55:C58 C70:C73 C75:C78" unlocked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F1D67-A928-4475-9FF3-9AE801C77547}">
  <sheetPr codeName="Sheet10">
    <pageSetUpPr fitToPage="1"/>
  </sheetPr>
  <dimension ref="A1:N79"/>
  <sheetViews>
    <sheetView topLeftCell="A17" workbookViewId="0">
      <selection activeCell="C78" sqref="C78"/>
    </sheetView>
  </sheetViews>
  <sheetFormatPr defaultRowHeight="14.5"/>
  <cols>
    <col min="1" max="1" width="25.7265625" customWidth="1"/>
    <col min="2" max="2" width="12" customWidth="1"/>
    <col min="6" max="6" width="9.1796875" customWidth="1"/>
    <col min="9" max="9" width="14.81640625" customWidth="1"/>
    <col min="14" max="14" width="12.26953125" bestFit="1" customWidth="1"/>
  </cols>
  <sheetData>
    <row r="1" spans="1:13" ht="15" thickBot="1">
      <c r="A1" s="773" t="s">
        <v>1250</v>
      </c>
      <c r="B1" s="773"/>
      <c r="C1" s="773"/>
      <c r="D1" s="773"/>
      <c r="E1" s="773"/>
      <c r="F1" s="773"/>
      <c r="G1" s="773"/>
    </row>
    <row r="2" spans="1:13">
      <c r="A2" s="518" t="s">
        <v>34</v>
      </c>
      <c r="B2" s="30" t="s">
        <v>35</v>
      </c>
      <c r="C2" s="306">
        <v>46113</v>
      </c>
      <c r="D2" s="31" t="s">
        <v>36</v>
      </c>
      <c r="E2" s="306">
        <v>46326</v>
      </c>
      <c r="F2" s="32"/>
      <c r="G2" s="33"/>
    </row>
    <row r="3" spans="1:13" ht="32" thickBot="1">
      <c r="A3" s="150" t="s">
        <v>191</v>
      </c>
      <c r="B3" s="145" t="s">
        <v>37</v>
      </c>
      <c r="C3" s="146" t="s">
        <v>38</v>
      </c>
      <c r="D3" s="146" t="s">
        <v>40</v>
      </c>
      <c r="E3" s="146" t="s">
        <v>39</v>
      </c>
      <c r="F3" s="146" t="s">
        <v>1273</v>
      </c>
      <c r="G3" s="147" t="s">
        <v>41</v>
      </c>
      <c r="I3" s="783" t="s">
        <v>1226</v>
      </c>
      <c r="J3" s="783"/>
      <c r="K3" s="783"/>
      <c r="L3" s="783"/>
      <c r="M3" s="783"/>
    </row>
    <row r="4" spans="1:13">
      <c r="A4" s="780" t="s">
        <v>42</v>
      </c>
      <c r="B4" s="781"/>
      <c r="C4" s="781"/>
      <c r="D4" s="781"/>
      <c r="E4" s="781"/>
      <c r="F4" s="781"/>
      <c r="G4" s="782"/>
      <c r="I4" s="40" t="s">
        <v>1133</v>
      </c>
      <c r="J4" s="134">
        <v>0</v>
      </c>
      <c r="L4" t="s">
        <v>855</v>
      </c>
      <c r="M4" s="468">
        <v>0</v>
      </c>
    </row>
    <row r="5" spans="1:13">
      <c r="A5" s="34" t="s">
        <v>43</v>
      </c>
      <c r="B5" s="93">
        <v>5183</v>
      </c>
      <c r="C5" s="95">
        <v>83.19</v>
      </c>
      <c r="D5" s="95">
        <v>38.75</v>
      </c>
      <c r="E5" s="95">
        <f>ROUND($C5*$M$7,2)</f>
        <v>15.3</v>
      </c>
      <c r="F5" s="221">
        <f>ROUND((C5+D5+E5)*$J$12,2)+$M$4</f>
        <v>0</v>
      </c>
      <c r="G5" s="143">
        <f>SUM(C5:F5)</f>
        <v>137.24</v>
      </c>
      <c r="I5" s="40" t="s">
        <v>190</v>
      </c>
      <c r="J5" s="134">
        <v>0</v>
      </c>
      <c r="L5" t="s">
        <v>1254</v>
      </c>
    </row>
    <row r="6" spans="1:13">
      <c r="A6" s="34" t="s">
        <v>44</v>
      </c>
      <c r="B6" s="93">
        <v>5183</v>
      </c>
      <c r="C6" s="95">
        <v>73.03</v>
      </c>
      <c r="D6" s="95">
        <v>38.75</v>
      </c>
      <c r="E6" s="95">
        <f t="shared" ref="E6:E8" si="0">ROUND($C6*$M$7,2)</f>
        <v>13.43</v>
      </c>
      <c r="F6" s="221">
        <f>ROUND((C6+D6+E6)*$J$12,2)+$M$4</f>
        <v>0</v>
      </c>
      <c r="G6" s="143">
        <f>SUM(C6:F6)</f>
        <v>125.21000000000001</v>
      </c>
      <c r="I6" s="40" t="s">
        <v>48</v>
      </c>
      <c r="J6" s="134">
        <v>0</v>
      </c>
    </row>
    <row r="7" spans="1:13">
      <c r="A7" s="34" t="s">
        <v>45</v>
      </c>
      <c r="B7" s="93">
        <v>5183</v>
      </c>
      <c r="C7" s="95">
        <v>62.87</v>
      </c>
      <c r="D7" s="95">
        <v>38.75</v>
      </c>
      <c r="E7" s="95">
        <f t="shared" si="0"/>
        <v>11.56</v>
      </c>
      <c r="F7" s="221">
        <f>ROUND((C7+D7+E7)*$J$12,2)+$M$4</f>
        <v>0</v>
      </c>
      <c r="G7" s="143">
        <f>SUM(C7:F7)</f>
        <v>113.18</v>
      </c>
      <c r="I7" s="40" t="s">
        <v>49</v>
      </c>
      <c r="J7" s="135">
        <v>0</v>
      </c>
      <c r="L7" s="40" t="s">
        <v>1036</v>
      </c>
      <c r="M7" s="268">
        <v>0.18395</v>
      </c>
    </row>
    <row r="8" spans="1:13" ht="15" thickBot="1">
      <c r="A8" s="35" t="s">
        <v>797</v>
      </c>
      <c r="B8" s="304">
        <v>5183</v>
      </c>
      <c r="C8" s="96">
        <v>47.15</v>
      </c>
      <c r="D8" s="96">
        <v>34.17</v>
      </c>
      <c r="E8" s="95">
        <f t="shared" si="0"/>
        <v>8.67</v>
      </c>
      <c r="F8" s="222">
        <f>ROUND((C8+D8+E8)*$J$12,2)+$M$4</f>
        <v>0</v>
      </c>
      <c r="G8" s="149">
        <f>SUM(C8:F8)</f>
        <v>89.99</v>
      </c>
      <c r="I8" s="40" t="s">
        <v>51</v>
      </c>
      <c r="J8" s="134">
        <v>0</v>
      </c>
    </row>
    <row r="9" spans="1:13">
      <c r="A9" s="774" t="s">
        <v>46</v>
      </c>
      <c r="B9" s="775"/>
      <c r="C9" s="775"/>
      <c r="D9" s="775"/>
      <c r="E9" s="775"/>
      <c r="F9" s="775"/>
      <c r="G9" s="776"/>
      <c r="I9" s="40" t="s">
        <v>52</v>
      </c>
      <c r="J9" s="134">
        <v>0</v>
      </c>
    </row>
    <row r="10" spans="1:13">
      <c r="A10" s="34" t="s">
        <v>43</v>
      </c>
      <c r="B10" s="93">
        <v>5183</v>
      </c>
      <c r="C10" s="95">
        <f>ROUND(C5*1.5,2)</f>
        <v>124.79</v>
      </c>
      <c r="D10" s="95">
        <f>D$5</f>
        <v>38.75</v>
      </c>
      <c r="E10" s="95">
        <f t="shared" ref="E10:E13" si="1">ROUND($C10*$M$7,2)</f>
        <v>22.96</v>
      </c>
      <c r="F10" s="221">
        <f>ROUND((C10+D10+E10)*$J$12,2)+$M$4</f>
        <v>0</v>
      </c>
      <c r="G10" s="141">
        <f>SUM(C10:F10)</f>
        <v>186.50000000000003</v>
      </c>
      <c r="I10" s="40" t="s">
        <v>53</v>
      </c>
      <c r="J10" s="134">
        <v>0</v>
      </c>
    </row>
    <row r="11" spans="1:13" ht="15" thickBot="1">
      <c r="A11" s="34" t="s">
        <v>44</v>
      </c>
      <c r="B11" s="93">
        <v>5183</v>
      </c>
      <c r="C11" s="95">
        <f t="shared" ref="C11:C13" si="2">ROUND(C6*1.5,2)</f>
        <v>109.55</v>
      </c>
      <c r="D11" s="95">
        <f>D$6</f>
        <v>38.75</v>
      </c>
      <c r="E11" s="95">
        <f t="shared" si="1"/>
        <v>20.149999999999999</v>
      </c>
      <c r="F11" s="221">
        <f>ROUND((C11+D11+E11)*$J$12,2)+$M$4</f>
        <v>0</v>
      </c>
      <c r="G11" s="141">
        <f>SUM(C11:F11)</f>
        <v>168.45000000000002</v>
      </c>
      <c r="I11" s="40" t="s">
        <v>1255</v>
      </c>
      <c r="J11" s="134">
        <v>0</v>
      </c>
    </row>
    <row r="12" spans="1:13" ht="15" thickBot="1">
      <c r="A12" s="34" t="s">
        <v>45</v>
      </c>
      <c r="B12" s="93">
        <v>5183</v>
      </c>
      <c r="C12" s="95">
        <f t="shared" si="2"/>
        <v>94.31</v>
      </c>
      <c r="D12" s="95">
        <f>D$7</f>
        <v>38.75</v>
      </c>
      <c r="E12" s="95">
        <f t="shared" si="1"/>
        <v>17.350000000000001</v>
      </c>
      <c r="F12" s="221">
        <f>ROUND((C12+D12+E12)*$J$12,2)+$M$4</f>
        <v>0</v>
      </c>
      <c r="G12" s="141">
        <f>SUM(C12:F12)</f>
        <v>150.41</v>
      </c>
      <c r="I12" s="133" t="s">
        <v>12</v>
      </c>
      <c r="J12" s="57">
        <f>SUM(J4:J11)</f>
        <v>0</v>
      </c>
    </row>
    <row r="13" spans="1:13" ht="15" thickBot="1">
      <c r="A13" s="35" t="s">
        <v>797</v>
      </c>
      <c r="B13" s="304">
        <v>5183</v>
      </c>
      <c r="C13" s="95">
        <f t="shared" si="2"/>
        <v>70.73</v>
      </c>
      <c r="D13" s="96">
        <f>D$8</f>
        <v>34.17</v>
      </c>
      <c r="E13" s="95">
        <f t="shared" si="1"/>
        <v>13.01</v>
      </c>
      <c r="F13" s="222">
        <f>ROUND((C13+D13+E13)*$J$12,2)+$M$4</f>
        <v>0</v>
      </c>
      <c r="G13" s="142">
        <f>SUM(C13:F13)</f>
        <v>117.91000000000001</v>
      </c>
    </row>
    <row r="14" spans="1:13">
      <c r="A14" s="777" t="s">
        <v>47</v>
      </c>
      <c r="B14" s="778"/>
      <c r="C14" s="778"/>
      <c r="D14" s="778"/>
      <c r="E14" s="778"/>
      <c r="F14" s="778"/>
      <c r="G14" s="779"/>
    </row>
    <row r="15" spans="1:13">
      <c r="A15" s="34" t="s">
        <v>43</v>
      </c>
      <c r="B15" s="93">
        <v>5183</v>
      </c>
      <c r="C15" s="95">
        <f>ROUND(C5*2,2)</f>
        <v>166.38</v>
      </c>
      <c r="D15" s="95">
        <f>D$5</f>
        <v>38.75</v>
      </c>
      <c r="E15" s="95">
        <f>ROUND($C15*$M$7,2)</f>
        <v>30.61</v>
      </c>
      <c r="F15" s="221">
        <f>ROUND((C15+D15+E15)*$J$12,2)+$M$4</f>
        <v>0</v>
      </c>
      <c r="G15" s="140">
        <f>SUM(C15:F15)</f>
        <v>235.74</v>
      </c>
    </row>
    <row r="16" spans="1:13">
      <c r="A16" s="34" t="s">
        <v>44</v>
      </c>
      <c r="B16" s="93">
        <v>5183</v>
      </c>
      <c r="C16" s="95">
        <f t="shared" ref="C16:C18" si="3">ROUND(C6*2,2)</f>
        <v>146.06</v>
      </c>
      <c r="D16" s="95">
        <f>D$6</f>
        <v>38.75</v>
      </c>
      <c r="E16" s="95">
        <f t="shared" ref="E16:E18" si="4">ROUND($C16*$M$7,2)</f>
        <v>26.87</v>
      </c>
      <c r="F16" s="221">
        <f>ROUND((C16+D16+E16)*$J$12,2)+$M$4</f>
        <v>0</v>
      </c>
      <c r="G16" s="140">
        <f>SUM(C16:F16)</f>
        <v>211.68</v>
      </c>
    </row>
    <row r="17" spans="1:13">
      <c r="A17" s="34" t="s">
        <v>45</v>
      </c>
      <c r="B17" s="93">
        <v>5183</v>
      </c>
      <c r="C17" s="95">
        <f t="shared" si="3"/>
        <v>125.74</v>
      </c>
      <c r="D17" s="95">
        <f>D$7</f>
        <v>38.75</v>
      </c>
      <c r="E17" s="95">
        <f t="shared" si="4"/>
        <v>23.13</v>
      </c>
      <c r="F17" s="221">
        <f>ROUND((C17+D17+E17)*$J$12,2)+$M$4</f>
        <v>0</v>
      </c>
      <c r="G17" s="140">
        <f>SUM(C17:F17)</f>
        <v>187.62</v>
      </c>
    </row>
    <row r="18" spans="1:13" ht="15" thickBot="1">
      <c r="A18" s="35" t="s">
        <v>797</v>
      </c>
      <c r="B18" s="304">
        <v>5183</v>
      </c>
      <c r="C18" s="96">
        <f t="shared" si="3"/>
        <v>94.3</v>
      </c>
      <c r="D18" s="96">
        <f>D$8</f>
        <v>34.17</v>
      </c>
      <c r="E18" s="96">
        <f t="shared" si="4"/>
        <v>17.350000000000001</v>
      </c>
      <c r="F18" s="222">
        <f>ROUND((C18+D18+E18)*$J$12,2)+$M$4</f>
        <v>0</v>
      </c>
      <c r="G18" s="305">
        <f>SUM(C18:F18)</f>
        <v>145.82</v>
      </c>
    </row>
    <row r="21" spans="1:13" ht="15" thickBot="1">
      <c r="A21" s="773" t="s">
        <v>1251</v>
      </c>
      <c r="B21" s="773"/>
      <c r="C21" s="773"/>
      <c r="D21" s="773"/>
      <c r="E21" s="773"/>
      <c r="F21" s="773"/>
      <c r="G21" s="773"/>
    </row>
    <row r="22" spans="1:13">
      <c r="A22" s="518" t="s">
        <v>34</v>
      </c>
      <c r="B22" s="30" t="s">
        <v>35</v>
      </c>
      <c r="C22" s="307">
        <f>C2</f>
        <v>46113</v>
      </c>
      <c r="D22" s="31" t="s">
        <v>36</v>
      </c>
      <c r="E22" s="307">
        <f>E2</f>
        <v>46326</v>
      </c>
      <c r="F22" s="32"/>
      <c r="G22" s="33"/>
    </row>
    <row r="23" spans="1:13" ht="32" thickBot="1">
      <c r="A23" s="150" t="s">
        <v>191</v>
      </c>
      <c r="B23" s="145" t="s">
        <v>37</v>
      </c>
      <c r="C23" s="146" t="s">
        <v>38</v>
      </c>
      <c r="D23" s="146" t="s">
        <v>40</v>
      </c>
      <c r="E23" s="146" t="s">
        <v>39</v>
      </c>
      <c r="F23" s="146" t="s">
        <v>1273</v>
      </c>
      <c r="G23" s="147" t="s">
        <v>41</v>
      </c>
      <c r="I23" s="783" t="s">
        <v>1227</v>
      </c>
      <c r="J23" s="783"/>
      <c r="K23" s="783"/>
      <c r="L23" s="783"/>
      <c r="M23" s="783"/>
    </row>
    <row r="24" spans="1:13">
      <c r="A24" s="780" t="s">
        <v>42</v>
      </c>
      <c r="B24" s="781"/>
      <c r="C24" s="781"/>
      <c r="D24" s="781"/>
      <c r="E24" s="781"/>
      <c r="F24" s="781"/>
      <c r="G24" s="782"/>
      <c r="I24" s="40" t="s">
        <v>1133</v>
      </c>
      <c r="J24" s="134">
        <f t="shared" ref="J24:J31" si="5">J4</f>
        <v>0</v>
      </c>
      <c r="L24" t="s">
        <v>855</v>
      </c>
      <c r="M24" s="468">
        <f>$M$4</f>
        <v>0</v>
      </c>
    </row>
    <row r="25" spans="1:13">
      <c r="A25" s="34" t="s">
        <v>43</v>
      </c>
      <c r="B25" s="93">
        <f t="shared" ref="B25:D28" si="6">B5</f>
        <v>5183</v>
      </c>
      <c r="C25" s="95">
        <f t="shared" si="6"/>
        <v>83.19</v>
      </c>
      <c r="D25" s="95">
        <f t="shared" si="6"/>
        <v>38.75</v>
      </c>
      <c r="E25" s="95">
        <f>ROUND($C25*$M$27,2)</f>
        <v>15.3</v>
      </c>
      <c r="F25" s="221">
        <f>ROUND((C25+D25+E25)*$J$32,2)+$M$24</f>
        <v>0</v>
      </c>
      <c r="G25" s="143">
        <f>SUM(C25:F25)</f>
        <v>137.24</v>
      </c>
      <c r="I25" s="40" t="s">
        <v>190</v>
      </c>
      <c r="J25" s="134">
        <f t="shared" si="5"/>
        <v>0</v>
      </c>
      <c r="L25" t="s">
        <v>1254</v>
      </c>
    </row>
    <row r="26" spans="1:13">
      <c r="A26" s="34" t="s">
        <v>44</v>
      </c>
      <c r="B26" s="93">
        <f t="shared" si="6"/>
        <v>5183</v>
      </c>
      <c r="C26" s="95">
        <f t="shared" si="6"/>
        <v>73.03</v>
      </c>
      <c r="D26" s="95">
        <f t="shared" si="6"/>
        <v>38.75</v>
      </c>
      <c r="E26" s="95">
        <f t="shared" ref="E26:E28" si="7">ROUND($C26*$M$27,2)</f>
        <v>13.43</v>
      </c>
      <c r="F26" s="221">
        <f>ROUND((C26+D26+E26)*$J$32,2)+$M$24</f>
        <v>0</v>
      </c>
      <c r="G26" s="143">
        <f>SUM(C26:F26)</f>
        <v>125.21000000000001</v>
      </c>
      <c r="I26" s="40" t="s">
        <v>48</v>
      </c>
      <c r="J26" s="134">
        <f t="shared" si="5"/>
        <v>0</v>
      </c>
    </row>
    <row r="27" spans="1:13">
      <c r="A27" s="34" t="s">
        <v>45</v>
      </c>
      <c r="B27" s="93">
        <f t="shared" si="6"/>
        <v>5183</v>
      </c>
      <c r="C27" s="95">
        <f t="shared" si="6"/>
        <v>62.87</v>
      </c>
      <c r="D27" s="95">
        <f t="shared" si="6"/>
        <v>38.75</v>
      </c>
      <c r="E27" s="95">
        <f t="shared" si="7"/>
        <v>11.56</v>
      </c>
      <c r="F27" s="221">
        <f>ROUND((C27+D27+E27)*$J$32,2)+$M$24</f>
        <v>0</v>
      </c>
      <c r="G27" s="143">
        <f>SUM(C27:F27)</f>
        <v>113.18</v>
      </c>
      <c r="I27" s="40" t="s">
        <v>49</v>
      </c>
      <c r="J27" s="135">
        <f t="shared" si="5"/>
        <v>0</v>
      </c>
      <c r="L27" s="40" t="s">
        <v>1036</v>
      </c>
      <c r="M27" s="268">
        <f>M7</f>
        <v>0.18395</v>
      </c>
    </row>
    <row r="28" spans="1:13" ht="15" thickBot="1">
      <c r="A28" s="35" t="s">
        <v>797</v>
      </c>
      <c r="B28" s="304">
        <f t="shared" si="6"/>
        <v>5183</v>
      </c>
      <c r="C28" s="96">
        <f t="shared" si="6"/>
        <v>47.15</v>
      </c>
      <c r="D28" s="96">
        <f t="shared" si="6"/>
        <v>34.17</v>
      </c>
      <c r="E28" s="95">
        <f t="shared" si="7"/>
        <v>8.67</v>
      </c>
      <c r="F28" s="221">
        <f>ROUND((C28+D28+E28)*$J$32,2)+$M$24</f>
        <v>0</v>
      </c>
      <c r="G28" s="149">
        <f>SUM(C28:F28)</f>
        <v>89.99</v>
      </c>
      <c r="I28" s="40" t="s">
        <v>51</v>
      </c>
      <c r="J28" s="134">
        <f t="shared" si="5"/>
        <v>0</v>
      </c>
    </row>
    <row r="29" spans="1:13">
      <c r="A29" s="774" t="s">
        <v>46</v>
      </c>
      <c r="B29" s="775"/>
      <c r="C29" s="775"/>
      <c r="D29" s="775"/>
      <c r="E29" s="775"/>
      <c r="F29" s="775"/>
      <c r="G29" s="776"/>
      <c r="I29" s="40" t="s">
        <v>52</v>
      </c>
      <c r="J29" s="134">
        <f t="shared" si="5"/>
        <v>0</v>
      </c>
    </row>
    <row r="30" spans="1:13">
      <c r="A30" s="34" t="s">
        <v>43</v>
      </c>
      <c r="B30" s="93">
        <f t="shared" ref="B30:D33" si="8">B10</f>
        <v>5183</v>
      </c>
      <c r="C30" s="95">
        <f t="shared" si="8"/>
        <v>124.79</v>
      </c>
      <c r="D30" s="95">
        <f t="shared" si="8"/>
        <v>38.75</v>
      </c>
      <c r="E30" s="95">
        <f>ROUND($C30*$M$27,2)</f>
        <v>22.96</v>
      </c>
      <c r="F30" s="221">
        <f>ROUND((C30+D30+E30)*$J$32,2)+$M$24</f>
        <v>0</v>
      </c>
      <c r="G30" s="141">
        <f>SUM(C30:F30)</f>
        <v>186.50000000000003</v>
      </c>
      <c r="I30" s="40" t="s">
        <v>53</v>
      </c>
      <c r="J30" s="134">
        <f t="shared" si="5"/>
        <v>0</v>
      </c>
    </row>
    <row r="31" spans="1:13" ht="15" thickBot="1">
      <c r="A31" s="34" t="s">
        <v>44</v>
      </c>
      <c r="B31" s="93">
        <f t="shared" si="8"/>
        <v>5183</v>
      </c>
      <c r="C31" s="95">
        <f t="shared" si="8"/>
        <v>109.55</v>
      </c>
      <c r="D31" s="95">
        <f t="shared" si="8"/>
        <v>38.75</v>
      </c>
      <c r="E31" s="95">
        <f t="shared" ref="E31:E33" si="9">ROUND($C31*$M$27,2)</f>
        <v>20.149999999999999</v>
      </c>
      <c r="F31" s="221">
        <f>ROUND((C31+D31+E31)*$J$32,2)+$M$24</f>
        <v>0</v>
      </c>
      <c r="G31" s="141">
        <f>SUM(C31:F31)</f>
        <v>168.45000000000002</v>
      </c>
      <c r="I31" s="40" t="s">
        <v>1255</v>
      </c>
      <c r="J31" s="134">
        <f t="shared" si="5"/>
        <v>0</v>
      </c>
    </row>
    <row r="32" spans="1:13" ht="15" thickBot="1">
      <c r="A32" s="34" t="s">
        <v>45</v>
      </c>
      <c r="B32" s="93">
        <f t="shared" si="8"/>
        <v>5183</v>
      </c>
      <c r="C32" s="95">
        <f t="shared" si="8"/>
        <v>94.31</v>
      </c>
      <c r="D32" s="95">
        <f t="shared" si="8"/>
        <v>38.75</v>
      </c>
      <c r="E32" s="95">
        <f t="shared" si="9"/>
        <v>17.350000000000001</v>
      </c>
      <c r="F32" s="221">
        <f>ROUND((C32+D32+E32)*$J$32,2)+$M$24</f>
        <v>0</v>
      </c>
      <c r="G32" s="141">
        <f>SUM(C32:F32)</f>
        <v>150.41</v>
      </c>
      <c r="I32" s="133" t="s">
        <v>12</v>
      </c>
      <c r="J32" s="57">
        <f>SUM(J24:J31)</f>
        <v>0</v>
      </c>
    </row>
    <row r="33" spans="1:13" ht="15" thickBot="1">
      <c r="A33" s="35" t="s">
        <v>797</v>
      </c>
      <c r="B33" s="304">
        <f t="shared" si="8"/>
        <v>5183</v>
      </c>
      <c r="C33" s="96">
        <f t="shared" si="8"/>
        <v>70.73</v>
      </c>
      <c r="D33" s="96">
        <f t="shared" si="8"/>
        <v>34.17</v>
      </c>
      <c r="E33" s="95">
        <f t="shared" si="9"/>
        <v>13.01</v>
      </c>
      <c r="F33" s="221">
        <f>ROUND((C33+D33+E33)*$J$32,2)+$M$24</f>
        <v>0</v>
      </c>
      <c r="G33" s="142">
        <f>SUM(C33:F33)</f>
        <v>117.91000000000001</v>
      </c>
    </row>
    <row r="34" spans="1:13">
      <c r="A34" s="777" t="s">
        <v>47</v>
      </c>
      <c r="B34" s="778"/>
      <c r="C34" s="778"/>
      <c r="D34" s="778"/>
      <c r="E34" s="778"/>
      <c r="F34" s="778"/>
      <c r="G34" s="779"/>
    </row>
    <row r="35" spans="1:13">
      <c r="A35" s="34" t="s">
        <v>43</v>
      </c>
      <c r="B35" s="93">
        <f t="shared" ref="B35:D38" si="10">B15</f>
        <v>5183</v>
      </c>
      <c r="C35" s="95">
        <f t="shared" si="10"/>
        <v>166.38</v>
      </c>
      <c r="D35" s="95">
        <f t="shared" si="10"/>
        <v>38.75</v>
      </c>
      <c r="E35" s="95">
        <f>ROUND($C35*$M$27,2)</f>
        <v>30.61</v>
      </c>
      <c r="F35" s="221">
        <f>ROUND((C35+D35+E35)*$J$32,2)+$M$24</f>
        <v>0</v>
      </c>
      <c r="G35" s="140">
        <f>SUM(C35:F35)</f>
        <v>235.74</v>
      </c>
    </row>
    <row r="36" spans="1:13">
      <c r="A36" s="34" t="s">
        <v>44</v>
      </c>
      <c r="B36" s="93">
        <f t="shared" si="10"/>
        <v>5183</v>
      </c>
      <c r="C36" s="95">
        <f t="shared" si="10"/>
        <v>146.06</v>
      </c>
      <c r="D36" s="95">
        <f t="shared" si="10"/>
        <v>38.75</v>
      </c>
      <c r="E36" s="95">
        <f t="shared" ref="E36:E38" si="11">ROUND($C36*$M$27,2)</f>
        <v>26.87</v>
      </c>
      <c r="F36" s="221">
        <f>ROUND((C36+D36+E36)*$J$32,2)+$M$24</f>
        <v>0</v>
      </c>
      <c r="G36" s="140">
        <f>SUM(C36:F36)</f>
        <v>211.68</v>
      </c>
    </row>
    <row r="37" spans="1:13">
      <c r="A37" s="34" t="s">
        <v>45</v>
      </c>
      <c r="B37" s="93">
        <f t="shared" si="10"/>
        <v>5183</v>
      </c>
      <c r="C37" s="95">
        <f t="shared" si="10"/>
        <v>125.74</v>
      </c>
      <c r="D37" s="95">
        <f t="shared" si="10"/>
        <v>38.75</v>
      </c>
      <c r="E37" s="95">
        <f t="shared" si="11"/>
        <v>23.13</v>
      </c>
      <c r="F37" s="221">
        <f>ROUND((C37+D37+E37)*$J$32,2)+$M$24</f>
        <v>0</v>
      </c>
      <c r="G37" s="140">
        <f>SUM(C37:F37)</f>
        <v>187.62</v>
      </c>
    </row>
    <row r="38" spans="1:13" ht="15" thickBot="1">
      <c r="A38" s="35" t="s">
        <v>797</v>
      </c>
      <c r="B38" s="304">
        <f t="shared" si="10"/>
        <v>5183</v>
      </c>
      <c r="C38" s="96">
        <f t="shared" si="10"/>
        <v>94.3</v>
      </c>
      <c r="D38" s="96">
        <f t="shared" si="10"/>
        <v>34.17</v>
      </c>
      <c r="E38" s="96">
        <f t="shared" si="11"/>
        <v>17.350000000000001</v>
      </c>
      <c r="F38" s="222">
        <f>ROUND((C38+D38+E38)*$J$32,2)+$M$24</f>
        <v>0</v>
      </c>
      <c r="G38" s="305">
        <f>SUM(C38:F38)</f>
        <v>145.82</v>
      </c>
    </row>
    <row r="39" spans="1:13">
      <c r="B39" s="161"/>
      <c r="C39" s="161"/>
      <c r="D39" s="161"/>
      <c r="E39" s="161"/>
      <c r="F39" s="161"/>
    </row>
    <row r="41" spans="1:13" ht="15" thickBot="1">
      <c r="A41" s="773" t="s">
        <v>1252</v>
      </c>
      <c r="B41" s="773"/>
      <c r="C41" s="773"/>
      <c r="D41" s="773"/>
      <c r="E41" s="773"/>
      <c r="F41" s="773"/>
      <c r="G41" s="773"/>
    </row>
    <row r="42" spans="1:13">
      <c r="A42" s="518" t="s">
        <v>34</v>
      </c>
      <c r="B42" s="30" t="s">
        <v>35</v>
      </c>
      <c r="C42" s="306">
        <v>46204</v>
      </c>
      <c r="D42" s="31" t="s">
        <v>36</v>
      </c>
      <c r="E42" s="306">
        <v>46568</v>
      </c>
      <c r="F42" s="32"/>
      <c r="G42" s="33"/>
    </row>
    <row r="43" spans="1:13" ht="32" thickBot="1">
      <c r="A43" s="150" t="s">
        <v>191</v>
      </c>
      <c r="B43" s="145" t="s">
        <v>37</v>
      </c>
      <c r="C43" s="146" t="s">
        <v>38</v>
      </c>
      <c r="D43" s="146" t="s">
        <v>40</v>
      </c>
      <c r="E43" s="146" t="s">
        <v>39</v>
      </c>
      <c r="F43" s="146" t="s">
        <v>1273</v>
      </c>
      <c r="G43" s="147" t="s">
        <v>41</v>
      </c>
      <c r="I43" s="783" t="s">
        <v>1225</v>
      </c>
      <c r="J43" s="783"/>
      <c r="K43" s="783"/>
      <c r="L43" s="783"/>
      <c r="M43" s="783"/>
    </row>
    <row r="44" spans="1:13">
      <c r="A44" s="780" t="s">
        <v>42</v>
      </c>
      <c r="B44" s="781"/>
      <c r="C44" s="781"/>
      <c r="D44" s="781"/>
      <c r="E44" s="781"/>
      <c r="F44" s="781"/>
      <c r="G44" s="782"/>
      <c r="I44" s="40" t="s">
        <v>1133</v>
      </c>
      <c r="J44" s="134">
        <v>0</v>
      </c>
      <c r="L44" t="s">
        <v>855</v>
      </c>
      <c r="M44" s="468">
        <f>$M$4</f>
        <v>0</v>
      </c>
    </row>
    <row r="45" spans="1:13">
      <c r="A45" s="34" t="s">
        <v>43</v>
      </c>
      <c r="B45" s="93">
        <v>5537</v>
      </c>
      <c r="C45" s="95">
        <v>70.84</v>
      </c>
      <c r="D45" s="95">
        <v>35.93</v>
      </c>
      <c r="E45" s="95">
        <f>ROUND($C45*$M$47,2)</f>
        <v>12.48</v>
      </c>
      <c r="F45" s="469">
        <f>ROUND((C45+D45+E45)*$J$52,2)+$M$44</f>
        <v>0</v>
      </c>
      <c r="G45" s="143">
        <f>SUM(C45:F45)</f>
        <v>119.25000000000001</v>
      </c>
      <c r="I45" s="40" t="s">
        <v>190</v>
      </c>
      <c r="J45" s="134">
        <v>0</v>
      </c>
      <c r="L45" t="s">
        <v>1254</v>
      </c>
    </row>
    <row r="46" spans="1:13">
      <c r="A46" s="34" t="s">
        <v>44</v>
      </c>
      <c r="B46" s="93">
        <v>5537</v>
      </c>
      <c r="C46" s="95">
        <v>67.94</v>
      </c>
      <c r="D46" s="95">
        <v>35.93</v>
      </c>
      <c r="E46" s="95">
        <f t="shared" ref="E46:E48" si="12">ROUND($C46*$M$47,2)</f>
        <v>11.97</v>
      </c>
      <c r="F46" s="469">
        <f>ROUND((C46+D46+E46)*$J$52,2)+$M$44</f>
        <v>0</v>
      </c>
      <c r="G46" s="143">
        <f>SUM(C46:F46)</f>
        <v>115.84</v>
      </c>
      <c r="I46" s="40" t="s">
        <v>48</v>
      </c>
      <c r="J46" s="134">
        <v>0</v>
      </c>
    </row>
    <row r="47" spans="1:13">
      <c r="A47" s="34" t="s">
        <v>45</v>
      </c>
      <c r="B47" s="93">
        <v>5537</v>
      </c>
      <c r="C47" s="95">
        <v>59.24</v>
      </c>
      <c r="D47" s="95">
        <v>35.93</v>
      </c>
      <c r="E47" s="95">
        <f t="shared" si="12"/>
        <v>10.44</v>
      </c>
      <c r="F47" s="469">
        <f>ROUND((C47+D47+E47)*$J$52,2)+$M$44</f>
        <v>0</v>
      </c>
      <c r="G47" s="143">
        <f>SUM(C47:F47)</f>
        <v>105.61</v>
      </c>
      <c r="I47" s="40" t="s">
        <v>49</v>
      </c>
      <c r="J47" s="135">
        <v>0</v>
      </c>
      <c r="L47" s="40" t="s">
        <v>1036</v>
      </c>
      <c r="M47" s="268">
        <v>0.1762</v>
      </c>
    </row>
    <row r="48" spans="1:13" ht="15" thickBot="1">
      <c r="A48" s="35" t="s">
        <v>797</v>
      </c>
      <c r="B48" s="304">
        <v>5537</v>
      </c>
      <c r="C48" s="96">
        <v>44.44</v>
      </c>
      <c r="D48" s="96">
        <v>31.17</v>
      </c>
      <c r="E48" s="95">
        <f t="shared" si="12"/>
        <v>7.83</v>
      </c>
      <c r="F48" s="470">
        <f>ROUND((C48+D48+E48)*$J$52,2)+$M$44</f>
        <v>0</v>
      </c>
      <c r="G48" s="149">
        <f>SUM(C48:F48)</f>
        <v>83.44</v>
      </c>
      <c r="I48" s="40" t="s">
        <v>51</v>
      </c>
      <c r="J48" s="134">
        <v>0</v>
      </c>
    </row>
    <row r="49" spans="1:14">
      <c r="A49" s="774" t="s">
        <v>46</v>
      </c>
      <c r="B49" s="775"/>
      <c r="C49" s="775"/>
      <c r="D49" s="775"/>
      <c r="E49" s="775"/>
      <c r="F49" s="775"/>
      <c r="G49" s="776"/>
      <c r="I49" s="40" t="s">
        <v>52</v>
      </c>
      <c r="J49" s="134">
        <v>0</v>
      </c>
    </row>
    <row r="50" spans="1:14">
      <c r="A50" s="34" t="s">
        <v>43</v>
      </c>
      <c r="B50" s="93">
        <v>5537</v>
      </c>
      <c r="C50" s="95">
        <f>C45*1.5</f>
        <v>106.26</v>
      </c>
      <c r="D50" s="95">
        <f>D$45</f>
        <v>35.93</v>
      </c>
      <c r="E50" s="95">
        <f>ROUND($C50*$M$47,2)</f>
        <v>18.72</v>
      </c>
      <c r="F50" s="469">
        <f>ROUND((C50+D50+E50)*$J$52,2)+$M$44</f>
        <v>0</v>
      </c>
      <c r="G50" s="141">
        <f>SUM(C50:F50)</f>
        <v>160.91</v>
      </c>
      <c r="I50" s="40" t="s">
        <v>53</v>
      </c>
      <c r="J50" s="134">
        <v>0</v>
      </c>
    </row>
    <row r="51" spans="1:14" ht="15" thickBot="1">
      <c r="A51" s="34" t="s">
        <v>44</v>
      </c>
      <c r="B51" s="93">
        <v>5537</v>
      </c>
      <c r="C51" s="95">
        <f>C46*1.5</f>
        <v>101.91</v>
      </c>
      <c r="D51" s="95">
        <f>D$46</f>
        <v>35.93</v>
      </c>
      <c r="E51" s="95">
        <f t="shared" ref="E51:E53" si="13">ROUND($C51*$M$47,2)</f>
        <v>17.96</v>
      </c>
      <c r="F51" s="469">
        <f>ROUND((C51+D51+E51)*$J$52,2)+$M$44</f>
        <v>0</v>
      </c>
      <c r="G51" s="141">
        <f>SUM(C51:F51)</f>
        <v>155.80000000000001</v>
      </c>
      <c r="I51" s="40" t="s">
        <v>1255</v>
      </c>
      <c r="J51" s="134">
        <v>0</v>
      </c>
    </row>
    <row r="52" spans="1:14" ht="15" thickBot="1">
      <c r="A52" s="34" t="s">
        <v>45</v>
      </c>
      <c r="B52" s="93">
        <v>5537</v>
      </c>
      <c r="C52" s="95">
        <f>C47*1.5</f>
        <v>88.86</v>
      </c>
      <c r="D52" s="95">
        <f>D$47</f>
        <v>35.93</v>
      </c>
      <c r="E52" s="95">
        <f t="shared" si="13"/>
        <v>15.66</v>
      </c>
      <c r="F52" s="469">
        <f>ROUND((C52+D52+E52)*$J$52,2)+$M$44</f>
        <v>0</v>
      </c>
      <c r="G52" s="141">
        <f>SUM(C52:F52)</f>
        <v>140.44999999999999</v>
      </c>
      <c r="I52" s="133" t="s">
        <v>12</v>
      </c>
      <c r="J52" s="57">
        <f>SUM(J44:J51)</f>
        <v>0</v>
      </c>
    </row>
    <row r="53" spans="1:14" ht="15" thickBot="1">
      <c r="A53" s="35" t="s">
        <v>797</v>
      </c>
      <c r="B53" s="304">
        <v>5537</v>
      </c>
      <c r="C53" s="96">
        <f>C48*1.5</f>
        <v>66.66</v>
      </c>
      <c r="D53" s="96">
        <f>D$48</f>
        <v>31.17</v>
      </c>
      <c r="E53" s="95">
        <f t="shared" si="13"/>
        <v>11.75</v>
      </c>
      <c r="F53" s="470">
        <f>ROUND((C53+D53+E53)*$J$52,2)+$M$44</f>
        <v>0</v>
      </c>
      <c r="G53" s="142">
        <f>SUM(C53:F53)</f>
        <v>109.58</v>
      </c>
    </row>
    <row r="54" spans="1:14">
      <c r="A54" s="777" t="s">
        <v>47</v>
      </c>
      <c r="B54" s="778"/>
      <c r="C54" s="778"/>
      <c r="D54" s="778"/>
      <c r="E54" s="778"/>
      <c r="F54" s="778"/>
      <c r="G54" s="779"/>
    </row>
    <row r="55" spans="1:14">
      <c r="A55" s="34" t="s">
        <v>43</v>
      </c>
      <c r="B55" s="93">
        <v>5537</v>
      </c>
      <c r="C55" s="95">
        <f>C45*2</f>
        <v>141.68</v>
      </c>
      <c r="D55" s="95">
        <f>D$45</f>
        <v>35.93</v>
      </c>
      <c r="E55" s="95">
        <f>ROUND($C55*$M$47,2)</f>
        <v>24.96</v>
      </c>
      <c r="F55" s="469">
        <f>ROUND((C55+D55+E55)*$J$52,2)+$M$44</f>
        <v>0</v>
      </c>
      <c r="G55" s="140">
        <f>SUM(C55:F55)</f>
        <v>202.57000000000002</v>
      </c>
    </row>
    <row r="56" spans="1:14">
      <c r="A56" s="34" t="s">
        <v>44</v>
      </c>
      <c r="B56" s="93">
        <v>5537</v>
      </c>
      <c r="C56" s="95">
        <f>C46*2</f>
        <v>135.88</v>
      </c>
      <c r="D56" s="95">
        <f>D$46</f>
        <v>35.93</v>
      </c>
      <c r="E56" s="95">
        <f t="shared" ref="E56:E58" si="14">ROUND($C56*$M$47,2)</f>
        <v>23.94</v>
      </c>
      <c r="F56" s="469">
        <f>ROUND((C56+D56+E56)*$J$52,2)+$M$44</f>
        <v>0</v>
      </c>
      <c r="G56" s="140">
        <f>SUM(C56:F56)</f>
        <v>195.75</v>
      </c>
    </row>
    <row r="57" spans="1:14">
      <c r="A57" s="34" t="s">
        <v>45</v>
      </c>
      <c r="B57" s="93">
        <v>5537</v>
      </c>
      <c r="C57" s="95">
        <f>C47*2</f>
        <v>118.48</v>
      </c>
      <c r="D57" s="95">
        <f>D$47</f>
        <v>35.93</v>
      </c>
      <c r="E57" s="95">
        <f t="shared" si="14"/>
        <v>20.88</v>
      </c>
      <c r="F57" s="469">
        <f>ROUND((C57+D57+E57)*$J$52,2)+$M$44</f>
        <v>0</v>
      </c>
      <c r="G57" s="140">
        <f>SUM(C57:F57)</f>
        <v>175.29</v>
      </c>
    </row>
    <row r="58" spans="1:14" ht="15" thickBot="1">
      <c r="A58" s="35" t="s">
        <v>797</v>
      </c>
      <c r="B58" s="304">
        <v>5537</v>
      </c>
      <c r="C58" s="96">
        <f>C48*2</f>
        <v>88.88</v>
      </c>
      <c r="D58" s="96">
        <f>D$48</f>
        <v>31.17</v>
      </c>
      <c r="E58" s="95">
        <f t="shared" si="14"/>
        <v>15.66</v>
      </c>
      <c r="F58" s="470">
        <f>ROUND((C58+D58+E58)*$J$52,2)+$M$44</f>
        <v>0</v>
      </c>
      <c r="G58" s="305">
        <f>SUM(C58:F58)</f>
        <v>135.71</v>
      </c>
    </row>
    <row r="59" spans="1:14">
      <c r="A59" s="161"/>
      <c r="B59" s="161"/>
      <c r="C59" s="161"/>
      <c r="D59" s="161"/>
      <c r="E59" s="161"/>
      <c r="F59" s="161"/>
      <c r="G59" s="161"/>
    </row>
    <row r="61" spans="1:14" ht="15" thickBot="1">
      <c r="A61" s="773" t="s">
        <v>1253</v>
      </c>
      <c r="B61" s="773"/>
      <c r="C61" s="773"/>
      <c r="D61" s="773"/>
      <c r="E61" s="773"/>
      <c r="F61" s="773"/>
      <c r="G61" s="773"/>
    </row>
    <row r="62" spans="1:14">
      <c r="A62" s="518" t="s">
        <v>34</v>
      </c>
      <c r="B62" s="30" t="s">
        <v>35</v>
      </c>
      <c r="C62" s="307">
        <f>'Labor Rates'!C42</f>
        <v>46204</v>
      </c>
      <c r="D62" s="31" t="s">
        <v>36</v>
      </c>
      <c r="E62" s="307">
        <f>'Labor Rates'!E42</f>
        <v>46568</v>
      </c>
      <c r="F62" s="32"/>
      <c r="G62" s="33"/>
    </row>
    <row r="63" spans="1:14" ht="32.25" customHeight="1" thickBot="1">
      <c r="A63" s="150" t="s">
        <v>191</v>
      </c>
      <c r="B63" s="145" t="s">
        <v>37</v>
      </c>
      <c r="C63" s="146" t="s">
        <v>38</v>
      </c>
      <c r="D63" s="146" t="s">
        <v>40</v>
      </c>
      <c r="E63" s="146" t="s">
        <v>39</v>
      </c>
      <c r="F63" s="146" t="s">
        <v>1273</v>
      </c>
      <c r="G63" s="147" t="s">
        <v>41</v>
      </c>
      <c r="I63" s="783" t="s">
        <v>1247</v>
      </c>
      <c r="J63" s="783"/>
      <c r="K63" s="783"/>
      <c r="L63" s="783"/>
      <c r="M63" s="783"/>
      <c r="N63" s="177" t="s">
        <v>1248</v>
      </c>
    </row>
    <row r="64" spans="1:14" ht="15" customHeight="1">
      <c r="A64" s="780" t="s">
        <v>42</v>
      </c>
      <c r="B64" s="781"/>
      <c r="C64" s="781"/>
      <c r="D64" s="781"/>
      <c r="E64" s="781"/>
      <c r="F64" s="781"/>
      <c r="G64" s="782"/>
      <c r="I64" s="40" t="s">
        <v>1133</v>
      </c>
      <c r="J64" s="134">
        <f t="shared" ref="J64:J71" si="15">J44</f>
        <v>0</v>
      </c>
      <c r="L64" t="s">
        <v>855</v>
      </c>
      <c r="M64" s="468">
        <f>$M$4+N64</f>
        <v>16.5</v>
      </c>
      <c r="N64" s="94">
        <v>16.5</v>
      </c>
    </row>
    <row r="65" spans="1:13">
      <c r="A65" s="34" t="s">
        <v>43</v>
      </c>
      <c r="B65" s="93">
        <v>3076</v>
      </c>
      <c r="C65" s="95">
        <f>'Labor Rates'!C45</f>
        <v>70.84</v>
      </c>
      <c r="D65" s="95">
        <f>'Labor Rates'!D45</f>
        <v>35.93</v>
      </c>
      <c r="E65" s="95">
        <f>ROUND($C65*$M$67,2)</f>
        <v>12.48</v>
      </c>
      <c r="F65" s="221">
        <f>ROUND((C65+D65+E65)*$J$72,2)+M64</f>
        <v>16.5</v>
      </c>
      <c r="G65" s="143">
        <f>SUM(C65:F65)</f>
        <v>135.75</v>
      </c>
      <c r="I65" s="40" t="s">
        <v>190</v>
      </c>
      <c r="J65" s="134">
        <f t="shared" si="15"/>
        <v>0</v>
      </c>
      <c r="L65" t="s">
        <v>1254</v>
      </c>
    </row>
    <row r="66" spans="1:13">
      <c r="A66" s="34" t="s">
        <v>44</v>
      </c>
      <c r="B66" s="93">
        <v>3076</v>
      </c>
      <c r="C66" s="95">
        <f>'Labor Rates'!C46</f>
        <v>67.94</v>
      </c>
      <c r="D66" s="95">
        <f>'Labor Rates'!D46</f>
        <v>35.93</v>
      </c>
      <c r="E66" s="95">
        <f t="shared" ref="E66:E68" si="16">ROUND($C66*$M$67,2)</f>
        <v>11.97</v>
      </c>
      <c r="F66" s="221">
        <f>ROUND((C66+D66+E66)*$J$72,2)+$M$64</f>
        <v>16.5</v>
      </c>
      <c r="G66" s="143">
        <f>SUM(C66:F66)</f>
        <v>132.34</v>
      </c>
      <c r="I66" s="40" t="s">
        <v>48</v>
      </c>
      <c r="J66" s="134">
        <f t="shared" si="15"/>
        <v>0</v>
      </c>
    </row>
    <row r="67" spans="1:13">
      <c r="A67" s="34" t="s">
        <v>45</v>
      </c>
      <c r="B67" s="93">
        <v>3076</v>
      </c>
      <c r="C67" s="95">
        <f>'Labor Rates'!C47</f>
        <v>59.24</v>
      </c>
      <c r="D67" s="95">
        <f>'Labor Rates'!D47</f>
        <v>35.93</v>
      </c>
      <c r="E67" s="95">
        <f t="shared" si="16"/>
        <v>10.44</v>
      </c>
      <c r="F67" s="221">
        <f>ROUND((C67+D67+E67)*$J$72,2)+$M$64</f>
        <v>16.5</v>
      </c>
      <c r="G67" s="143">
        <f>SUM(C67:F67)</f>
        <v>122.11</v>
      </c>
      <c r="I67" s="40" t="s">
        <v>49</v>
      </c>
      <c r="J67" s="135">
        <f t="shared" si="15"/>
        <v>0</v>
      </c>
      <c r="L67" s="40" t="s">
        <v>1036</v>
      </c>
      <c r="M67" s="268">
        <f>M47</f>
        <v>0.1762</v>
      </c>
    </row>
    <row r="68" spans="1:13" ht="15" thickBot="1">
      <c r="A68" s="35" t="s">
        <v>797</v>
      </c>
      <c r="B68" s="304">
        <v>3076</v>
      </c>
      <c r="C68" s="96">
        <f>'Labor Rates'!C48</f>
        <v>44.44</v>
      </c>
      <c r="D68" s="96">
        <f>'Labor Rates'!D48</f>
        <v>31.17</v>
      </c>
      <c r="E68" s="95">
        <f t="shared" si="16"/>
        <v>7.83</v>
      </c>
      <c r="F68" s="222">
        <f>ROUND((C68+D68+E68)*$J$72,2)+$M$64</f>
        <v>16.5</v>
      </c>
      <c r="G68" s="149">
        <f>SUM(C68:F68)</f>
        <v>99.94</v>
      </c>
      <c r="I68" s="40" t="s">
        <v>51</v>
      </c>
      <c r="J68" s="134">
        <f t="shared" si="15"/>
        <v>0</v>
      </c>
    </row>
    <row r="69" spans="1:13">
      <c r="A69" s="774" t="s">
        <v>46</v>
      </c>
      <c r="B69" s="775"/>
      <c r="C69" s="775"/>
      <c r="D69" s="775"/>
      <c r="E69" s="775"/>
      <c r="F69" s="775"/>
      <c r="G69" s="776"/>
      <c r="I69" s="40" t="s">
        <v>52</v>
      </c>
      <c r="J69" s="134">
        <f t="shared" si="15"/>
        <v>0</v>
      </c>
    </row>
    <row r="70" spans="1:13">
      <c r="A70" s="34" t="s">
        <v>43</v>
      </c>
      <c r="B70" s="93">
        <v>3076</v>
      </c>
      <c r="C70" s="95">
        <f>C65*1.5</f>
        <v>106.26</v>
      </c>
      <c r="D70" s="95">
        <f>D$65</f>
        <v>35.93</v>
      </c>
      <c r="E70" s="95">
        <f>ROUND($C70*$M$67,2)</f>
        <v>18.72</v>
      </c>
      <c r="F70" s="221">
        <f>ROUND((C70+D70+E70)*$J$72,2)+$M$64</f>
        <v>16.5</v>
      </c>
      <c r="G70" s="141">
        <f>SUM(C70:F70)</f>
        <v>177.41</v>
      </c>
      <c r="I70" s="40" t="s">
        <v>53</v>
      </c>
      <c r="J70" s="134">
        <f t="shared" si="15"/>
        <v>0</v>
      </c>
    </row>
    <row r="71" spans="1:13" ht="15" thickBot="1">
      <c r="A71" s="34" t="s">
        <v>44</v>
      </c>
      <c r="B71" s="93">
        <v>3076</v>
      </c>
      <c r="C71" s="95">
        <f>C66*1.5</f>
        <v>101.91</v>
      </c>
      <c r="D71" s="95">
        <f>D$66</f>
        <v>35.93</v>
      </c>
      <c r="E71" s="95">
        <f t="shared" ref="E71:E73" si="17">ROUND($C71*$M$67,2)</f>
        <v>17.96</v>
      </c>
      <c r="F71" s="221">
        <f>ROUND((C71+D71+E71)*$J$72,2)+$M$64</f>
        <v>16.5</v>
      </c>
      <c r="G71" s="141">
        <f>SUM(C71:F71)</f>
        <v>172.3</v>
      </c>
      <c r="I71" s="40" t="s">
        <v>1255</v>
      </c>
      <c r="J71" s="134">
        <f t="shared" si="15"/>
        <v>0</v>
      </c>
    </row>
    <row r="72" spans="1:13" ht="15" thickBot="1">
      <c r="A72" s="34" t="s">
        <v>45</v>
      </c>
      <c r="B72" s="93">
        <v>3076</v>
      </c>
      <c r="C72" s="95">
        <f>C67*1.5</f>
        <v>88.86</v>
      </c>
      <c r="D72" s="95">
        <f>D$67</f>
        <v>35.93</v>
      </c>
      <c r="E72" s="95">
        <f t="shared" si="17"/>
        <v>15.66</v>
      </c>
      <c r="F72" s="221">
        <f>ROUND((C72+D72+E72)*$J$72,2)+$M$64</f>
        <v>16.5</v>
      </c>
      <c r="G72" s="141">
        <f>SUM(C72:F72)</f>
        <v>156.94999999999999</v>
      </c>
      <c r="I72" s="133" t="s">
        <v>12</v>
      </c>
      <c r="J72" s="57">
        <f>SUM(J64:J71)</f>
        <v>0</v>
      </c>
    </row>
    <row r="73" spans="1:13" ht="15" thickBot="1">
      <c r="A73" s="35" t="s">
        <v>797</v>
      </c>
      <c r="B73" s="304">
        <v>3076</v>
      </c>
      <c r="C73" s="96">
        <f>C68*1.5</f>
        <v>66.66</v>
      </c>
      <c r="D73" s="96">
        <f>D$68</f>
        <v>31.17</v>
      </c>
      <c r="E73" s="95">
        <f t="shared" si="17"/>
        <v>11.75</v>
      </c>
      <c r="F73" s="222">
        <f>ROUND((C73+D73+E73)*$J$72,2)+$M$64</f>
        <v>16.5</v>
      </c>
      <c r="G73" s="142">
        <f>SUM(C73:F73)</f>
        <v>126.08</v>
      </c>
    </row>
    <row r="74" spans="1:13">
      <c r="A74" s="777" t="s">
        <v>47</v>
      </c>
      <c r="B74" s="778"/>
      <c r="C74" s="778"/>
      <c r="D74" s="778"/>
      <c r="E74" s="778"/>
      <c r="F74" s="778"/>
      <c r="G74" s="779"/>
    </row>
    <row r="75" spans="1:13">
      <c r="A75" s="34" t="s">
        <v>43</v>
      </c>
      <c r="B75" s="93">
        <v>3076</v>
      </c>
      <c r="C75" s="95">
        <f>C65*2</f>
        <v>141.68</v>
      </c>
      <c r="D75" s="95">
        <f>D$65</f>
        <v>35.93</v>
      </c>
      <c r="E75" s="95">
        <f>ROUND($C75*$M$67,2)</f>
        <v>24.96</v>
      </c>
      <c r="F75" s="221">
        <f>ROUND((C75+D75+E75)*$J$72,2)+$M$64</f>
        <v>16.5</v>
      </c>
      <c r="G75" s="140">
        <f>SUM(C75:F75)</f>
        <v>219.07000000000002</v>
      </c>
    </row>
    <row r="76" spans="1:13">
      <c r="A76" s="34" t="s">
        <v>44</v>
      </c>
      <c r="B76" s="93">
        <v>3076</v>
      </c>
      <c r="C76" s="95">
        <f>C66*2</f>
        <v>135.88</v>
      </c>
      <c r="D76" s="95">
        <f>D$66</f>
        <v>35.93</v>
      </c>
      <c r="E76" s="95">
        <f t="shared" ref="E76:E78" si="18">ROUND($C76*$M$67,2)</f>
        <v>23.94</v>
      </c>
      <c r="F76" s="221">
        <f>ROUND((C76+D76+E76)*$J$72,2)+$M$64</f>
        <v>16.5</v>
      </c>
      <c r="G76" s="140">
        <f>SUM(C76:F76)</f>
        <v>212.25</v>
      </c>
    </row>
    <row r="77" spans="1:13">
      <c r="A77" s="34" t="s">
        <v>45</v>
      </c>
      <c r="B77" s="93">
        <v>3076</v>
      </c>
      <c r="C77" s="95">
        <f>C67*2</f>
        <v>118.48</v>
      </c>
      <c r="D77" s="95">
        <f>D$67</f>
        <v>35.93</v>
      </c>
      <c r="E77" s="95">
        <f t="shared" si="18"/>
        <v>20.88</v>
      </c>
      <c r="F77" s="221">
        <f>ROUND((C77+D77+E77)*$J$72,2)+$M$64</f>
        <v>16.5</v>
      </c>
      <c r="G77" s="140">
        <f>SUM(C77:F77)</f>
        <v>191.79</v>
      </c>
    </row>
    <row r="78" spans="1:13" ht="15" thickBot="1">
      <c r="A78" s="35" t="s">
        <v>797</v>
      </c>
      <c r="B78" s="549">
        <v>3076</v>
      </c>
      <c r="C78" s="550">
        <f>C68*2</f>
        <v>88.88</v>
      </c>
      <c r="D78" s="550">
        <f>D$68</f>
        <v>31.17</v>
      </c>
      <c r="E78" s="550">
        <f t="shared" si="18"/>
        <v>15.66</v>
      </c>
      <c r="F78" s="551">
        <f>ROUND((C78+D78+E78)*$J$72,2)+$M$64</f>
        <v>16.5</v>
      </c>
      <c r="G78" s="305">
        <f>SUM(C78:F78)</f>
        <v>152.21</v>
      </c>
    </row>
    <row r="79" spans="1:13">
      <c r="B79" s="161"/>
      <c r="C79" s="161"/>
      <c r="D79" s="161"/>
      <c r="E79" s="161"/>
      <c r="F79" s="161"/>
    </row>
  </sheetData>
  <sheetProtection algorithmName="SHA-512" hashValue="lbU14kNdUAmA6xTh2iygF4Kuav6j/xg8K6WwsfNXTmpBh6nckA148XC/3band26CYoMKHE9CUMiNOKpOKTBEZQ==" saltValue="kwwLiV87b97QhWvEY75t3w==" spinCount="100000" sheet="1" objects="1" scenarios="1" formatCells="0" autoFilter="0"/>
  <mergeCells count="20">
    <mergeCell ref="A1:G1"/>
    <mergeCell ref="I3:M3"/>
    <mergeCell ref="A4:G4"/>
    <mergeCell ref="A9:G9"/>
    <mergeCell ref="A14:G14"/>
    <mergeCell ref="A21:G21"/>
    <mergeCell ref="I23:M23"/>
    <mergeCell ref="A24:G24"/>
    <mergeCell ref="A29:G29"/>
    <mergeCell ref="A34:G34"/>
    <mergeCell ref="A41:G41"/>
    <mergeCell ref="I43:M43"/>
    <mergeCell ref="A44:G44"/>
    <mergeCell ref="A49:G49"/>
    <mergeCell ref="A54:G54"/>
    <mergeCell ref="A61:G61"/>
    <mergeCell ref="I63:M63"/>
    <mergeCell ref="A64:G64"/>
    <mergeCell ref="A69:G69"/>
    <mergeCell ref="A74:G74"/>
  </mergeCells>
  <printOptions horizontalCentered="1"/>
  <pageMargins left="0.5" right="0.5" top="0.75" bottom="0.75" header="0.3" footer="0.3"/>
  <pageSetup fitToHeight="0" orientation="portrait" blackAndWhite="1" r:id="rId1"/>
  <headerFooter scaleWithDoc="0">
    <oddHeader>&amp;C&amp;A&amp;R&amp;D</oddHeader>
    <oddFooter>Page &amp;P of &amp;N</oddFooter>
  </headerFooter>
  <rowBreaks count="1" manualBreakCount="1">
    <brk id="40" max="8"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R38"/>
  <sheetViews>
    <sheetView workbookViewId="0">
      <selection activeCell="G5" sqref="G5:H5"/>
    </sheetView>
  </sheetViews>
  <sheetFormatPr defaultColWidth="9.1796875" defaultRowHeight="14.5"/>
  <cols>
    <col min="1" max="1" width="16" style="97" bestFit="1" customWidth="1"/>
    <col min="2" max="2" width="15.7265625" style="97" customWidth="1"/>
    <col min="3" max="3" width="28.54296875" style="97" customWidth="1"/>
    <col min="4" max="4" width="6.7265625" style="97" customWidth="1"/>
    <col min="5" max="5" width="9.1796875" style="97"/>
    <col min="6" max="6" width="8" style="97" customWidth="1"/>
    <col min="7" max="7" width="15.7265625" style="97" customWidth="1"/>
    <col min="8" max="8" width="16" style="97" customWidth="1"/>
    <col min="9" max="9" width="17.1796875" style="97" customWidth="1"/>
    <col min="10" max="10" width="14.81640625" style="97" customWidth="1"/>
    <col min="11" max="11" width="9.1796875" style="97"/>
    <col min="12" max="12" width="22.81640625" style="97" customWidth="1"/>
    <col min="13" max="13" width="10.453125" style="97" customWidth="1"/>
    <col min="14" max="14" width="10.81640625" style="97" customWidth="1"/>
    <col min="15" max="15" width="11.1796875" style="120" customWidth="1"/>
    <col min="16" max="16" width="14.7265625" style="97" customWidth="1"/>
    <col min="17" max="17" width="19.81640625" style="121" customWidth="1"/>
    <col min="18" max="18" width="13.1796875" style="121" customWidth="1"/>
    <col min="19" max="16384" width="9.1796875" style="97"/>
  </cols>
  <sheetData>
    <row r="1" spans="1:18" ht="17.25" customHeight="1" thickBot="1">
      <c r="N1" s="796" t="s">
        <v>180</v>
      </c>
      <c r="O1" s="796"/>
      <c r="P1" s="796"/>
      <c r="Q1" s="796"/>
      <c r="R1" s="796"/>
    </row>
    <row r="2" spans="1:18" ht="17.25" customHeight="1" thickBot="1">
      <c r="C2" s="98" t="s">
        <v>157</v>
      </c>
      <c r="D2" s="99"/>
      <c r="E2" s="100"/>
      <c r="F2" s="101"/>
      <c r="G2" s="102"/>
      <c r="H2" s="103"/>
      <c r="I2" s="104"/>
      <c r="J2" s="104"/>
      <c r="K2" s="104"/>
      <c r="L2" s="104"/>
      <c r="M2" s="104"/>
      <c r="N2" s="195" t="s">
        <v>179</v>
      </c>
      <c r="O2" s="195"/>
      <c r="P2" s="196"/>
      <c r="Q2" s="197"/>
      <c r="R2" s="197"/>
    </row>
    <row r="3" spans="1:18" ht="17.25" customHeight="1">
      <c r="H3" s="812" t="s">
        <v>75</v>
      </c>
      <c r="I3" s="812"/>
      <c r="J3" s="542"/>
      <c r="K3" s="104"/>
      <c r="L3" s="104"/>
      <c r="M3" s="544" t="s">
        <v>1293</v>
      </c>
      <c r="N3" s="198"/>
      <c r="O3" s="199" t="s">
        <v>22</v>
      </c>
      <c r="P3" s="198"/>
      <c r="Q3" s="199" t="s">
        <v>178</v>
      </c>
      <c r="R3" s="200"/>
    </row>
    <row r="4" spans="1:18" ht="17.25" customHeight="1">
      <c r="A4" s="132" t="s">
        <v>15</v>
      </c>
      <c r="B4" s="809" t="str">
        <f>IF('CP Backup'!D2="","",'CP Backup'!D2)</f>
        <v/>
      </c>
      <c r="C4" s="809"/>
      <c r="D4" s="106"/>
      <c r="E4" s="810" t="s">
        <v>124</v>
      </c>
      <c r="F4" s="810"/>
      <c r="G4" s="540" t="str">
        <f>IF('CP Backup'!B4="","",'CP Backup'!B4)</f>
        <v/>
      </c>
      <c r="H4" s="813" t="s">
        <v>158</v>
      </c>
      <c r="I4" s="813"/>
      <c r="J4" s="814">
        <f>'CP Backup'!D125</f>
        <v>0</v>
      </c>
      <c r="K4" s="815"/>
      <c r="M4" s="545" t="e">
        <f>J4/(SUM(H37:I37)+SUM('CP Backup'!D120:D124))-1</f>
        <v>#DIV/0!</v>
      </c>
      <c r="N4" s="198"/>
      <c r="O4" s="199" t="s">
        <v>1231</v>
      </c>
      <c r="P4" s="201">
        <f>'CP Backup'!Q70</f>
        <v>0</v>
      </c>
      <c r="Q4" s="199" t="s">
        <v>1232</v>
      </c>
      <c r="R4" s="202">
        <f>SUM('CP Backup'!V48:X55,'Crew Mix'!N9)</f>
        <v>0</v>
      </c>
    </row>
    <row r="5" spans="1:18" ht="17.25" customHeight="1">
      <c r="A5" s="132" t="s">
        <v>159</v>
      </c>
      <c r="B5" s="809" t="str">
        <f>IF('CP Backup'!D3="","",'CP Backup'!D3)</f>
        <v/>
      </c>
      <c r="C5" s="809"/>
      <c r="D5" s="106"/>
      <c r="E5" s="810" t="s">
        <v>160</v>
      </c>
      <c r="F5" s="810"/>
      <c r="G5" s="784"/>
      <c r="H5" s="785"/>
      <c r="N5" s="198"/>
      <c r="O5" s="199" t="s">
        <v>1236</v>
      </c>
      <c r="P5" s="201">
        <f>'CP Backup'!Q71</f>
        <v>0</v>
      </c>
      <c r="Q5" s="199" t="s">
        <v>1233</v>
      </c>
      <c r="R5" s="202">
        <f>SUM('CP Backup'!V56:X63,'Crew Mix'!N29)</f>
        <v>0</v>
      </c>
    </row>
    <row r="6" spans="1:18" ht="17.25" customHeight="1">
      <c r="A6" s="132" t="s">
        <v>161</v>
      </c>
      <c r="B6" s="809" t="str">
        <f>IF('CP Backup'!B3="","",'CP Backup'!B3)</f>
        <v/>
      </c>
      <c r="C6" s="809"/>
      <c r="D6" s="106"/>
      <c r="E6" s="810" t="s">
        <v>162</v>
      </c>
      <c r="F6" s="810"/>
      <c r="G6" s="541" t="str">
        <f>IF('CP Backup'!D5="","",'CP Backup'!D5)</f>
        <v/>
      </c>
      <c r="H6" s="107" t="s">
        <v>163</v>
      </c>
      <c r="I6" s="131"/>
      <c r="J6" s="105" t="s">
        <v>164</v>
      </c>
      <c r="N6" s="198"/>
      <c r="O6" s="199" t="s">
        <v>1235</v>
      </c>
      <c r="P6" s="201">
        <f>'CP Backup'!Q72</f>
        <v>0</v>
      </c>
      <c r="Q6" s="199" t="s">
        <v>1234</v>
      </c>
      <c r="R6" s="202">
        <f>SUM('CP Backup'!V64:X71,'Crew Mix'!N49)</f>
        <v>0</v>
      </c>
    </row>
    <row r="7" spans="1:18" ht="17.25" customHeight="1">
      <c r="A7" s="132" t="s">
        <v>165</v>
      </c>
      <c r="B7" s="809" t="str">
        <f>IF('CP Backup'!D4="","",'CP Backup'!D4)</f>
        <v/>
      </c>
      <c r="C7" s="809"/>
      <c r="D7" s="106"/>
      <c r="H7" s="107" t="s">
        <v>166</v>
      </c>
      <c r="I7" s="131"/>
      <c r="J7" s="97" t="s">
        <v>109</v>
      </c>
      <c r="L7" s="105"/>
      <c r="N7" s="198"/>
      <c r="O7" s="199" t="s">
        <v>1237</v>
      </c>
      <c r="P7" s="201">
        <f>'CP Backup'!Q73</f>
        <v>0</v>
      </c>
      <c r="Q7" s="199" t="s">
        <v>1238</v>
      </c>
      <c r="R7" s="202">
        <f>SUM('CP Backup'!V72:X79,'Crew Mix'!N69)</f>
        <v>0</v>
      </c>
    </row>
    <row r="8" spans="1:18" ht="17.25" customHeight="1">
      <c r="A8" s="108" t="s">
        <v>109</v>
      </c>
      <c r="C8" s="108"/>
      <c r="D8" s="108"/>
      <c r="E8" s="108"/>
      <c r="F8" s="108"/>
      <c r="G8" s="108"/>
      <c r="H8" s="108"/>
      <c r="J8" s="108"/>
      <c r="K8" s="108"/>
      <c r="L8" s="108"/>
      <c r="M8" s="108"/>
      <c r="N8" s="198"/>
      <c r="O8" s="199" t="s">
        <v>176</v>
      </c>
      <c r="P8" s="201">
        <f>SUM('CP Backup'!B80:D80)</f>
        <v>0</v>
      </c>
      <c r="Q8" s="199" t="s">
        <v>177</v>
      </c>
      <c r="R8" s="202">
        <f>SUM('CP Backup'!V80:X81)</f>
        <v>0</v>
      </c>
    </row>
    <row r="9" spans="1:18" ht="17.25" customHeight="1" thickBot="1">
      <c r="A9" s="109"/>
      <c r="B9" s="108" t="s">
        <v>109</v>
      </c>
      <c r="C9" s="108"/>
      <c r="D9" s="108"/>
      <c r="E9" s="811" t="s">
        <v>109</v>
      </c>
      <c r="F9" s="811"/>
      <c r="G9" s="110"/>
      <c r="H9" s="110"/>
      <c r="I9" s="108" t="s">
        <v>109</v>
      </c>
      <c r="J9" s="111" t="s">
        <v>167</v>
      </c>
      <c r="K9" s="112"/>
      <c r="L9" s="112"/>
      <c r="M9" s="108"/>
      <c r="N9" s="198"/>
      <c r="O9" s="199" t="s">
        <v>1239</v>
      </c>
      <c r="P9" s="201">
        <f>SUM('CP Backup'!B82:D82)</f>
        <v>0</v>
      </c>
      <c r="Q9" s="199" t="s">
        <v>1240</v>
      </c>
      <c r="R9" s="202">
        <f>SUM('CP Backup'!V82:X83)</f>
        <v>0</v>
      </c>
    </row>
    <row r="10" spans="1:18" ht="17.25" customHeight="1">
      <c r="A10" s="799" t="s">
        <v>168</v>
      </c>
      <c r="B10" s="807"/>
      <c r="C10" s="800"/>
      <c r="D10" s="803" t="s">
        <v>169</v>
      </c>
      <c r="E10" s="799" t="s">
        <v>170</v>
      </c>
      <c r="F10" s="800"/>
      <c r="G10" s="805" t="s">
        <v>171</v>
      </c>
      <c r="H10" s="805" t="s">
        <v>61</v>
      </c>
      <c r="I10" s="805" t="s">
        <v>172</v>
      </c>
      <c r="J10" s="803" t="s">
        <v>173</v>
      </c>
      <c r="K10" s="799" t="s">
        <v>174</v>
      </c>
      <c r="L10" s="800"/>
      <c r="M10" s="108"/>
      <c r="N10" s="198"/>
      <c r="O10" s="199" t="s">
        <v>1241</v>
      </c>
      <c r="P10" s="201">
        <f>SUM('CP Backup'!B84:D84)</f>
        <v>0</v>
      </c>
      <c r="Q10" s="199" t="s">
        <v>1242</v>
      </c>
      <c r="R10" s="202">
        <f>SUM('CP Backup'!V84:X85)</f>
        <v>0</v>
      </c>
    </row>
    <row r="11" spans="1:18" ht="17.25" customHeight="1" thickBot="1">
      <c r="A11" s="801"/>
      <c r="B11" s="808"/>
      <c r="C11" s="802"/>
      <c r="D11" s="804"/>
      <c r="E11" s="801"/>
      <c r="F11" s="802"/>
      <c r="G11" s="806"/>
      <c r="H11" s="806"/>
      <c r="I11" s="806"/>
      <c r="J11" s="804"/>
      <c r="K11" s="801"/>
      <c r="L11" s="802"/>
      <c r="N11" s="198"/>
      <c r="O11" s="199" t="s">
        <v>1243</v>
      </c>
      <c r="P11" s="201">
        <f>SUM('CP Backup'!B86:E86,'CP Backup'!B88:E88,'CP Backup'!B90:E90)</f>
        <v>0</v>
      </c>
      <c r="Q11" s="199" t="s">
        <v>1244</v>
      </c>
      <c r="R11" s="202">
        <f>SUM('CP Backup'!V86:X91)</f>
        <v>0</v>
      </c>
    </row>
    <row r="12" spans="1:18" ht="15.5">
      <c r="A12" s="786" t="str">
        <f>IF(SUM(G12:I12)=0,"","Plumb Field Labor")</f>
        <v/>
      </c>
      <c r="B12" s="787"/>
      <c r="C12" s="788"/>
      <c r="D12" s="113"/>
      <c r="E12" s="797" t="str">
        <f>IF(SUM(G12:I12)=0,"","5-07")</f>
        <v/>
      </c>
      <c r="F12" s="797"/>
      <c r="G12" s="125" t="str">
        <f>IF($P$4=0,"",$P$4)</f>
        <v/>
      </c>
      <c r="H12" s="122" t="str">
        <f>IF($R$4=0,"",$R$4)</f>
        <v/>
      </c>
      <c r="I12" s="114"/>
      <c r="J12" s="117"/>
      <c r="K12" s="798"/>
      <c r="L12" s="798"/>
      <c r="N12" s="198"/>
      <c r="O12" s="199"/>
      <c r="P12" s="201">
        <f>SUM(P4:P11)</f>
        <v>0</v>
      </c>
      <c r="Q12" s="200"/>
      <c r="R12" s="206">
        <f>SUM(R4:R11)</f>
        <v>0</v>
      </c>
    </row>
    <row r="13" spans="1:18" ht="15.5">
      <c r="A13" s="786" t="str">
        <f>IF(SUM(G13:I13)=0,"","Pipe Field Labor")</f>
        <v/>
      </c>
      <c r="B13" s="787"/>
      <c r="C13" s="788"/>
      <c r="D13" s="113"/>
      <c r="E13" s="797" t="str">
        <f>IF(SUM(G13:I13)=0,"","6-07")</f>
        <v/>
      </c>
      <c r="F13" s="797"/>
      <c r="G13" s="125" t="str">
        <f>IF($P$5=0,"",$P$5)</f>
        <v/>
      </c>
      <c r="H13" s="122" t="str">
        <f>IF($R$5=0,"",$R$5)</f>
        <v/>
      </c>
      <c r="I13" s="114"/>
      <c r="J13" s="117"/>
      <c r="K13" s="798"/>
      <c r="L13" s="798"/>
      <c r="N13" s="207" t="s">
        <v>181</v>
      </c>
      <c r="O13" s="207"/>
      <c r="P13" s="208"/>
      <c r="Q13" s="209"/>
      <c r="R13" s="209"/>
    </row>
    <row r="14" spans="1:18" ht="15.5">
      <c r="A14" s="786" t="str">
        <f>IF(SUM(G14:I14)=0,"","Sheet Metal Field Labor")</f>
        <v/>
      </c>
      <c r="B14" s="787"/>
      <c r="C14" s="788"/>
      <c r="D14" s="113"/>
      <c r="E14" s="797" t="str">
        <f>IF(SUM(G14:I14)=0,"","3-07")</f>
        <v/>
      </c>
      <c r="F14" s="797"/>
      <c r="G14" s="125" t="str">
        <f>IF($P$6=0,"",$P$6)</f>
        <v/>
      </c>
      <c r="H14" s="122" t="str">
        <f>IF($R$6=0,"",$R$6)</f>
        <v/>
      </c>
      <c r="I14" s="114"/>
      <c r="J14" s="117"/>
      <c r="K14" s="798"/>
      <c r="L14" s="798"/>
      <c r="N14" s="198"/>
      <c r="O14" s="199" t="s">
        <v>59</v>
      </c>
      <c r="P14" s="202">
        <f>'CP Backup'!D31</f>
        <v>0</v>
      </c>
      <c r="Q14" s="200"/>
      <c r="R14" s="200"/>
    </row>
    <row r="15" spans="1:18" ht="15.5">
      <c r="A15" s="786" t="str">
        <f>IF(SUM(G15:I15)=0,"","Shop Labor")</f>
        <v/>
      </c>
      <c r="B15" s="787"/>
      <c r="C15" s="788"/>
      <c r="D15" s="113"/>
      <c r="E15" s="797" t="str">
        <f>IF(SUM(G15:I15)=0,"","2-07")</f>
        <v/>
      </c>
      <c r="F15" s="797"/>
      <c r="G15" s="125" t="str">
        <f>IF($P$7=0,"",$P$7)</f>
        <v/>
      </c>
      <c r="H15" s="122" t="str">
        <f>IF($R$7=0,"",$R$7)</f>
        <v/>
      </c>
      <c r="I15" s="114"/>
      <c r="J15" s="118"/>
      <c r="K15" s="793"/>
      <c r="L15" s="793"/>
      <c r="N15" s="198"/>
      <c r="O15" s="199" t="s">
        <v>55</v>
      </c>
      <c r="P15" s="202">
        <f>'CP Backup'!D43</f>
        <v>0</v>
      </c>
      <c r="Q15" s="200"/>
      <c r="R15" s="200"/>
    </row>
    <row r="16" spans="1:18" ht="15.5">
      <c r="A16" s="786" t="str">
        <f>IF(SUM(G16:I16)=0,"","Project Manager")</f>
        <v/>
      </c>
      <c r="B16" s="787"/>
      <c r="C16" s="788"/>
      <c r="D16" s="113"/>
      <c r="E16" s="794" t="str">
        <f>IF(SUM(G16:I16)=0,"","1-01")</f>
        <v/>
      </c>
      <c r="F16" s="795"/>
      <c r="G16" s="125" t="str">
        <f>IF($P$8=0,"",$P$8)</f>
        <v/>
      </c>
      <c r="H16" s="123" t="str">
        <f>IF($R$8=0,"",$R$8)</f>
        <v/>
      </c>
      <c r="I16" s="114"/>
      <c r="J16" s="118"/>
      <c r="K16" s="793"/>
      <c r="L16" s="793"/>
      <c r="N16" s="198"/>
      <c r="O16" s="199" t="s">
        <v>182</v>
      </c>
      <c r="P16" s="202">
        <f>'CP Backup'!D104</f>
        <v>0</v>
      </c>
      <c r="Q16" s="200"/>
      <c r="R16" s="200"/>
    </row>
    <row r="17" spans="1:18" ht="15.5">
      <c r="A17" s="786" t="str">
        <f>IF(SUM(G17:I17)=0,"","Project Engineer")</f>
        <v/>
      </c>
      <c r="B17" s="787"/>
      <c r="C17" s="788"/>
      <c r="D17" s="113"/>
      <c r="E17" s="794" t="str">
        <f>IF(SUM(G17:I17)=0,"","1-04")</f>
        <v/>
      </c>
      <c r="F17" s="795"/>
      <c r="G17" s="125" t="str">
        <f>IF($P$9=0,"",$P$9)</f>
        <v/>
      </c>
      <c r="H17" s="123" t="str">
        <f>IF($R$9=0,"",$R$9)</f>
        <v/>
      </c>
      <c r="I17" s="114"/>
      <c r="J17" s="118"/>
      <c r="K17" s="793"/>
      <c r="L17" s="793"/>
      <c r="N17" s="198"/>
      <c r="O17" s="199" t="s">
        <v>8</v>
      </c>
      <c r="P17" s="202">
        <f>'CP Backup'!D111</f>
        <v>0</v>
      </c>
      <c r="Q17" s="200"/>
      <c r="R17" s="200"/>
    </row>
    <row r="18" spans="1:18" ht="15.5">
      <c r="A18" s="786" t="str">
        <f>IF(SUM(G18:I18)=0,"","CAD Hours")</f>
        <v/>
      </c>
      <c r="B18" s="787"/>
      <c r="C18" s="788"/>
      <c r="D18" s="113"/>
      <c r="E18" s="794" t="str">
        <f>IF(SUM(G18:I18)=0,"","1-03")</f>
        <v/>
      </c>
      <c r="F18" s="795"/>
      <c r="G18" s="126" t="str">
        <f>IF($P$10=0,"",$P$10)</f>
        <v/>
      </c>
      <c r="H18" s="123" t="str">
        <f>IF($R$10=0,"",$R$10)</f>
        <v/>
      </c>
      <c r="I18" s="114"/>
      <c r="J18" s="118"/>
      <c r="K18" s="793"/>
      <c r="L18" s="793"/>
      <c r="N18" s="198"/>
      <c r="O18" s="199" t="s">
        <v>183</v>
      </c>
      <c r="P18" s="198"/>
      <c r="Q18" s="200"/>
      <c r="R18" s="200"/>
    </row>
    <row r="19" spans="1:18" ht="15.5">
      <c r="A19" s="786" t="str">
        <f>IF(SUM(G19:I19)=0,"","Custom Hours")</f>
        <v/>
      </c>
      <c r="B19" s="787"/>
      <c r="C19" s="788"/>
      <c r="D19" s="113"/>
      <c r="E19" s="794" t="str">
        <f>IF(SUM(G19:I19)=0,"","1-07")</f>
        <v/>
      </c>
      <c r="F19" s="795"/>
      <c r="G19" s="126" t="str">
        <f>IF($P$11=0,"",$P$11)</f>
        <v/>
      </c>
      <c r="H19" s="123" t="str">
        <f>IF($R$11=0,"",$R$11)</f>
        <v/>
      </c>
      <c r="I19" s="114"/>
      <c r="J19" s="117"/>
      <c r="K19" s="793"/>
      <c r="L19" s="793"/>
      <c r="N19" s="196"/>
      <c r="O19" s="203" t="s">
        <v>184</v>
      </c>
      <c r="P19" s="205">
        <f>'CP Backup'!D114-P17</f>
        <v>0</v>
      </c>
      <c r="Q19" s="197"/>
      <c r="R19" s="197"/>
    </row>
    <row r="20" spans="1:18" ht="15.5">
      <c r="A20" s="786"/>
      <c r="B20" s="787"/>
      <c r="C20" s="788"/>
      <c r="D20" s="113"/>
      <c r="E20" s="794"/>
      <c r="F20" s="795"/>
      <c r="G20" s="126"/>
      <c r="H20" s="123"/>
      <c r="I20" s="194"/>
      <c r="J20" s="118"/>
      <c r="K20" s="793"/>
      <c r="L20" s="793"/>
      <c r="N20" s="198"/>
      <c r="O20" s="199"/>
      <c r="P20" s="206">
        <f>SUM(P14:P19)</f>
        <v>0</v>
      </c>
      <c r="Q20" s="200"/>
      <c r="R20" s="200"/>
    </row>
    <row r="21" spans="1:18" ht="15.5">
      <c r="A21" s="786"/>
      <c r="B21" s="787"/>
      <c r="C21" s="788"/>
      <c r="D21" s="113"/>
      <c r="E21" s="794"/>
      <c r="F21" s="795"/>
      <c r="G21" s="125"/>
      <c r="H21" s="122"/>
      <c r="I21" s="115"/>
      <c r="J21" s="118"/>
      <c r="K21" s="793"/>
      <c r="L21" s="793"/>
      <c r="N21" s="198"/>
      <c r="O21" s="199"/>
      <c r="P21" s="198"/>
      <c r="Q21" s="200"/>
      <c r="R21" s="200"/>
    </row>
    <row r="22" spans="1:18" ht="15.75" customHeight="1">
      <c r="A22" s="786" t="str">
        <f>IF(SUM(G22:I22)=0,"","Deliveries")</f>
        <v/>
      </c>
      <c r="B22" s="787"/>
      <c r="C22" s="788"/>
      <c r="D22" s="113"/>
      <c r="E22" s="794" t="str">
        <f>IF(SUM(G22:I22)=0,"","1-06")</f>
        <v/>
      </c>
      <c r="F22" s="795"/>
      <c r="G22" s="126"/>
      <c r="H22" s="123"/>
      <c r="I22" s="194" t="str">
        <f>IF($P$17=0,"",$P$17)</f>
        <v/>
      </c>
      <c r="J22" s="118"/>
      <c r="K22" s="793"/>
      <c r="L22" s="793"/>
      <c r="N22" s="198"/>
      <c r="O22" s="199"/>
      <c r="P22" s="198"/>
      <c r="Q22" s="200"/>
      <c r="R22" s="200"/>
    </row>
    <row r="23" spans="1:18" ht="15.5">
      <c r="A23" s="786" t="str">
        <f>IF(SUM(G23:I23)=0,"","Small Tools and Consumeables")</f>
        <v/>
      </c>
      <c r="B23" s="787"/>
      <c r="C23" s="788"/>
      <c r="D23" s="113"/>
      <c r="E23" s="794" t="str">
        <f>IF(SUM(G23:I23)=0,"","1-15")</f>
        <v/>
      </c>
      <c r="F23" s="795"/>
      <c r="G23" s="126"/>
      <c r="H23" s="123"/>
      <c r="I23" s="194" t="str">
        <f>IF($P$19=0,"",$P$19)</f>
        <v/>
      </c>
      <c r="J23" s="118"/>
      <c r="K23" s="793"/>
      <c r="L23" s="793"/>
      <c r="N23" s="198"/>
      <c r="O23" s="199"/>
      <c r="P23" s="198"/>
      <c r="Q23" s="200"/>
      <c r="R23" s="200"/>
    </row>
    <row r="24" spans="1:18" ht="18.5">
      <c r="A24" s="786"/>
      <c r="B24" s="787"/>
      <c r="C24" s="788"/>
      <c r="D24" s="113"/>
      <c r="E24" s="794"/>
      <c r="F24" s="795"/>
      <c r="G24" s="126"/>
      <c r="H24" s="123"/>
      <c r="I24" s="194"/>
      <c r="J24" s="118"/>
      <c r="K24" s="793"/>
      <c r="L24" s="793"/>
      <c r="N24" s="796" t="s">
        <v>185</v>
      </c>
      <c r="O24" s="796"/>
      <c r="P24" s="796"/>
      <c r="Q24" s="796"/>
      <c r="R24" s="796"/>
    </row>
    <row r="25" spans="1:18" ht="15.5">
      <c r="A25" s="786"/>
      <c r="B25" s="787"/>
      <c r="C25" s="788"/>
      <c r="D25" s="113"/>
      <c r="E25" s="794"/>
      <c r="F25" s="795"/>
      <c r="G25" s="126"/>
      <c r="H25" s="123"/>
      <c r="I25" s="114"/>
      <c r="J25" s="118"/>
      <c r="K25" s="793"/>
      <c r="L25" s="793"/>
      <c r="N25" s="195" t="s">
        <v>171</v>
      </c>
      <c r="O25" s="195"/>
      <c r="P25" s="196"/>
      <c r="Q25" s="197"/>
      <c r="R25" s="197"/>
    </row>
    <row r="26" spans="1:18" ht="15.5">
      <c r="A26" s="786" t="str">
        <f>IF(SUM(G26:I26)=0,"","Material")</f>
        <v/>
      </c>
      <c r="B26" s="787"/>
      <c r="C26" s="788"/>
      <c r="D26" s="113"/>
      <c r="E26" s="794" t="str">
        <f>IF(SUM(G26:I26)=0,"","3-07")</f>
        <v/>
      </c>
      <c r="F26" s="795"/>
      <c r="G26" s="126"/>
      <c r="H26" s="123"/>
      <c r="I26" s="194" t="str">
        <f>IF($P$14=0,"",$P$14)</f>
        <v/>
      </c>
      <c r="J26" s="118"/>
      <c r="K26" s="793"/>
      <c r="L26" s="793"/>
      <c r="N26" s="199"/>
      <c r="O26" s="199" t="s">
        <v>186</v>
      </c>
      <c r="P26" s="201">
        <f>P12</f>
        <v>0</v>
      </c>
      <c r="Q26" s="200"/>
      <c r="R26" s="200"/>
    </row>
    <row r="27" spans="1:18" ht="15.5">
      <c r="A27" s="786" t="str">
        <f>IF(SUM(G27:I27)=0,"","Equipment")</f>
        <v/>
      </c>
      <c r="B27" s="787"/>
      <c r="C27" s="788"/>
      <c r="D27" s="113"/>
      <c r="E27" s="794" t="str">
        <f>IF(SUM(G27:I27)=0,"","3-07")</f>
        <v/>
      </c>
      <c r="F27" s="795"/>
      <c r="G27" s="126"/>
      <c r="H27" s="123"/>
      <c r="I27" s="194" t="str">
        <f>IF($P$15=0,"",$P$15)</f>
        <v/>
      </c>
      <c r="J27" s="118"/>
      <c r="K27" s="793"/>
      <c r="L27" s="793"/>
      <c r="N27" s="203"/>
      <c r="O27" s="203" t="s">
        <v>187</v>
      </c>
      <c r="P27" s="204">
        <f>G37</f>
        <v>0</v>
      </c>
      <c r="Q27" s="197"/>
      <c r="R27" s="197"/>
    </row>
    <row r="28" spans="1:18" ht="15.5">
      <c r="A28" s="786" t="str">
        <f>IF(SUM(G28:I28)=0,"","Subcontracts")</f>
        <v/>
      </c>
      <c r="B28" s="787"/>
      <c r="C28" s="788"/>
      <c r="D28" s="113"/>
      <c r="E28" s="794" t="str">
        <f>IF(SUM(G28:I28)=0,"","7-??")</f>
        <v/>
      </c>
      <c r="F28" s="795"/>
      <c r="G28" s="126"/>
      <c r="H28" s="123"/>
      <c r="I28" s="194" t="str">
        <f>IF($P$16=0,"",$P$16)</f>
        <v/>
      </c>
      <c r="J28" s="118"/>
      <c r="K28" s="793"/>
      <c r="L28" s="793"/>
      <c r="N28" s="199"/>
      <c r="O28" s="201" t="s">
        <v>188</v>
      </c>
      <c r="P28" s="210">
        <f>P26-P27</f>
        <v>0</v>
      </c>
      <c r="Q28" s="200"/>
      <c r="R28" s="200"/>
    </row>
    <row r="29" spans="1:18" ht="15.5">
      <c r="A29" s="786"/>
      <c r="B29" s="787"/>
      <c r="C29" s="788"/>
      <c r="D29" s="113"/>
      <c r="E29" s="794"/>
      <c r="F29" s="795"/>
      <c r="G29" s="126"/>
      <c r="H29" s="123"/>
      <c r="I29" s="114"/>
      <c r="J29" s="118"/>
      <c r="K29" s="793"/>
      <c r="L29" s="793"/>
      <c r="N29" s="198"/>
      <c r="O29" s="199"/>
      <c r="P29" s="198"/>
      <c r="Q29" s="200"/>
      <c r="R29" s="200"/>
    </row>
    <row r="30" spans="1:18" ht="15.5">
      <c r="A30" s="786"/>
      <c r="B30" s="787"/>
      <c r="C30" s="788"/>
      <c r="D30" s="113"/>
      <c r="E30" s="792"/>
      <c r="F30" s="792"/>
      <c r="G30" s="126"/>
      <c r="H30" s="123"/>
      <c r="I30" s="114"/>
      <c r="J30" s="118"/>
      <c r="K30" s="793"/>
      <c r="L30" s="793"/>
      <c r="N30" s="195" t="s">
        <v>175</v>
      </c>
      <c r="O30" s="195"/>
      <c r="P30" s="196"/>
      <c r="Q30" s="197"/>
      <c r="R30" s="197"/>
    </row>
    <row r="31" spans="1:18" ht="15.5">
      <c r="A31" s="786"/>
      <c r="B31" s="787"/>
      <c r="C31" s="788"/>
      <c r="D31" s="113"/>
      <c r="E31" s="792"/>
      <c r="F31" s="792"/>
      <c r="G31" s="126"/>
      <c r="H31" s="123"/>
      <c r="I31" s="114"/>
      <c r="J31" s="118"/>
      <c r="K31" s="793"/>
      <c r="L31" s="793"/>
      <c r="N31" s="199"/>
      <c r="O31" s="199" t="s">
        <v>186</v>
      </c>
      <c r="P31" s="206">
        <f>R12</f>
        <v>0</v>
      </c>
      <c r="Q31" s="200"/>
      <c r="R31" s="200"/>
    </row>
    <row r="32" spans="1:18" ht="15.5">
      <c r="A32" s="786"/>
      <c r="B32" s="787"/>
      <c r="C32" s="788"/>
      <c r="D32" s="113"/>
      <c r="E32" s="792"/>
      <c r="F32" s="792"/>
      <c r="G32" s="126"/>
      <c r="H32" s="123"/>
      <c r="I32" s="114"/>
      <c r="J32" s="118"/>
      <c r="K32" s="793"/>
      <c r="L32" s="793"/>
      <c r="N32" s="203"/>
      <c r="O32" s="203" t="s">
        <v>187</v>
      </c>
      <c r="P32" s="211">
        <f>H37</f>
        <v>0</v>
      </c>
      <c r="Q32" s="197"/>
      <c r="R32" s="197"/>
    </row>
    <row r="33" spans="1:18" ht="15.5">
      <c r="A33" s="786"/>
      <c r="B33" s="787"/>
      <c r="C33" s="788"/>
      <c r="D33" s="113"/>
      <c r="E33" s="792"/>
      <c r="F33" s="792"/>
      <c r="G33" s="126"/>
      <c r="H33" s="123"/>
      <c r="I33" s="114"/>
      <c r="J33" s="118"/>
      <c r="K33" s="793"/>
      <c r="L33" s="793"/>
      <c r="N33" s="199"/>
      <c r="O33" s="201" t="s">
        <v>188</v>
      </c>
      <c r="P33" s="212">
        <f>P31-P32</f>
        <v>0</v>
      </c>
      <c r="Q33" s="200"/>
      <c r="R33" s="200"/>
    </row>
    <row r="34" spans="1:18" ht="15.5">
      <c r="A34" s="786"/>
      <c r="B34" s="787"/>
      <c r="C34" s="788"/>
      <c r="D34" s="113"/>
      <c r="E34" s="792"/>
      <c r="F34" s="792"/>
      <c r="G34" s="126"/>
      <c r="H34" s="123"/>
      <c r="I34" s="114"/>
      <c r="J34" s="118"/>
      <c r="K34" s="793"/>
      <c r="L34" s="793"/>
      <c r="N34" s="198"/>
      <c r="O34" s="199"/>
      <c r="P34" s="198"/>
      <c r="Q34" s="200"/>
      <c r="R34" s="200"/>
    </row>
    <row r="35" spans="1:18" ht="15.5">
      <c r="A35" s="786"/>
      <c r="B35" s="787"/>
      <c r="C35" s="788"/>
      <c r="D35" s="113"/>
      <c r="E35" s="792"/>
      <c r="F35" s="792"/>
      <c r="G35" s="126"/>
      <c r="H35" s="123"/>
      <c r="I35" s="114"/>
      <c r="J35" s="118"/>
      <c r="K35" s="793"/>
      <c r="L35" s="793"/>
      <c r="N35" s="195" t="s">
        <v>172</v>
      </c>
      <c r="O35" s="195"/>
      <c r="P35" s="196"/>
      <c r="Q35" s="197"/>
      <c r="R35" s="197"/>
    </row>
    <row r="36" spans="1:18" ht="16" thickBot="1">
      <c r="A36" s="786"/>
      <c r="B36" s="787"/>
      <c r="C36" s="788"/>
      <c r="D36" s="113"/>
      <c r="E36" s="789"/>
      <c r="F36" s="789"/>
      <c r="G36" s="127"/>
      <c r="H36" s="124"/>
      <c r="I36" s="116"/>
      <c r="J36" s="119"/>
      <c r="K36" s="790"/>
      <c r="L36" s="790"/>
      <c r="N36" s="199"/>
      <c r="O36" s="199" t="s">
        <v>186</v>
      </c>
      <c r="P36" s="206">
        <f>P20</f>
        <v>0</v>
      </c>
      <c r="Q36" s="200"/>
      <c r="R36" s="200"/>
    </row>
    <row r="37" spans="1:18" ht="18.5" thickBot="1">
      <c r="G37" s="128">
        <f>SUM(G12:G36)</f>
        <v>0</v>
      </c>
      <c r="H37" s="129">
        <f>SUM(H12:H36)</f>
        <v>0</v>
      </c>
      <c r="I37" s="129">
        <f>SUM(I12:I36)</f>
        <v>0</v>
      </c>
      <c r="J37" s="130"/>
      <c r="K37" s="791"/>
      <c r="L37" s="791"/>
      <c r="M37" s="105"/>
      <c r="N37" s="203"/>
      <c r="O37" s="203" t="s">
        <v>187</v>
      </c>
      <c r="P37" s="211">
        <f>I37</f>
        <v>0</v>
      </c>
      <c r="Q37" s="197"/>
      <c r="R37" s="197"/>
    </row>
    <row r="38" spans="1:18" ht="18.5" thickTop="1">
      <c r="B38" s="105"/>
      <c r="C38" s="105"/>
      <c r="D38" s="105"/>
      <c r="E38" s="105"/>
      <c r="F38" s="105"/>
      <c r="G38" s="105"/>
      <c r="H38" s="105"/>
      <c r="I38" s="105"/>
      <c r="J38" s="105"/>
      <c r="K38" s="105"/>
      <c r="L38" s="105"/>
      <c r="M38" s="105"/>
      <c r="N38" s="199"/>
      <c r="O38" s="201" t="s">
        <v>188</v>
      </c>
      <c r="P38" s="212">
        <f>P36-P37</f>
        <v>0</v>
      </c>
      <c r="Q38" s="200"/>
      <c r="R38" s="200"/>
    </row>
  </sheetData>
  <sheetProtection algorithmName="SHA-512" hashValue="xRePt4C6V1NrEe2T0BikQNVQRwokcAU55nygWl6q3VjRAkFN+s5RvpJSDctg45/+ssNZTDNQ+SMjZ6McdNrxFA==" saltValue="2RdCZKLhbMxbAP0bkrpovA==" spinCount="100000" sheet="1" objects="1" scenarios="1" formatCells="0" selectLockedCells="1" autoFilter="0"/>
  <mergeCells count="98">
    <mergeCell ref="H3:I3"/>
    <mergeCell ref="B4:C4"/>
    <mergeCell ref="E4:F4"/>
    <mergeCell ref="H4:I4"/>
    <mergeCell ref="J4:K4"/>
    <mergeCell ref="B6:C6"/>
    <mergeCell ref="E6:F6"/>
    <mergeCell ref="B7:C7"/>
    <mergeCell ref="E9:F9"/>
    <mergeCell ref="B5:C5"/>
    <mergeCell ref="E5:F5"/>
    <mergeCell ref="A12:C12"/>
    <mergeCell ref="E12:F12"/>
    <mergeCell ref="K12:L12"/>
    <mergeCell ref="K10:L11"/>
    <mergeCell ref="J10:J11"/>
    <mergeCell ref="I10:I11"/>
    <mergeCell ref="H10:H11"/>
    <mergeCell ref="G10:G11"/>
    <mergeCell ref="E10:F11"/>
    <mergeCell ref="D10:D11"/>
    <mergeCell ref="A10:C11"/>
    <mergeCell ref="A13:C13"/>
    <mergeCell ref="E13:F13"/>
    <mergeCell ref="K13:L13"/>
    <mergeCell ref="A14:C14"/>
    <mergeCell ref="E14:F14"/>
    <mergeCell ref="K14:L14"/>
    <mergeCell ref="A15:C15"/>
    <mergeCell ref="E15:F15"/>
    <mergeCell ref="K15:L15"/>
    <mergeCell ref="A16:C16"/>
    <mergeCell ref="E16:F16"/>
    <mergeCell ref="K16:L16"/>
    <mergeCell ref="A17:C17"/>
    <mergeCell ref="E17:F17"/>
    <mergeCell ref="K17:L17"/>
    <mergeCell ref="A18:C18"/>
    <mergeCell ref="E18:F18"/>
    <mergeCell ref="K18:L18"/>
    <mergeCell ref="A19:C19"/>
    <mergeCell ref="E19:F19"/>
    <mergeCell ref="K19:L19"/>
    <mergeCell ref="A20:C20"/>
    <mergeCell ref="E20:F20"/>
    <mergeCell ref="K20:L20"/>
    <mergeCell ref="A21:C21"/>
    <mergeCell ref="E21:F21"/>
    <mergeCell ref="K21:L21"/>
    <mergeCell ref="A22:C22"/>
    <mergeCell ref="E22:F22"/>
    <mergeCell ref="K22:L22"/>
    <mergeCell ref="A23:C23"/>
    <mergeCell ref="E23:F23"/>
    <mergeCell ref="K23:L23"/>
    <mergeCell ref="A24:C24"/>
    <mergeCell ref="E24:F24"/>
    <mergeCell ref="K24:L24"/>
    <mergeCell ref="E28:F28"/>
    <mergeCell ref="K28:L28"/>
    <mergeCell ref="A25:C25"/>
    <mergeCell ref="E25:F25"/>
    <mergeCell ref="K25:L25"/>
    <mergeCell ref="A26:C26"/>
    <mergeCell ref="E26:F26"/>
    <mergeCell ref="K26:L26"/>
    <mergeCell ref="N1:R1"/>
    <mergeCell ref="N24:R24"/>
    <mergeCell ref="A34:C34"/>
    <mergeCell ref="E34:F34"/>
    <mergeCell ref="K34:L34"/>
    <mergeCell ref="A32:C32"/>
    <mergeCell ref="E32:F32"/>
    <mergeCell ref="K32:L32"/>
    <mergeCell ref="A33:C33"/>
    <mergeCell ref="A29:C29"/>
    <mergeCell ref="E29:F29"/>
    <mergeCell ref="K29:L29"/>
    <mergeCell ref="E33:F33"/>
    <mergeCell ref="K33:L33"/>
    <mergeCell ref="A30:C30"/>
    <mergeCell ref="E30:F30"/>
    <mergeCell ref="G5:H5"/>
    <mergeCell ref="A36:C36"/>
    <mergeCell ref="E36:F36"/>
    <mergeCell ref="K36:L36"/>
    <mergeCell ref="K37:L37"/>
    <mergeCell ref="A35:C35"/>
    <mergeCell ref="E35:F35"/>
    <mergeCell ref="K35:L35"/>
    <mergeCell ref="K30:L30"/>
    <mergeCell ref="A31:C31"/>
    <mergeCell ref="E31:F31"/>
    <mergeCell ref="K31:L31"/>
    <mergeCell ref="A27:C27"/>
    <mergeCell ref="E27:F27"/>
    <mergeCell ref="K27:L27"/>
    <mergeCell ref="A28:C28"/>
  </mergeCells>
  <dataValidations disablePrompts="1" count="1">
    <dataValidation type="list" allowBlank="1" showInputMessage="1" showErrorMessage="1" sqref="D12:D36" xr:uid="{00000000-0002-0000-0900-000000000000}">
      <formula1>"Yes,No"</formula1>
    </dataValidation>
  </dataValidations>
  <pageMargins left="0.7" right="0.7" top="0.75" bottom="0.75" header="0.3" footer="0.3"/>
  <pageSetup scale="68"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4AAA7-33DC-4A6F-9E41-8D7B0CDC92E0}">
  <dimension ref="A1:L20"/>
  <sheetViews>
    <sheetView tabSelected="1" workbookViewId="0">
      <selection sqref="A1:F1"/>
    </sheetView>
  </sheetViews>
  <sheetFormatPr defaultRowHeight="14.5"/>
  <cols>
    <col min="1" max="1" width="11" customWidth="1"/>
    <col min="2" max="2" width="14.26953125" style="40" customWidth="1"/>
    <col min="3" max="4" width="13.26953125" style="510" customWidth="1"/>
    <col min="5" max="5" width="13.1796875" style="40" customWidth="1"/>
    <col min="7" max="7" width="12.54296875" customWidth="1"/>
    <col min="9" max="9" width="14.81640625" style="40" customWidth="1"/>
    <col min="10" max="10" width="12.81640625" style="41" customWidth="1"/>
    <col min="11" max="11" width="11.453125" bestFit="1" customWidth="1"/>
  </cols>
  <sheetData>
    <row r="1" spans="1:12">
      <c r="A1" s="783" t="s">
        <v>1260</v>
      </c>
      <c r="B1" s="783"/>
      <c r="C1" s="783"/>
      <c r="D1" s="783"/>
      <c r="E1" s="783"/>
      <c r="F1" s="783"/>
      <c r="H1" s="783" t="s">
        <v>1261</v>
      </c>
      <c r="I1" s="783"/>
      <c r="J1" s="783"/>
      <c r="K1" s="783"/>
      <c r="L1" s="783"/>
    </row>
    <row r="2" spans="1:12" s="514" customFormat="1">
      <c r="A2" s="514" t="s">
        <v>1262</v>
      </c>
      <c r="D2" s="514" t="s">
        <v>1257</v>
      </c>
      <c r="H2" s="514" t="s">
        <v>1262</v>
      </c>
    </row>
    <row r="3" spans="1:12">
      <c r="A3" s="515"/>
      <c r="B3" s="40" t="s">
        <v>3</v>
      </c>
      <c r="C3" s="516"/>
      <c r="D3" s="56">
        <f>ROUND(C3*(1+A3),2)</f>
        <v>0</v>
      </c>
      <c r="H3" s="515">
        <v>0.1</v>
      </c>
      <c r="I3" s="40" t="s">
        <v>3</v>
      </c>
      <c r="J3" s="56">
        <f>ROUND(C3*(1+H3),2)</f>
        <v>0</v>
      </c>
    </row>
    <row r="4" spans="1:12">
      <c r="A4" s="515"/>
      <c r="B4" s="40" t="s">
        <v>55</v>
      </c>
      <c r="C4" s="516"/>
      <c r="D4" s="56">
        <f t="shared" ref="D4:D7" si="0">ROUND(C4*(1+A4),2)</f>
        <v>0</v>
      </c>
      <c r="H4" s="515">
        <v>0.1</v>
      </c>
      <c r="I4" s="40" t="s">
        <v>55</v>
      </c>
      <c r="J4" s="56">
        <f t="shared" ref="J4:J7" si="1">ROUND(C4*(1+H4),2)</f>
        <v>0</v>
      </c>
    </row>
    <row r="5" spans="1:12">
      <c r="A5" s="515"/>
      <c r="B5" s="40" t="s">
        <v>61</v>
      </c>
      <c r="C5" s="516"/>
      <c r="D5" s="56">
        <f t="shared" si="0"/>
        <v>0</v>
      </c>
      <c r="E5" s="40" t="s">
        <v>171</v>
      </c>
      <c r="F5" s="517"/>
      <c r="H5" s="515">
        <v>0.1</v>
      </c>
      <c r="I5" s="40" t="s">
        <v>61</v>
      </c>
      <c r="J5" s="56">
        <f t="shared" si="1"/>
        <v>0</v>
      </c>
      <c r="K5" t="str">
        <f t="shared" ref="K5:L5" si="2">E5</f>
        <v>Labor Hours</v>
      </c>
      <c r="L5">
        <f t="shared" si="2"/>
        <v>0</v>
      </c>
    </row>
    <row r="6" spans="1:12">
      <c r="A6" s="515"/>
      <c r="B6" s="40" t="s">
        <v>6</v>
      </c>
      <c r="C6" s="516"/>
      <c r="D6" s="56">
        <f t="shared" si="0"/>
        <v>0</v>
      </c>
      <c r="E6" s="40" t="s">
        <v>1264</v>
      </c>
      <c r="F6" s="56" t="e">
        <f>ROUND(C5/F5,2)</f>
        <v>#DIV/0!</v>
      </c>
      <c r="H6" s="515">
        <v>0.1</v>
      </c>
      <c r="I6" s="40" t="s">
        <v>6</v>
      </c>
      <c r="J6" s="56">
        <f t="shared" si="1"/>
        <v>0</v>
      </c>
    </row>
    <row r="7" spans="1:12">
      <c r="A7" s="515"/>
      <c r="B7" s="40" t="s">
        <v>50</v>
      </c>
      <c r="C7" s="516"/>
      <c r="D7" s="56">
        <f t="shared" si="0"/>
        <v>0</v>
      </c>
      <c r="H7" s="515">
        <v>0.1</v>
      </c>
      <c r="I7" s="40" t="s">
        <v>50</v>
      </c>
      <c r="J7" s="56">
        <f t="shared" si="1"/>
        <v>0</v>
      </c>
    </row>
    <row r="8" spans="1:12">
      <c r="C8" s="40" t="s">
        <v>1257</v>
      </c>
      <c r="D8" s="510">
        <f>SUM(D3:D7)</f>
        <v>0</v>
      </c>
      <c r="I8" s="40" t="s">
        <v>1257</v>
      </c>
      <c r="J8" s="510">
        <f>SUM(J3:J7)</f>
        <v>0</v>
      </c>
    </row>
    <row r="10" spans="1:12">
      <c r="A10" s="515">
        <v>0.2</v>
      </c>
      <c r="C10" s="40" t="s">
        <v>1263</v>
      </c>
      <c r="D10" s="510">
        <f>ROUND(D8*A10,2)</f>
        <v>0</v>
      </c>
      <c r="H10" s="515"/>
      <c r="I10" s="40" t="s">
        <v>1263</v>
      </c>
      <c r="J10" s="512">
        <f>ROUND(J8*H10,2)</f>
        <v>0</v>
      </c>
    </row>
    <row r="11" spans="1:12">
      <c r="B11"/>
      <c r="C11" s="40" t="s">
        <v>1257</v>
      </c>
      <c r="D11" s="510">
        <f>D8+D10</f>
        <v>0</v>
      </c>
      <c r="I11" s="40" t="s">
        <v>1257</v>
      </c>
      <c r="J11" s="510">
        <f>J8+J10</f>
        <v>0</v>
      </c>
    </row>
    <row r="12" spans="1:12">
      <c r="B12"/>
      <c r="C12" s="40"/>
      <c r="J12" s="510"/>
    </row>
    <row r="13" spans="1:12">
      <c r="B13" s="511">
        <f>'CP Backup'!$C$123</f>
        <v>5.4999999999999997E-3</v>
      </c>
      <c r="C13" s="40" t="s">
        <v>1256</v>
      </c>
      <c r="D13" s="510">
        <f>ROUND(D11*B13,2)</f>
        <v>0</v>
      </c>
      <c r="H13" s="511">
        <f>'CP Backup'!$C$123</f>
        <v>5.4999999999999997E-3</v>
      </c>
      <c r="I13" s="40" t="s">
        <v>1256</v>
      </c>
      <c r="J13" s="510">
        <f>ROUND(J11*H13,2)</f>
        <v>0</v>
      </c>
    </row>
    <row r="14" spans="1:12">
      <c r="B14"/>
      <c r="C14" s="40"/>
      <c r="J14" s="510"/>
    </row>
    <row r="15" spans="1:12">
      <c r="B15"/>
      <c r="C15" s="40" t="s">
        <v>12</v>
      </c>
      <c r="D15" s="510">
        <f>D11+D13</f>
        <v>0</v>
      </c>
      <c r="I15" s="40" t="s">
        <v>12</v>
      </c>
      <c r="J15" s="510">
        <f>J11+J13</f>
        <v>0</v>
      </c>
    </row>
    <row r="18" spans="9:10">
      <c r="I18" s="40" t="s">
        <v>1258</v>
      </c>
      <c r="J18" s="56">
        <f>D15-J15</f>
        <v>0</v>
      </c>
    </row>
    <row r="20" spans="9:10">
      <c r="I20" s="40" t="s">
        <v>1259</v>
      </c>
      <c r="J20" s="513" t="e">
        <f>ROUND(J18/L5,2)</f>
        <v>#DIV/0!</v>
      </c>
    </row>
  </sheetData>
  <sheetProtection algorithmName="SHA-512" hashValue="VP83lcpAGXJP55PXramN7tn9qRJMKpevOYUJendVPHzT//o3enNMkm/GmpsV5pzoMWO9g0GO3r6jfPT87mLK2A==" saltValue="3H12lOSisW6c/UQbk/W9+A==" spinCount="100000" sheet="1" objects="1" scenarios="1" formatCells="0" autoFilter="0"/>
  <mergeCells count="2">
    <mergeCell ref="A1:F1"/>
    <mergeCell ref="H1:L1"/>
  </mergeCells>
  <pageMargins left="0.7" right="0.7" top="0.75" bottom="0.75" header="0.3" footer="0.3"/>
  <ignoredErrors>
    <ignoredError sqref="J5"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24EB2-8994-4802-A8DF-7145F22FCEFC}">
  <sheetPr codeName="Sheet11"/>
  <dimension ref="A1:G963"/>
  <sheetViews>
    <sheetView topLeftCell="A905" workbookViewId="0">
      <selection activeCell="G935" sqref="G935"/>
    </sheetView>
  </sheetViews>
  <sheetFormatPr defaultColWidth="9.1796875" defaultRowHeight="14.5"/>
  <cols>
    <col min="1" max="1" width="9.7265625" style="121" bestFit="1" customWidth="1"/>
    <col min="2" max="2" width="7" style="121" bestFit="1" customWidth="1"/>
    <col min="3" max="3" width="8.81640625" style="121" customWidth="1"/>
    <col min="4" max="4" width="11" style="121" customWidth="1"/>
    <col min="5" max="5" width="13.81640625" style="121" customWidth="1"/>
    <col min="6" max="6" width="9.7265625" style="121" customWidth="1"/>
    <col min="7" max="7" width="32.26953125" style="121" customWidth="1"/>
    <col min="8" max="16384" width="9.1796875" style="121"/>
  </cols>
  <sheetData>
    <row r="1" spans="1:7">
      <c r="A1" s="121" t="s">
        <v>1050</v>
      </c>
      <c r="B1" s="121" t="s">
        <v>684</v>
      </c>
      <c r="C1" s="121" t="s">
        <v>1055</v>
      </c>
      <c r="D1" s="121" t="s">
        <v>1051</v>
      </c>
      <c r="E1" s="121" t="s">
        <v>1056</v>
      </c>
      <c r="F1" s="121" t="s">
        <v>1057</v>
      </c>
      <c r="G1" s="121" t="s">
        <v>65</v>
      </c>
    </row>
    <row r="2" spans="1:7">
      <c r="A2" s="121">
        <f>'Inventory Takeoff'!B6</f>
        <v>1</v>
      </c>
      <c r="B2" s="121">
        <f>'Inventory Takeoff'!H6</f>
        <v>1.1599999999999999</v>
      </c>
      <c r="C2" s="121" t="s">
        <v>109</v>
      </c>
      <c r="D2" s="121" t="s">
        <v>1052</v>
      </c>
      <c r="E2" s="271">
        <f>IF('Inventory Takeoff'!J6="","",'Inventory Takeoff'!J6)</f>
        <v>46239</v>
      </c>
      <c r="F2" s="121" t="s">
        <v>1053</v>
      </c>
      <c r="G2" s="121" t="str">
        <f>'Inventory Takeoff'!C6</f>
        <v>26 Gauge Galvanized</v>
      </c>
    </row>
    <row r="3" spans="1:7">
      <c r="A3" s="121">
        <f>'Inventory Takeoff'!B7</f>
        <v>2</v>
      </c>
      <c r="B3" s="121">
        <f>'Inventory Takeoff'!H7</f>
        <v>1.1599999999999999</v>
      </c>
      <c r="C3" s="121" t="s">
        <v>109</v>
      </c>
      <c r="D3" s="121" t="s">
        <v>1052</v>
      </c>
      <c r="E3" s="271">
        <f>IF('Inventory Takeoff'!J7="","",'Inventory Takeoff'!J7)</f>
        <v>46239</v>
      </c>
      <c r="F3" s="121" t="s">
        <v>1053</v>
      </c>
      <c r="G3" s="121" t="str">
        <f>'Inventory Takeoff'!C7</f>
        <v>24 Gauge Galvanized</v>
      </c>
    </row>
    <row r="4" spans="1:7">
      <c r="A4" s="121">
        <f>'Inventory Takeoff'!B8</f>
        <v>3</v>
      </c>
      <c r="B4" s="121">
        <f>'Inventory Takeoff'!H8</f>
        <v>1.1599999999999999</v>
      </c>
      <c r="C4" s="121" t="s">
        <v>109</v>
      </c>
      <c r="D4" s="121" t="s">
        <v>1052</v>
      </c>
      <c r="E4" s="271">
        <f>IF('Inventory Takeoff'!J8="","",'Inventory Takeoff'!J8)</f>
        <v>46239</v>
      </c>
      <c r="F4" s="121" t="s">
        <v>1053</v>
      </c>
      <c r="G4" s="121" t="str">
        <f>'Inventory Takeoff'!C8</f>
        <v>22 Gauge Galvanized</v>
      </c>
    </row>
    <row r="5" spans="1:7">
      <c r="A5" s="121">
        <f>'Inventory Takeoff'!B9</f>
        <v>4</v>
      </c>
      <c r="B5" s="121">
        <f>'Inventory Takeoff'!H9</f>
        <v>1.1599999999999999</v>
      </c>
      <c r="C5" s="121" t="s">
        <v>109</v>
      </c>
      <c r="D5" s="121" t="s">
        <v>1052</v>
      </c>
      <c r="E5" s="271">
        <f>IF('Inventory Takeoff'!J9="","",'Inventory Takeoff'!J9)</f>
        <v>46239</v>
      </c>
      <c r="F5" s="121" t="s">
        <v>1053</v>
      </c>
      <c r="G5" s="121" t="str">
        <f>'Inventory Takeoff'!C9</f>
        <v>20 Gauge Galvanized</v>
      </c>
    </row>
    <row r="6" spans="1:7">
      <c r="A6" s="121">
        <f>'Inventory Takeoff'!B10</f>
        <v>5</v>
      </c>
      <c r="B6" s="121">
        <f>'Inventory Takeoff'!H10</f>
        <v>1.1599999999999999</v>
      </c>
      <c r="C6" s="121" t="s">
        <v>109</v>
      </c>
      <c r="D6" s="121" t="s">
        <v>1052</v>
      </c>
      <c r="E6" s="271">
        <f>IF('Inventory Takeoff'!J10="","",'Inventory Takeoff'!J10)</f>
        <v>46239</v>
      </c>
      <c r="F6" s="121" t="s">
        <v>1053</v>
      </c>
      <c r="G6" s="121" t="str">
        <f>'Inventory Takeoff'!C10</f>
        <v>18 Gauge Galvanized</v>
      </c>
    </row>
    <row r="7" spans="1:7">
      <c r="A7" s="121">
        <f>'Inventory Takeoff'!B11</f>
        <v>6</v>
      </c>
      <c r="B7" s="121">
        <f>'Inventory Takeoff'!H11</f>
        <v>1.1599999999999999</v>
      </c>
      <c r="C7" s="121" t="s">
        <v>109</v>
      </c>
      <c r="D7" s="121" t="s">
        <v>1052</v>
      </c>
      <c r="E7" s="271">
        <f>IF('Inventory Takeoff'!J11="","",'Inventory Takeoff'!J11)</f>
        <v>46239</v>
      </c>
      <c r="F7" s="121" t="s">
        <v>1053</v>
      </c>
      <c r="G7" s="121" t="str">
        <f>'Inventory Takeoff'!C11</f>
        <v>16 Gauge Galvanized</v>
      </c>
    </row>
    <row r="8" spans="1:7">
      <c r="A8" s="121">
        <f>'Inventory Takeoff'!B12</f>
        <v>7</v>
      </c>
      <c r="B8" s="121">
        <f>'Inventory Takeoff'!H12</f>
        <v>1.1599999999999999</v>
      </c>
      <c r="C8" s="121" t="s">
        <v>109</v>
      </c>
      <c r="D8" s="121" t="s">
        <v>1052</v>
      </c>
      <c r="E8" s="271">
        <f>IF('Inventory Takeoff'!J12="","",'Inventory Takeoff'!J12)</f>
        <v>46239</v>
      </c>
      <c r="F8" s="121" t="s">
        <v>1053</v>
      </c>
      <c r="G8" s="121" t="str">
        <f>'Inventory Takeoff'!C12</f>
        <v>14 Gauge Galvanized</v>
      </c>
    </row>
    <row r="9" spans="1:7">
      <c r="A9" s="121">
        <f>'Inventory Takeoff'!B13</f>
        <v>8</v>
      </c>
      <c r="B9" s="121">
        <f>'Inventory Takeoff'!H13</f>
        <v>1.1599999999999999</v>
      </c>
      <c r="C9" s="121" t="s">
        <v>109</v>
      </c>
      <c r="D9" s="121" t="s">
        <v>1052</v>
      </c>
      <c r="E9" s="271">
        <f>IF('Inventory Takeoff'!J13="","",'Inventory Takeoff'!J13)</f>
        <v>46239</v>
      </c>
      <c r="F9" s="121" t="s">
        <v>1053</v>
      </c>
      <c r="G9" s="121" t="str">
        <f>'Inventory Takeoff'!C13</f>
        <v>12 Gauge Galvanized</v>
      </c>
    </row>
    <row r="10" spans="1:7">
      <c r="A10" s="121">
        <f>'Inventory Takeoff'!B14</f>
        <v>9</v>
      </c>
      <c r="B10" s="121">
        <f>'Inventory Takeoff'!H14</f>
        <v>1.1599999999999999</v>
      </c>
      <c r="C10" s="121" t="s">
        <v>109</v>
      </c>
      <c r="D10" s="121" t="s">
        <v>1052</v>
      </c>
      <c r="E10" s="271">
        <f>IF('Inventory Takeoff'!J14="","",'Inventory Takeoff'!J14)</f>
        <v>46239</v>
      </c>
      <c r="F10" s="121" t="s">
        <v>1053</v>
      </c>
      <c r="G10" s="121" t="str">
        <f>'Inventory Takeoff'!C14</f>
        <v>10 Gauge Galvanized</v>
      </c>
    </row>
    <row r="11" spans="1:7">
      <c r="A11" s="121">
        <f>'Inventory Takeoff'!B15</f>
        <v>10</v>
      </c>
      <c r="B11" s="121">
        <f>'Inventory Takeoff'!H15</f>
        <v>5.3199999999999994</v>
      </c>
      <c r="C11" s="121" t="s">
        <v>109</v>
      </c>
      <c r="D11" s="121" t="s">
        <v>1052</v>
      </c>
      <c r="E11" s="271">
        <f>IF('Inventory Takeoff'!J15="","",'Inventory Takeoff'!J15)</f>
        <v>44959</v>
      </c>
      <c r="F11" s="121" t="s">
        <v>1053</v>
      </c>
      <c r="G11" s="121" t="str">
        <f>'Inventory Takeoff'!C15</f>
        <v>24 Gauge Stainless Steel - 316</v>
      </c>
    </row>
    <row r="12" spans="1:7">
      <c r="A12" s="121">
        <f>'Inventory Takeoff'!B16</f>
        <v>11</v>
      </c>
      <c r="B12" s="121">
        <f>'Inventory Takeoff'!H16</f>
        <v>61.01</v>
      </c>
      <c r="C12" s="121" t="s">
        <v>109</v>
      </c>
      <c r="D12" s="121" t="s">
        <v>1054</v>
      </c>
      <c r="E12" s="271">
        <f>IF('Inventory Takeoff'!J16="","",'Inventory Takeoff'!J16)</f>
        <v>46066</v>
      </c>
      <c r="F12" s="121" t="s">
        <v>1053</v>
      </c>
      <c r="G12" s="121" t="str">
        <f>'Inventory Takeoff'!C16</f>
        <v>Chuck Adapter for Impacts</v>
      </c>
    </row>
    <row r="13" spans="1:7">
      <c r="A13" s="121">
        <f>'Inventory Takeoff'!B17</f>
        <v>12</v>
      </c>
      <c r="B13" s="121">
        <f>'Inventory Takeoff'!H17</f>
        <v>81.62</v>
      </c>
      <c r="C13" s="121" t="s">
        <v>109</v>
      </c>
      <c r="D13" s="121" t="s">
        <v>1054</v>
      </c>
      <c r="E13" s="271">
        <f>IF('Inventory Takeoff'!J17="","",'Inventory Takeoff'!J17)</f>
        <v>46066</v>
      </c>
      <c r="F13" s="121" t="s">
        <v>1053</v>
      </c>
      <c r="G13" s="121" t="str">
        <f>'Inventory Takeoff'!C17</f>
        <v>Right Angle Adapter</v>
      </c>
    </row>
    <row r="14" spans="1:7">
      <c r="A14" s="121">
        <f>'Inventory Takeoff'!B18</f>
        <v>13</v>
      </c>
      <c r="B14" s="121">
        <f>'Inventory Takeoff'!H18</f>
        <v>5.6899999999999995</v>
      </c>
      <c r="C14" s="121" t="s">
        <v>109</v>
      </c>
      <c r="D14" s="121" t="s">
        <v>1052</v>
      </c>
      <c r="E14" s="271">
        <f>IF('Inventory Takeoff'!J18="","",'Inventory Takeoff'!J18)</f>
        <v>44959</v>
      </c>
      <c r="F14" s="121" t="s">
        <v>1053</v>
      </c>
      <c r="G14" s="121" t="str">
        <f>'Inventory Takeoff'!C18</f>
        <v>3/16" Stainless Steel - 316</v>
      </c>
    </row>
    <row r="15" spans="1:7">
      <c r="A15" s="121">
        <f>'Inventory Takeoff'!B19</f>
        <v>14</v>
      </c>
      <c r="B15" s="121">
        <f>'Inventory Takeoff'!H19</f>
        <v>5.6899999999999995</v>
      </c>
      <c r="C15" s="121" t="s">
        <v>109</v>
      </c>
      <c r="D15" s="121" t="s">
        <v>1052</v>
      </c>
      <c r="E15" s="271">
        <f>IF('Inventory Takeoff'!J19="","",'Inventory Takeoff'!J19)</f>
        <v>44959</v>
      </c>
      <c r="F15" s="121" t="s">
        <v>1053</v>
      </c>
      <c r="G15" s="121" t="str">
        <f>'Inventory Takeoff'!C19</f>
        <v>1/4" Stainless Steel - 316</v>
      </c>
    </row>
    <row r="16" spans="1:7">
      <c r="A16" s="121">
        <f>'Inventory Takeoff'!B20</f>
        <v>15</v>
      </c>
      <c r="B16" s="121">
        <f>'Inventory Takeoff'!H20</f>
        <v>0</v>
      </c>
      <c r="C16" s="121" t="s">
        <v>109</v>
      </c>
      <c r="D16" s="121" t="s">
        <v>1054</v>
      </c>
      <c r="E16" s="271" t="str">
        <f>IF('Inventory Takeoff'!J20="","",'Inventory Takeoff'!J20)</f>
        <v/>
      </c>
      <c r="F16" s="121" t="s">
        <v>1053</v>
      </c>
      <c r="G16" s="121" t="str">
        <f>'Inventory Takeoff'!C20</f>
        <v>Not Used</v>
      </c>
    </row>
    <row r="17" spans="1:7">
      <c r="A17" s="121">
        <f>'Inventory Takeoff'!B21</f>
        <v>16</v>
      </c>
      <c r="B17" s="121">
        <f>'Inventory Takeoff'!H21</f>
        <v>3.03</v>
      </c>
      <c r="C17" s="121" t="s">
        <v>109</v>
      </c>
      <c r="D17" s="121" t="s">
        <v>1052</v>
      </c>
      <c r="E17" s="271">
        <f>IF('Inventory Takeoff'!J21="","",'Inventory Takeoff'!J21)</f>
        <v>44959</v>
      </c>
      <c r="F17" s="121" t="s">
        <v>1053</v>
      </c>
      <c r="G17" s="121" t="str">
        <f>'Inventory Takeoff'!C21</f>
        <v>24 Gauge Stainless Steel - 304</v>
      </c>
    </row>
    <row r="18" spans="1:7">
      <c r="A18" s="121">
        <f>'Inventory Takeoff'!B22</f>
        <v>17</v>
      </c>
      <c r="B18" s="121">
        <f>'Inventory Takeoff'!H22</f>
        <v>3.03</v>
      </c>
      <c r="C18" s="121" t="s">
        <v>109</v>
      </c>
      <c r="D18" s="121" t="s">
        <v>1052</v>
      </c>
      <c r="E18" s="271">
        <f>IF('Inventory Takeoff'!J22="","",'Inventory Takeoff'!J22)</f>
        <v>44959</v>
      </c>
      <c r="F18" s="121" t="s">
        <v>1053</v>
      </c>
      <c r="G18" s="121" t="str">
        <f>'Inventory Takeoff'!C22</f>
        <v>22 Gauge Stainless Steel - 304</v>
      </c>
    </row>
    <row r="19" spans="1:7">
      <c r="A19" s="121">
        <f>'Inventory Takeoff'!B23</f>
        <v>18</v>
      </c>
      <c r="B19" s="121">
        <f>'Inventory Takeoff'!H23</f>
        <v>2.9699999999999998</v>
      </c>
      <c r="C19" s="121" t="s">
        <v>109</v>
      </c>
      <c r="D19" s="121" t="s">
        <v>1052</v>
      </c>
      <c r="E19" s="271">
        <f>IF('Inventory Takeoff'!J23="","",'Inventory Takeoff'!J23)</f>
        <v>44959</v>
      </c>
      <c r="F19" s="121" t="s">
        <v>1053</v>
      </c>
      <c r="G19" s="121" t="str">
        <f>'Inventory Takeoff'!C23</f>
        <v>20 Gauge Stainless Steel - 304</v>
      </c>
    </row>
    <row r="20" spans="1:7">
      <c r="A20" s="121">
        <f>'Inventory Takeoff'!B24</f>
        <v>19</v>
      </c>
      <c r="B20" s="121">
        <f>'Inventory Takeoff'!H24</f>
        <v>2.9699999999999998</v>
      </c>
      <c r="C20" s="121" t="s">
        <v>109</v>
      </c>
      <c r="D20" s="121" t="s">
        <v>1052</v>
      </c>
      <c r="E20" s="271">
        <f>IF('Inventory Takeoff'!J24="","",'Inventory Takeoff'!J24)</f>
        <v>44959</v>
      </c>
      <c r="F20" s="121" t="s">
        <v>1053</v>
      </c>
      <c r="G20" s="121" t="str">
        <f>'Inventory Takeoff'!C24</f>
        <v>18 Gauge Stainless Steel - 304</v>
      </c>
    </row>
    <row r="21" spans="1:7">
      <c r="A21" s="121">
        <f>'Inventory Takeoff'!B25</f>
        <v>20</v>
      </c>
      <c r="B21" s="121">
        <f>'Inventory Takeoff'!H25</f>
        <v>2.9299999999999997</v>
      </c>
      <c r="C21" s="121" t="s">
        <v>109</v>
      </c>
      <c r="D21" s="121" t="s">
        <v>1052</v>
      </c>
      <c r="E21" s="271">
        <f>IF('Inventory Takeoff'!J25="","",'Inventory Takeoff'!J25)</f>
        <v>44959</v>
      </c>
      <c r="F21" s="121" t="s">
        <v>1053</v>
      </c>
      <c r="G21" s="121" t="str">
        <f>'Inventory Takeoff'!C25</f>
        <v>16 Gauge Stainless Steel - 304</v>
      </c>
    </row>
    <row r="22" spans="1:7">
      <c r="A22" s="121">
        <f>'Inventory Takeoff'!B26</f>
        <v>21</v>
      </c>
      <c r="B22" s="121">
        <f>'Inventory Takeoff'!H26</f>
        <v>2.9299999999999997</v>
      </c>
      <c r="C22" s="121" t="s">
        <v>109</v>
      </c>
      <c r="D22" s="121" t="s">
        <v>1052</v>
      </c>
      <c r="E22" s="271">
        <f>IF('Inventory Takeoff'!J26="","",'Inventory Takeoff'!J26)</f>
        <v>44959</v>
      </c>
      <c r="F22" s="121" t="s">
        <v>1053</v>
      </c>
      <c r="G22" s="121" t="str">
        <f>'Inventory Takeoff'!C26</f>
        <v>14 Gauge Stainless Steel - 304</v>
      </c>
    </row>
    <row r="23" spans="1:7">
      <c r="A23" s="121">
        <f>'Inventory Takeoff'!B27</f>
        <v>22</v>
      </c>
      <c r="B23" s="121">
        <f>'Inventory Takeoff'!H27</f>
        <v>2.9299999999999997</v>
      </c>
      <c r="C23" s="121" t="s">
        <v>109</v>
      </c>
      <c r="D23" s="121" t="s">
        <v>1052</v>
      </c>
      <c r="E23" s="271">
        <f>IF('Inventory Takeoff'!J27="","",'Inventory Takeoff'!J27)</f>
        <v>44959</v>
      </c>
      <c r="F23" s="121" t="s">
        <v>1053</v>
      </c>
      <c r="G23" s="121" t="str">
        <f>'Inventory Takeoff'!C27</f>
        <v>12 Gauge Stainless Steel - 304</v>
      </c>
    </row>
    <row r="24" spans="1:7">
      <c r="A24" s="121">
        <f>'Inventory Takeoff'!B28</f>
        <v>23</v>
      </c>
      <c r="B24" s="121">
        <f>'Inventory Takeoff'!H28</f>
        <v>2.9299999999999997</v>
      </c>
      <c r="C24" s="121" t="s">
        <v>109</v>
      </c>
      <c r="D24" s="121" t="s">
        <v>1052</v>
      </c>
      <c r="E24" s="271">
        <f>IF('Inventory Takeoff'!J28="","",'Inventory Takeoff'!J28)</f>
        <v>44959</v>
      </c>
      <c r="F24" s="121" t="s">
        <v>1053</v>
      </c>
      <c r="G24" s="121" t="str">
        <f>'Inventory Takeoff'!C28</f>
        <v>10 Gauge Stainless Steel - 304</v>
      </c>
    </row>
    <row r="25" spans="1:7">
      <c r="A25" s="121">
        <f>'Inventory Takeoff'!B29</f>
        <v>24</v>
      </c>
      <c r="B25" s="121">
        <f>'Inventory Takeoff'!H29</f>
        <v>19.84</v>
      </c>
      <c r="C25" s="121" t="s">
        <v>109</v>
      </c>
      <c r="D25" s="121" t="s">
        <v>1054</v>
      </c>
      <c r="E25" s="271">
        <f>IF('Inventory Takeoff'!J29="","",'Inventory Takeoff'!J29)</f>
        <v>44586</v>
      </c>
      <c r="F25" s="121" t="s">
        <v>1053</v>
      </c>
      <c r="G25" s="121" t="str">
        <f>'Inventory Takeoff'!C29</f>
        <v>Sharpies</v>
      </c>
    </row>
    <row r="26" spans="1:7">
      <c r="A26" s="121">
        <f>'Inventory Takeoff'!B30</f>
        <v>25</v>
      </c>
      <c r="B26" s="121">
        <f>'Inventory Takeoff'!H30</f>
        <v>9.74</v>
      </c>
      <c r="C26" s="121" t="s">
        <v>109</v>
      </c>
      <c r="D26" s="121" t="s">
        <v>1054</v>
      </c>
      <c r="E26" s="271">
        <f>IF('Inventory Takeoff'!J30="","",'Inventory Takeoff'!J30)</f>
        <v>44586</v>
      </c>
      <c r="F26" s="121" t="s">
        <v>1053</v>
      </c>
      <c r="G26" s="121" t="str">
        <f>'Inventory Takeoff'!C30</f>
        <v>Water</v>
      </c>
    </row>
    <row r="27" spans="1:7">
      <c r="A27" s="121">
        <f>'Inventory Takeoff'!B31</f>
        <v>26</v>
      </c>
      <c r="B27" s="121">
        <f>'Inventory Takeoff'!H31</f>
        <v>0.09</v>
      </c>
      <c r="C27" s="121" t="s">
        <v>109</v>
      </c>
      <c r="D27" s="121" t="s">
        <v>1054</v>
      </c>
      <c r="E27" s="271">
        <f>IF('Inventory Takeoff'!J31="","",'Inventory Takeoff'!J31)</f>
        <v>46066</v>
      </c>
      <c r="F27" s="121" t="s">
        <v>1053</v>
      </c>
      <c r="G27" s="121" t="str">
        <f>'Inventory Takeoff'!C31</f>
        <v>Hilti Zip Screw</v>
      </c>
    </row>
    <row r="28" spans="1:7">
      <c r="A28" s="121">
        <f>'Inventory Takeoff'!B32</f>
        <v>27</v>
      </c>
      <c r="B28" s="121">
        <f>'Inventory Takeoff'!H32</f>
        <v>3.7399999999999998</v>
      </c>
      <c r="C28" s="121" t="s">
        <v>109</v>
      </c>
      <c r="D28" s="121" t="s">
        <v>1052</v>
      </c>
      <c r="E28" s="271">
        <f>IF('Inventory Takeoff'!J32="","",'Inventory Takeoff'!J32)</f>
        <v>44959</v>
      </c>
      <c r="F28" s="121" t="s">
        <v>1053</v>
      </c>
      <c r="G28" s="121" t="str">
        <f>'Inventory Takeoff'!C32</f>
        <v>.032 Aluminum</v>
      </c>
    </row>
    <row r="29" spans="1:7">
      <c r="A29" s="121">
        <f>'Inventory Takeoff'!B33</f>
        <v>28</v>
      </c>
      <c r="B29" s="121">
        <f>'Inventory Takeoff'!H33</f>
        <v>3.7399999999999998</v>
      </c>
      <c r="C29" s="121" t="s">
        <v>109</v>
      </c>
      <c r="D29" s="121" t="s">
        <v>1052</v>
      </c>
      <c r="E29" s="271">
        <f>IF('Inventory Takeoff'!J33="","",'Inventory Takeoff'!J33)</f>
        <v>44959</v>
      </c>
      <c r="F29" s="121" t="s">
        <v>1053</v>
      </c>
      <c r="G29" s="121" t="str">
        <f>'Inventory Takeoff'!C33</f>
        <v>.040 Aluminum</v>
      </c>
    </row>
    <row r="30" spans="1:7">
      <c r="A30" s="121">
        <f>'Inventory Takeoff'!B34</f>
        <v>29</v>
      </c>
      <c r="B30" s="121">
        <f>'Inventory Takeoff'!H34</f>
        <v>3.69</v>
      </c>
      <c r="C30" s="121" t="s">
        <v>109</v>
      </c>
      <c r="D30" s="121" t="s">
        <v>1052</v>
      </c>
      <c r="E30" s="271">
        <f>IF('Inventory Takeoff'!J34="","",'Inventory Takeoff'!J34)</f>
        <v>44959</v>
      </c>
      <c r="F30" s="121" t="s">
        <v>1053</v>
      </c>
      <c r="G30" s="121" t="str">
        <f>'Inventory Takeoff'!C34</f>
        <v>.050 Aluminum</v>
      </c>
    </row>
    <row r="31" spans="1:7">
      <c r="A31" s="121">
        <f>'Inventory Takeoff'!B35</f>
        <v>30</v>
      </c>
      <c r="B31" s="121">
        <f>'Inventory Takeoff'!H35</f>
        <v>3.69</v>
      </c>
      <c r="C31" s="121" t="s">
        <v>109</v>
      </c>
      <c r="D31" s="121" t="s">
        <v>1052</v>
      </c>
      <c r="E31" s="271">
        <f>IF('Inventory Takeoff'!J35="","",'Inventory Takeoff'!J35)</f>
        <v>44959</v>
      </c>
      <c r="F31" s="121" t="s">
        <v>1053</v>
      </c>
      <c r="G31" s="121" t="str">
        <f>'Inventory Takeoff'!C35</f>
        <v>.063 Aluminum</v>
      </c>
    </row>
    <row r="32" spans="1:7">
      <c r="A32" s="121">
        <f>'Inventory Takeoff'!B36</f>
        <v>31</v>
      </c>
      <c r="B32" s="121">
        <f>'Inventory Takeoff'!H36</f>
        <v>3.63</v>
      </c>
      <c r="C32" s="121" t="s">
        <v>109</v>
      </c>
      <c r="D32" s="121" t="s">
        <v>1052</v>
      </c>
      <c r="E32" s="271">
        <f>IF('Inventory Takeoff'!J36="","",'Inventory Takeoff'!J36)</f>
        <v>44959</v>
      </c>
      <c r="F32" s="121" t="s">
        <v>1053</v>
      </c>
      <c r="G32" s="121" t="str">
        <f>'Inventory Takeoff'!C36</f>
        <v>.080 Aluminum</v>
      </c>
    </row>
    <row r="33" spans="1:7">
      <c r="A33" s="121">
        <f>'Inventory Takeoff'!B37</f>
        <v>32</v>
      </c>
      <c r="B33" s="121">
        <f>'Inventory Takeoff'!H37</f>
        <v>3.19</v>
      </c>
      <c r="C33" s="121" t="s">
        <v>109</v>
      </c>
      <c r="D33" s="121" t="s">
        <v>1052</v>
      </c>
      <c r="E33" s="271">
        <f>IF('Inventory Takeoff'!J37="","",'Inventory Takeoff'!J37)</f>
        <v>44959</v>
      </c>
      <c r="F33" s="121" t="s">
        <v>1053</v>
      </c>
      <c r="G33" s="121" t="str">
        <f>'Inventory Takeoff'!C37</f>
        <v>3/16" Stainless Steel - 304</v>
      </c>
    </row>
    <row r="34" spans="1:7">
      <c r="A34" s="121">
        <f>'Inventory Takeoff'!B38</f>
        <v>33</v>
      </c>
      <c r="B34" s="121">
        <f>'Inventory Takeoff'!H38</f>
        <v>3.19</v>
      </c>
      <c r="C34" s="121" t="s">
        <v>109</v>
      </c>
      <c r="D34" s="121" t="s">
        <v>1052</v>
      </c>
      <c r="E34" s="271">
        <f>IF('Inventory Takeoff'!J38="","",'Inventory Takeoff'!J38)</f>
        <v>44959</v>
      </c>
      <c r="F34" s="121" t="s">
        <v>1053</v>
      </c>
      <c r="G34" s="121" t="str">
        <f>'Inventory Takeoff'!C38</f>
        <v>1/4" Stainless Steel - 304</v>
      </c>
    </row>
    <row r="35" spans="1:7">
      <c r="A35" s="121">
        <f>'Inventory Takeoff'!B39</f>
        <v>34</v>
      </c>
      <c r="B35" s="121">
        <f>'Inventory Takeoff'!H39</f>
        <v>0</v>
      </c>
      <c r="C35" s="121" t="s">
        <v>109</v>
      </c>
      <c r="D35" s="121" t="s">
        <v>1054</v>
      </c>
      <c r="E35" s="271" t="str">
        <f>IF('Inventory Takeoff'!J39="","",'Inventory Takeoff'!J39)</f>
        <v/>
      </c>
      <c r="F35" s="121" t="s">
        <v>1053</v>
      </c>
      <c r="G35" s="121" t="str">
        <f>'Inventory Takeoff'!C39</f>
        <v>Not Used</v>
      </c>
    </row>
    <row r="36" spans="1:7">
      <c r="A36" s="121">
        <f>'Inventory Takeoff'!B40</f>
        <v>35</v>
      </c>
      <c r="B36" s="121">
        <f>'Inventory Takeoff'!H40</f>
        <v>1.21</v>
      </c>
      <c r="C36" s="121" t="s">
        <v>109</v>
      </c>
      <c r="D36" s="121" t="s">
        <v>1052</v>
      </c>
      <c r="E36" s="271">
        <f>IF('Inventory Takeoff'!J40="","",'Inventory Takeoff'!J40)</f>
        <v>46227</v>
      </c>
      <c r="F36" s="121" t="s">
        <v>1053</v>
      </c>
      <c r="G36" s="121" t="str">
        <f>'Inventory Takeoff'!C40</f>
        <v>16 Gauge Black Iron</v>
      </c>
    </row>
    <row r="37" spans="1:7">
      <c r="A37" s="121">
        <f>'Inventory Takeoff'!B41</f>
        <v>36</v>
      </c>
      <c r="B37" s="121">
        <f>'Inventory Takeoff'!H41</f>
        <v>1.21</v>
      </c>
      <c r="C37" s="121" t="s">
        <v>109</v>
      </c>
      <c r="D37" s="121" t="s">
        <v>1052</v>
      </c>
      <c r="E37" s="271">
        <f>IF('Inventory Takeoff'!J41="","",'Inventory Takeoff'!J41)</f>
        <v>46227</v>
      </c>
      <c r="F37" s="121" t="s">
        <v>1053</v>
      </c>
      <c r="G37" s="121" t="str">
        <f>'Inventory Takeoff'!C41</f>
        <v>14 Gauge Black Iron</v>
      </c>
    </row>
    <row r="38" spans="1:7">
      <c r="A38" s="121">
        <f>'Inventory Takeoff'!B42</f>
        <v>37</v>
      </c>
      <c r="B38" s="121">
        <f>'Inventory Takeoff'!H42</f>
        <v>1.21</v>
      </c>
      <c r="C38" s="121" t="s">
        <v>109</v>
      </c>
      <c r="D38" s="121" t="s">
        <v>1052</v>
      </c>
      <c r="E38" s="271">
        <f>IF('Inventory Takeoff'!J42="","",'Inventory Takeoff'!J42)</f>
        <v>46227</v>
      </c>
      <c r="F38" s="121" t="s">
        <v>1053</v>
      </c>
      <c r="G38" s="121" t="str">
        <f>'Inventory Takeoff'!C42</f>
        <v>12 Gauge Black Iron</v>
      </c>
    </row>
    <row r="39" spans="1:7">
      <c r="A39" s="121">
        <f>'Inventory Takeoff'!B43</f>
        <v>38</v>
      </c>
      <c r="B39" s="121">
        <f>'Inventory Takeoff'!H43</f>
        <v>1.21</v>
      </c>
      <c r="C39" s="121" t="s">
        <v>109</v>
      </c>
      <c r="D39" s="121" t="s">
        <v>1052</v>
      </c>
      <c r="E39" s="271">
        <f>IF('Inventory Takeoff'!J43="","",'Inventory Takeoff'!J43)</f>
        <v>46227</v>
      </c>
      <c r="F39" s="121" t="s">
        <v>1053</v>
      </c>
      <c r="G39" s="121" t="str">
        <f>'Inventory Takeoff'!C43</f>
        <v>10 Gauge Black Iron</v>
      </c>
    </row>
    <row r="40" spans="1:7">
      <c r="A40" s="121">
        <f>'Inventory Takeoff'!B44</f>
        <v>39</v>
      </c>
      <c r="B40" s="121">
        <f>'Inventory Takeoff'!H44</f>
        <v>0</v>
      </c>
      <c r="C40" s="121" t="s">
        <v>109</v>
      </c>
      <c r="D40" s="121" t="s">
        <v>1054</v>
      </c>
      <c r="E40" s="271" t="str">
        <f>IF('Inventory Takeoff'!J44="","",'Inventory Takeoff'!J44)</f>
        <v/>
      </c>
      <c r="F40" s="121" t="s">
        <v>1053</v>
      </c>
      <c r="G40" s="121" t="str">
        <f>'Inventory Takeoff'!C44</f>
        <v>Not Used</v>
      </c>
    </row>
    <row r="41" spans="1:7">
      <c r="A41" s="121">
        <f>'Inventory Takeoff'!B45</f>
        <v>40</v>
      </c>
      <c r="B41" s="121">
        <f>'Inventory Takeoff'!H45</f>
        <v>0</v>
      </c>
      <c r="C41" s="121" t="s">
        <v>109</v>
      </c>
      <c r="D41" s="121" t="s">
        <v>1054</v>
      </c>
      <c r="E41" s="271" t="str">
        <f>IF('Inventory Takeoff'!J45="","",'Inventory Takeoff'!J45)</f>
        <v/>
      </c>
      <c r="F41" s="121" t="s">
        <v>1053</v>
      </c>
      <c r="G41" s="121" t="str">
        <f>'Inventory Takeoff'!C45</f>
        <v>Not Used</v>
      </c>
    </row>
    <row r="42" spans="1:7">
      <c r="A42" s="121">
        <f>'Inventory Takeoff'!B46</f>
        <v>41</v>
      </c>
      <c r="B42" s="121">
        <f>'Inventory Takeoff'!H46</f>
        <v>1.53</v>
      </c>
      <c r="C42" s="121" t="s">
        <v>109</v>
      </c>
      <c r="D42" s="121" t="s">
        <v>1052</v>
      </c>
      <c r="E42" s="271">
        <f>IF('Inventory Takeoff'!J46="","",'Inventory Takeoff'!J46)</f>
        <v>44959</v>
      </c>
      <c r="F42" s="121" t="s">
        <v>1053</v>
      </c>
      <c r="G42" s="121" t="str">
        <f>'Inventory Takeoff'!C46</f>
        <v>Black Iron 3/16 Plate</v>
      </c>
    </row>
    <row r="43" spans="1:7">
      <c r="A43" s="121">
        <f>'Inventory Takeoff'!B47</f>
        <v>42</v>
      </c>
      <c r="B43" s="121">
        <f>'Inventory Takeoff'!H47</f>
        <v>1.53</v>
      </c>
      <c r="C43" s="121" t="s">
        <v>109</v>
      </c>
      <c r="D43" s="121" t="s">
        <v>1052</v>
      </c>
      <c r="E43" s="271">
        <f>IF('Inventory Takeoff'!J47="","",'Inventory Takeoff'!J47)</f>
        <v>44959</v>
      </c>
      <c r="F43" s="121" t="s">
        <v>1053</v>
      </c>
      <c r="G43" s="121" t="str">
        <f>'Inventory Takeoff'!C47</f>
        <v>Black Iron 1/4 Plate</v>
      </c>
    </row>
    <row r="44" spans="1:7">
      <c r="A44" s="121">
        <f>'Inventory Takeoff'!B48</f>
        <v>43</v>
      </c>
      <c r="B44" s="121">
        <f>'Inventory Takeoff'!H48</f>
        <v>1.51</v>
      </c>
      <c r="C44" s="121" t="s">
        <v>109</v>
      </c>
      <c r="D44" s="121" t="s">
        <v>1052</v>
      </c>
      <c r="E44" s="271" t="str">
        <f>IF('Inventory Takeoff'!J48="","",'Inventory Takeoff'!J48)</f>
        <v/>
      </c>
      <c r="F44" s="121" t="s">
        <v>1053</v>
      </c>
      <c r="G44" s="121" t="str">
        <f>'Inventory Takeoff'!C48</f>
        <v>26 Gauge EG Metal</v>
      </c>
    </row>
    <row r="45" spans="1:7">
      <c r="A45" s="121">
        <f>'Inventory Takeoff'!B49</f>
        <v>44</v>
      </c>
      <c r="B45" s="121">
        <f>'Inventory Takeoff'!H49</f>
        <v>1.51</v>
      </c>
      <c r="C45" s="121" t="s">
        <v>109</v>
      </c>
      <c r="D45" s="121" t="s">
        <v>1052</v>
      </c>
      <c r="E45" s="271" t="str">
        <f>IF('Inventory Takeoff'!J49="","",'Inventory Takeoff'!J49)</f>
        <v/>
      </c>
      <c r="F45" s="121" t="s">
        <v>1053</v>
      </c>
      <c r="G45" s="121" t="str">
        <f>'Inventory Takeoff'!C49</f>
        <v>24 Gauge EG Metal</v>
      </c>
    </row>
    <row r="46" spans="1:7">
      <c r="A46" s="121">
        <f>'Inventory Takeoff'!B50</f>
        <v>45</v>
      </c>
      <c r="B46" s="121">
        <f>'Inventory Takeoff'!H50</f>
        <v>1.51</v>
      </c>
      <c r="C46" s="121" t="s">
        <v>109</v>
      </c>
      <c r="D46" s="121" t="s">
        <v>1052</v>
      </c>
      <c r="E46" s="271" t="str">
        <f>IF('Inventory Takeoff'!J50="","",'Inventory Takeoff'!J50)</f>
        <v/>
      </c>
      <c r="F46" s="121" t="s">
        <v>1053</v>
      </c>
      <c r="G46" s="121" t="str">
        <f>'Inventory Takeoff'!C50</f>
        <v>22 Gauge EG Metal</v>
      </c>
    </row>
    <row r="47" spans="1:7">
      <c r="A47" s="121">
        <f>'Inventory Takeoff'!B51</f>
        <v>46</v>
      </c>
      <c r="B47" s="121">
        <f>'Inventory Takeoff'!H51</f>
        <v>1.51</v>
      </c>
      <c r="C47" s="121" t="s">
        <v>109</v>
      </c>
      <c r="D47" s="121" t="s">
        <v>1052</v>
      </c>
      <c r="E47" s="271" t="str">
        <f>IF('Inventory Takeoff'!J51="","",'Inventory Takeoff'!J51)</f>
        <v/>
      </c>
      <c r="F47" s="121" t="s">
        <v>1053</v>
      </c>
      <c r="G47" s="121" t="str">
        <f>'Inventory Takeoff'!C51</f>
        <v>20 Gauge EG Metal</v>
      </c>
    </row>
    <row r="48" spans="1:7">
      <c r="A48" s="121">
        <f>'Inventory Takeoff'!B52</f>
        <v>47</v>
      </c>
      <c r="B48" s="121">
        <f>'Inventory Takeoff'!H52</f>
        <v>1.51</v>
      </c>
      <c r="C48" s="121" t="s">
        <v>109</v>
      </c>
      <c r="D48" s="121" t="s">
        <v>1052</v>
      </c>
      <c r="E48" s="271" t="str">
        <f>IF('Inventory Takeoff'!J52="","",'Inventory Takeoff'!J52)</f>
        <v/>
      </c>
      <c r="F48" s="121" t="s">
        <v>1053</v>
      </c>
      <c r="G48" s="121" t="str">
        <f>'Inventory Takeoff'!C52</f>
        <v>18 Gauge EG Metal</v>
      </c>
    </row>
    <row r="49" spans="1:7">
      <c r="A49" s="121">
        <f>'Inventory Takeoff'!B53</f>
        <v>48</v>
      </c>
      <c r="B49" s="121">
        <f>'Inventory Takeoff'!H53</f>
        <v>1.51</v>
      </c>
      <c r="C49" s="121" t="s">
        <v>109</v>
      </c>
      <c r="D49" s="121" t="s">
        <v>1052</v>
      </c>
      <c r="E49" s="271" t="str">
        <f>IF('Inventory Takeoff'!J53="","",'Inventory Takeoff'!J53)</f>
        <v/>
      </c>
      <c r="F49" s="121" t="s">
        <v>1053</v>
      </c>
      <c r="G49" s="121" t="str">
        <f>'Inventory Takeoff'!C53</f>
        <v>16 Gauge EG Metal</v>
      </c>
    </row>
    <row r="50" spans="1:7">
      <c r="A50" s="121">
        <f>'Inventory Takeoff'!B54</f>
        <v>49</v>
      </c>
      <c r="B50" s="121">
        <f>'Inventory Takeoff'!H54</f>
        <v>1.51</v>
      </c>
      <c r="C50" s="121" t="s">
        <v>109</v>
      </c>
      <c r="D50" s="121" t="s">
        <v>1052</v>
      </c>
      <c r="E50" s="271" t="str">
        <f>IF('Inventory Takeoff'!J54="","",'Inventory Takeoff'!J54)</f>
        <v/>
      </c>
      <c r="F50" s="121" t="s">
        <v>1053</v>
      </c>
      <c r="G50" s="121" t="str">
        <f>'Inventory Takeoff'!C54</f>
        <v>14 Gauge EG Metal</v>
      </c>
    </row>
    <row r="51" spans="1:7">
      <c r="A51" s="121">
        <f>'Inventory Takeoff'!B55</f>
        <v>50</v>
      </c>
      <c r="B51" s="121">
        <f>'Inventory Takeoff'!H55</f>
        <v>3.34</v>
      </c>
      <c r="C51" s="121" t="s">
        <v>109</v>
      </c>
      <c r="D51" s="121" t="s">
        <v>1052</v>
      </c>
      <c r="E51" s="271" t="str">
        <f>IF('Inventory Takeoff'!J55="","",'Inventory Takeoff'!J55)</f>
        <v/>
      </c>
      <c r="F51" s="121" t="s">
        <v>1053</v>
      </c>
      <c r="G51" s="121" t="str">
        <f>'Inventory Takeoff'!C55</f>
        <v>Painted Metal</v>
      </c>
    </row>
    <row r="52" spans="1:7">
      <c r="A52" s="121">
        <f>'Inventory Takeoff'!B56</f>
        <v>51</v>
      </c>
      <c r="B52" s="121">
        <f>'Inventory Takeoff'!H56</f>
        <v>1.51</v>
      </c>
      <c r="C52" s="121" t="s">
        <v>109</v>
      </c>
      <c r="D52" s="121" t="s">
        <v>1052</v>
      </c>
      <c r="E52" s="271" t="str">
        <f>IF('Inventory Takeoff'!J56="","",'Inventory Takeoff'!J56)</f>
        <v/>
      </c>
      <c r="F52" s="121" t="s">
        <v>1053</v>
      </c>
      <c r="G52" s="121" t="str">
        <f>'Inventory Takeoff'!C56</f>
        <v>12 Gauge EG Metal</v>
      </c>
    </row>
    <row r="53" spans="1:7">
      <c r="A53" s="121">
        <f>'Inventory Takeoff'!B57</f>
        <v>52</v>
      </c>
      <c r="B53" s="121">
        <f>'Inventory Takeoff'!H57</f>
        <v>5.3199999999999994</v>
      </c>
      <c r="C53" s="121" t="s">
        <v>109</v>
      </c>
      <c r="D53" s="121" t="s">
        <v>1052</v>
      </c>
      <c r="E53" s="271">
        <f>IF('Inventory Takeoff'!J57="","",'Inventory Takeoff'!J57)</f>
        <v>44959</v>
      </c>
      <c r="F53" s="121" t="s">
        <v>1053</v>
      </c>
      <c r="G53" s="121" t="str">
        <f>'Inventory Takeoff'!C57</f>
        <v>22 Gauge Stainless Steel - 316</v>
      </c>
    </row>
    <row r="54" spans="1:7">
      <c r="A54" s="121">
        <f>'Inventory Takeoff'!B58</f>
        <v>53</v>
      </c>
      <c r="B54" s="121">
        <f>'Inventory Takeoff'!H58</f>
        <v>5.3199999999999994</v>
      </c>
      <c r="C54" s="121" t="s">
        <v>109</v>
      </c>
      <c r="D54" s="121" t="s">
        <v>1052</v>
      </c>
      <c r="E54" s="271">
        <f>IF('Inventory Takeoff'!J58="","",'Inventory Takeoff'!J58)</f>
        <v>44959</v>
      </c>
      <c r="F54" s="121" t="s">
        <v>1053</v>
      </c>
      <c r="G54" s="121" t="str">
        <f>'Inventory Takeoff'!C58</f>
        <v>20 Gauge Stainless Steel - 316</v>
      </c>
    </row>
    <row r="55" spans="1:7">
      <c r="A55" s="121">
        <f>'Inventory Takeoff'!B59</f>
        <v>54</v>
      </c>
      <c r="B55" s="121">
        <f>'Inventory Takeoff'!H59</f>
        <v>49.82</v>
      </c>
      <c r="C55" s="121" t="s">
        <v>109</v>
      </c>
      <c r="D55" s="121" t="s">
        <v>1054</v>
      </c>
      <c r="E55" s="271">
        <f>IF('Inventory Takeoff'!J59="","",'Inventory Takeoff'!J59)</f>
        <v>46066</v>
      </c>
      <c r="F55" s="121" t="s">
        <v>1053</v>
      </c>
      <c r="G55" s="121" t="str">
        <f>'Inventory Takeoff'!C59</f>
        <v>Duct Access Door 6 x 6</v>
      </c>
    </row>
    <row r="56" spans="1:7">
      <c r="A56" s="121">
        <f>'Inventory Takeoff'!B60</f>
        <v>55</v>
      </c>
      <c r="B56" s="121">
        <f>'Inventory Takeoff'!H60</f>
        <v>56.9</v>
      </c>
      <c r="C56" s="121" t="s">
        <v>109</v>
      </c>
      <c r="D56" s="121" t="s">
        <v>1054</v>
      </c>
      <c r="E56" s="271">
        <f>IF('Inventory Takeoff'!J60="","",'Inventory Takeoff'!J60)</f>
        <v>46066</v>
      </c>
      <c r="F56" s="121" t="s">
        <v>1053</v>
      </c>
      <c r="G56" s="121" t="str">
        <f>'Inventory Takeoff'!C60</f>
        <v>Duct Access Door 8 x 8</v>
      </c>
    </row>
    <row r="57" spans="1:7">
      <c r="A57" s="121">
        <f>'Inventory Takeoff'!B61</f>
        <v>56</v>
      </c>
      <c r="B57" s="121">
        <f>'Inventory Takeoff'!H61</f>
        <v>70.84</v>
      </c>
      <c r="C57" s="121" t="s">
        <v>109</v>
      </c>
      <c r="D57" s="121" t="s">
        <v>1054</v>
      </c>
      <c r="E57" s="271">
        <f>IF('Inventory Takeoff'!J61="","",'Inventory Takeoff'!J61)</f>
        <v>46066</v>
      </c>
      <c r="F57" s="121" t="s">
        <v>1053</v>
      </c>
      <c r="G57" s="121" t="str">
        <f>'Inventory Takeoff'!C61</f>
        <v>Duct Access Door 10 x 10</v>
      </c>
    </row>
    <row r="58" spans="1:7">
      <c r="A58" s="121">
        <f>'Inventory Takeoff'!B62</f>
        <v>57</v>
      </c>
      <c r="B58" s="121">
        <f>'Inventory Takeoff'!H62</f>
        <v>73.37</v>
      </c>
      <c r="C58" s="121" t="s">
        <v>109</v>
      </c>
      <c r="D58" s="121" t="s">
        <v>1054</v>
      </c>
      <c r="E58" s="271">
        <f>IF('Inventory Takeoff'!J62="","",'Inventory Takeoff'!J62)</f>
        <v>46066</v>
      </c>
      <c r="F58" s="121" t="s">
        <v>1053</v>
      </c>
      <c r="G58" s="121" t="str">
        <f>'Inventory Takeoff'!C62</f>
        <v>Duct Access Door 12 x 12</v>
      </c>
    </row>
    <row r="59" spans="1:7">
      <c r="A59" s="121">
        <f>'Inventory Takeoff'!B63</f>
        <v>58</v>
      </c>
      <c r="B59" s="121">
        <f>'Inventory Takeoff'!H63</f>
        <v>92.350000000000009</v>
      </c>
      <c r="C59" s="121" t="s">
        <v>109</v>
      </c>
      <c r="D59" s="121" t="s">
        <v>1054</v>
      </c>
      <c r="E59" s="271">
        <f>IF('Inventory Takeoff'!J63="","",'Inventory Takeoff'!J63)</f>
        <v>46066</v>
      </c>
      <c r="F59" s="121" t="s">
        <v>1053</v>
      </c>
      <c r="G59" s="121" t="str">
        <f>'Inventory Takeoff'!C63</f>
        <v>Duct Access Door 14 x 14</v>
      </c>
    </row>
    <row r="60" spans="1:7">
      <c r="A60" s="121">
        <f>'Inventory Takeoff'!B64</f>
        <v>59</v>
      </c>
      <c r="B60" s="121">
        <f>'Inventory Takeoff'!H64</f>
        <v>105</v>
      </c>
      <c r="C60" s="121" t="s">
        <v>109</v>
      </c>
      <c r="D60" s="121" t="s">
        <v>1054</v>
      </c>
      <c r="E60" s="271">
        <f>IF('Inventory Takeoff'!J64="","",'Inventory Takeoff'!J64)</f>
        <v>46066</v>
      </c>
      <c r="F60" s="121" t="s">
        <v>1053</v>
      </c>
      <c r="G60" s="121" t="str">
        <f>'Inventory Takeoff'!C64</f>
        <v>Duct Access Door 16 x 16</v>
      </c>
    </row>
    <row r="61" spans="1:7">
      <c r="A61" s="121">
        <f>'Inventory Takeoff'!B65</f>
        <v>60</v>
      </c>
      <c r="B61" s="121">
        <f>'Inventory Takeoff'!H65</f>
        <v>129.03</v>
      </c>
      <c r="C61" s="121" t="s">
        <v>109</v>
      </c>
      <c r="D61" s="121" t="s">
        <v>1054</v>
      </c>
      <c r="E61" s="271">
        <f>IF('Inventory Takeoff'!J65="","",'Inventory Takeoff'!J65)</f>
        <v>46066</v>
      </c>
      <c r="F61" s="121" t="s">
        <v>1053</v>
      </c>
      <c r="G61" s="121" t="str">
        <f>'Inventory Takeoff'!C65</f>
        <v>Duct Access Door 18 x 18</v>
      </c>
    </row>
    <row r="62" spans="1:7">
      <c r="A62" s="121">
        <f>'Inventory Takeoff'!B66</f>
        <v>61</v>
      </c>
      <c r="B62" s="121">
        <f>'Inventory Takeoff'!H66</f>
        <v>5.3199999999999994</v>
      </c>
      <c r="C62" s="121" t="s">
        <v>109</v>
      </c>
      <c r="D62" s="121" t="s">
        <v>1052</v>
      </c>
      <c r="E62" s="271">
        <f>IF('Inventory Takeoff'!J66="","",'Inventory Takeoff'!J66)</f>
        <v>44959</v>
      </c>
      <c r="F62" s="121" t="s">
        <v>1053</v>
      </c>
      <c r="G62" s="121" t="str">
        <f>'Inventory Takeoff'!C66</f>
        <v>18 Gauge Stainless Steel - 316</v>
      </c>
    </row>
    <row r="63" spans="1:7">
      <c r="A63" s="121">
        <f>'Inventory Takeoff'!B67</f>
        <v>62</v>
      </c>
      <c r="B63" s="121">
        <f>'Inventory Takeoff'!H67</f>
        <v>180.89999999999998</v>
      </c>
      <c r="C63" s="121" t="s">
        <v>109</v>
      </c>
      <c r="D63" s="121" t="s">
        <v>1054</v>
      </c>
      <c r="E63" s="271">
        <f>IF('Inventory Takeoff'!J67="","",'Inventory Takeoff'!J67)</f>
        <v>46066</v>
      </c>
      <c r="F63" s="121" t="s">
        <v>1053</v>
      </c>
      <c r="G63" s="121" t="str">
        <f>'Inventory Takeoff'!C67</f>
        <v>Duct Access Door 24 x 24</v>
      </c>
    </row>
    <row r="64" spans="1:7">
      <c r="A64" s="121">
        <f>'Inventory Takeoff'!B68</f>
        <v>63</v>
      </c>
      <c r="B64" s="121">
        <f>'Inventory Takeoff'!H68</f>
        <v>2.31</v>
      </c>
      <c r="C64" s="121" t="s">
        <v>109</v>
      </c>
      <c r="D64" s="121" t="s">
        <v>1054</v>
      </c>
      <c r="E64" s="271" t="str">
        <f>IF('Inventory Takeoff'!J68="","",'Inventory Takeoff'!J68)</f>
        <v/>
      </c>
      <c r="F64" s="121" t="s">
        <v>1053</v>
      </c>
      <c r="G64" s="121" t="str">
        <f>'Inventory Takeoff'!C68</f>
        <v>A-D Latch 1/4"</v>
      </c>
    </row>
    <row r="65" spans="1:7">
      <c r="A65" s="121">
        <f>'Inventory Takeoff'!B69</f>
        <v>64</v>
      </c>
      <c r="B65" s="121">
        <f>'Inventory Takeoff'!H69</f>
        <v>3.34</v>
      </c>
      <c r="C65" s="121" t="s">
        <v>109</v>
      </c>
      <c r="D65" s="121" t="s">
        <v>1054</v>
      </c>
      <c r="E65" s="271" t="str">
        <f>IF('Inventory Takeoff'!J69="","",'Inventory Takeoff'!J69)</f>
        <v/>
      </c>
      <c r="F65" s="121" t="s">
        <v>1053</v>
      </c>
      <c r="G65" s="121" t="str">
        <f>'Inventory Takeoff'!C69</f>
        <v>A-D Latch 3/8"</v>
      </c>
    </row>
    <row r="66" spans="1:7">
      <c r="A66" s="121">
        <f>'Inventory Takeoff'!B70</f>
        <v>65</v>
      </c>
      <c r="B66" s="121">
        <f>'Inventory Takeoff'!H70</f>
        <v>6.4399999999999995</v>
      </c>
      <c r="C66" s="121" t="s">
        <v>109</v>
      </c>
      <c r="D66" s="121" t="s">
        <v>1054</v>
      </c>
      <c r="E66" s="271" t="str">
        <f>IF('Inventory Takeoff'!J70="","",'Inventory Takeoff'!J70)</f>
        <v/>
      </c>
      <c r="F66" s="121" t="s">
        <v>1053</v>
      </c>
      <c r="G66" s="121" t="str">
        <f>'Inventory Takeoff'!C70</f>
        <v>A-D Latch 1/2"</v>
      </c>
    </row>
    <row r="67" spans="1:7">
      <c r="A67" s="121">
        <f>'Inventory Takeoff'!B71</f>
        <v>66</v>
      </c>
      <c r="B67" s="121">
        <f>'Inventory Takeoff'!H71</f>
        <v>1.47</v>
      </c>
      <c r="C67" s="121" t="s">
        <v>109</v>
      </c>
      <c r="D67" s="121" t="s">
        <v>1054</v>
      </c>
      <c r="E67" s="271" t="str">
        <f>IF('Inventory Takeoff'!J71="","",'Inventory Takeoff'!J71)</f>
        <v/>
      </c>
      <c r="F67" s="121" t="s">
        <v>1053</v>
      </c>
      <c r="G67" s="121" t="str">
        <f>'Inventory Takeoff'!C71</f>
        <v>Access Door Suitcase Latch</v>
      </c>
    </row>
    <row r="68" spans="1:7">
      <c r="A68" s="121">
        <f>'Inventory Takeoff'!B72</f>
        <v>67</v>
      </c>
      <c r="B68" s="121">
        <f>'Inventory Takeoff'!H72</f>
        <v>1.49</v>
      </c>
      <c r="C68" s="121" t="s">
        <v>109</v>
      </c>
      <c r="D68" s="121" t="s">
        <v>1054</v>
      </c>
      <c r="E68" s="271" t="str">
        <f>IF('Inventory Takeoff'!J72="","",'Inventory Takeoff'!J72)</f>
        <v/>
      </c>
      <c r="F68" s="121" t="s">
        <v>1053</v>
      </c>
      <c r="G68" s="121" t="str">
        <f>'Inventory Takeoff'!C72</f>
        <v>Access Door Sash Locks</v>
      </c>
    </row>
    <row r="69" spans="1:7">
      <c r="A69" s="121">
        <f>'Inventory Takeoff'!B73</f>
        <v>68</v>
      </c>
      <c r="B69" s="121">
        <f>'Inventory Takeoff'!H73</f>
        <v>289.69</v>
      </c>
      <c r="C69" s="121" t="s">
        <v>109</v>
      </c>
      <c r="D69" s="121" t="s">
        <v>1054</v>
      </c>
      <c r="E69" s="271">
        <f>IF('Inventory Takeoff'!J73="","",'Inventory Takeoff'!J73)</f>
        <v>44476</v>
      </c>
      <c r="F69" s="121" t="s">
        <v>1053</v>
      </c>
      <c r="G69" s="121" t="str">
        <f>'Inventory Takeoff'!C73</f>
        <v>Access Door Greaser Duct 8 x 12</v>
      </c>
    </row>
    <row r="70" spans="1:7">
      <c r="A70" s="121">
        <f>'Inventory Takeoff'!B74</f>
        <v>69</v>
      </c>
      <c r="B70" s="121">
        <f>'Inventory Takeoff'!H74</f>
        <v>23.32</v>
      </c>
      <c r="C70" s="121" t="s">
        <v>109</v>
      </c>
      <c r="D70" s="121" t="s">
        <v>1054</v>
      </c>
      <c r="E70" s="271">
        <f>IF('Inventory Takeoff'!J74="","",'Inventory Takeoff'!J74)</f>
        <v>44476</v>
      </c>
      <c r="F70" s="121" t="s">
        <v>1053</v>
      </c>
      <c r="G70" s="121" t="str">
        <f>'Inventory Takeoff'!C74</f>
        <v>Adhesive</v>
      </c>
    </row>
    <row r="71" spans="1:7">
      <c r="A71" s="121">
        <f>'Inventory Takeoff'!B75</f>
        <v>70</v>
      </c>
      <c r="B71" s="121">
        <f>'Inventory Takeoff'!H75</f>
        <v>14.43</v>
      </c>
      <c r="C71" s="121" t="s">
        <v>109</v>
      </c>
      <c r="D71" s="121" t="s">
        <v>1054</v>
      </c>
      <c r="E71" s="271">
        <f>IF('Inventory Takeoff'!J75="","",'Inventory Takeoff'!J75)</f>
        <v>46066</v>
      </c>
      <c r="F71" s="121" t="s">
        <v>1053</v>
      </c>
      <c r="G71" s="121" t="str">
        <f>'Inventory Takeoff'!C75</f>
        <v>Adhesive Spray Glue Can</v>
      </c>
    </row>
    <row r="72" spans="1:7">
      <c r="A72" s="121">
        <f>'Inventory Takeoff'!B76</f>
        <v>71</v>
      </c>
      <c r="B72" s="121">
        <f>'Inventory Takeoff'!H76</f>
        <v>0.32</v>
      </c>
      <c r="C72" s="121" t="s">
        <v>109</v>
      </c>
      <c r="D72" s="121" t="s">
        <v>1052</v>
      </c>
      <c r="E72" s="271">
        <f>IF('Inventory Takeoff'!J76="","",'Inventory Takeoff'!J76)</f>
        <v>46066</v>
      </c>
      <c r="F72" s="121" t="s">
        <v>1053</v>
      </c>
      <c r="G72" s="121" t="str">
        <f>'Inventory Takeoff'!C76</f>
        <v>Allthread 1/4"</v>
      </c>
    </row>
    <row r="73" spans="1:7">
      <c r="A73" s="121">
        <f>'Inventory Takeoff'!B77</f>
        <v>72</v>
      </c>
      <c r="B73" s="121">
        <f>'Inventory Takeoff'!H77</f>
        <v>0.42</v>
      </c>
      <c r="C73" s="121" t="s">
        <v>109</v>
      </c>
      <c r="D73" s="121" t="s">
        <v>1052</v>
      </c>
      <c r="E73" s="271">
        <f>IF('Inventory Takeoff'!J77="","",'Inventory Takeoff'!J77)</f>
        <v>46066</v>
      </c>
      <c r="F73" s="121" t="s">
        <v>1053</v>
      </c>
      <c r="G73" s="121" t="str">
        <f>'Inventory Takeoff'!C77</f>
        <v>Allthread 3/8"</v>
      </c>
    </row>
    <row r="74" spans="1:7">
      <c r="A74" s="121">
        <f>'Inventory Takeoff'!B78</f>
        <v>73</v>
      </c>
      <c r="B74" s="121">
        <f>'Inventory Takeoff'!H78</f>
        <v>0.84</v>
      </c>
      <c r="C74" s="121" t="s">
        <v>109</v>
      </c>
      <c r="D74" s="121" t="s">
        <v>1052</v>
      </c>
      <c r="E74" s="271">
        <f>IF('Inventory Takeoff'!J78="","",'Inventory Takeoff'!J78)</f>
        <v>46066</v>
      </c>
      <c r="F74" s="121" t="s">
        <v>1053</v>
      </c>
      <c r="G74" s="121" t="str">
        <f>'Inventory Takeoff'!C78</f>
        <v>Allthread 1/2"</v>
      </c>
    </row>
    <row r="75" spans="1:7">
      <c r="A75" s="121">
        <f>'Inventory Takeoff'!B79</f>
        <v>74</v>
      </c>
      <c r="B75" s="121">
        <f>'Inventory Takeoff'!H79</f>
        <v>2.1399999999999997</v>
      </c>
      <c r="C75" s="121" t="s">
        <v>109</v>
      </c>
      <c r="D75" s="121" t="s">
        <v>1052</v>
      </c>
      <c r="E75" s="271">
        <f>IF('Inventory Takeoff'!J79="","",'Inventory Takeoff'!J79)</f>
        <v>46066</v>
      </c>
      <c r="F75" s="121" t="s">
        <v>1053</v>
      </c>
      <c r="G75" s="121" t="str">
        <f>'Inventory Takeoff'!C79</f>
        <v>Allthread 5/8"</v>
      </c>
    </row>
    <row r="76" spans="1:7">
      <c r="A76" s="121">
        <f>'Inventory Takeoff'!B80</f>
        <v>75</v>
      </c>
      <c r="B76" s="121">
        <f>'Inventory Takeoff'!H80</f>
        <v>3.21</v>
      </c>
      <c r="C76" s="121" t="s">
        <v>109</v>
      </c>
      <c r="D76" s="121" t="s">
        <v>1052</v>
      </c>
      <c r="E76" s="271">
        <f>IF('Inventory Takeoff'!J80="","",'Inventory Takeoff'!J80)</f>
        <v>44949</v>
      </c>
      <c r="F76" s="121" t="s">
        <v>1053</v>
      </c>
      <c r="G76" s="121" t="str">
        <f>'Inventory Takeoff'!C80</f>
        <v>Allthread 3/4"</v>
      </c>
    </row>
    <row r="77" spans="1:7">
      <c r="A77" s="121">
        <f>'Inventory Takeoff'!B81</f>
        <v>76</v>
      </c>
      <c r="B77" s="121">
        <f>'Inventory Takeoff'!H81</f>
        <v>0.4</v>
      </c>
      <c r="C77" s="121" t="s">
        <v>109</v>
      </c>
      <c r="D77" s="121" t="s">
        <v>1054</v>
      </c>
      <c r="E77" s="271">
        <f>IF('Inventory Takeoff'!J81="","",'Inventory Takeoff'!J81)</f>
        <v>44949</v>
      </c>
      <c r="F77" s="121" t="s">
        <v>1053</v>
      </c>
      <c r="G77" s="121" t="str">
        <f>'Inventory Takeoff'!C81</f>
        <v>A-F Ells 1/4"</v>
      </c>
    </row>
    <row r="78" spans="1:7">
      <c r="A78" s="121">
        <f>'Inventory Takeoff'!B82</f>
        <v>77</v>
      </c>
      <c r="B78" s="121">
        <f>'Inventory Takeoff'!H82</f>
        <v>0.42</v>
      </c>
      <c r="C78" s="121" t="s">
        <v>109</v>
      </c>
      <c r="D78" s="121" t="s">
        <v>1054</v>
      </c>
      <c r="E78" s="271">
        <f>IF('Inventory Takeoff'!J82="","",'Inventory Takeoff'!J82)</f>
        <v>44949</v>
      </c>
      <c r="F78" s="121" t="s">
        <v>1053</v>
      </c>
      <c r="G78" s="121" t="str">
        <f>'Inventory Takeoff'!C82</f>
        <v>Anchor Flush Ells 3/8"</v>
      </c>
    </row>
    <row r="79" spans="1:7">
      <c r="A79" s="121">
        <f>'Inventory Takeoff'!B83</f>
        <v>78</v>
      </c>
      <c r="B79" s="121">
        <f>'Inventory Takeoff'!H83</f>
        <v>1.04</v>
      </c>
      <c r="C79" s="121" t="s">
        <v>109</v>
      </c>
      <c r="D79" s="121" t="s">
        <v>1054</v>
      </c>
      <c r="E79" s="271">
        <f>IF('Inventory Takeoff'!J83="","",'Inventory Takeoff'!J83)</f>
        <v>44949</v>
      </c>
      <c r="F79" s="121" t="s">
        <v>1053</v>
      </c>
      <c r="G79" s="121" t="str">
        <f>'Inventory Takeoff'!C83</f>
        <v>Anchor Flush Ells 1/2"</v>
      </c>
    </row>
    <row r="80" spans="1:7">
      <c r="A80" s="121">
        <f>'Inventory Takeoff'!B84</f>
        <v>79</v>
      </c>
      <c r="B80" s="121">
        <f>'Inventory Takeoff'!H84</f>
        <v>1.43</v>
      </c>
      <c r="C80" s="121" t="s">
        <v>109</v>
      </c>
      <c r="D80" s="121" t="s">
        <v>1054</v>
      </c>
      <c r="E80" s="271">
        <f>IF('Inventory Takeoff'!J84="","",'Inventory Takeoff'!J84)</f>
        <v>44476</v>
      </c>
      <c r="F80" s="121" t="s">
        <v>1053</v>
      </c>
      <c r="G80" s="121" t="str">
        <f>'Inventory Takeoff'!C84</f>
        <v>Anchor Flush Ells 5/8"</v>
      </c>
    </row>
    <row r="81" spans="1:7">
      <c r="A81" s="121">
        <f>'Inventory Takeoff'!B85</f>
        <v>80</v>
      </c>
      <c r="B81" s="121">
        <f>'Inventory Takeoff'!H85</f>
        <v>3.07</v>
      </c>
      <c r="C81" s="121" t="s">
        <v>109</v>
      </c>
      <c r="D81" s="121" t="s">
        <v>1054</v>
      </c>
      <c r="E81" s="271">
        <f>IF('Inventory Takeoff'!J85="","",'Inventory Takeoff'!J85)</f>
        <v>44476</v>
      </c>
      <c r="F81" s="121" t="s">
        <v>1053</v>
      </c>
      <c r="G81" s="121" t="str">
        <f>'Inventory Takeoff'!C85</f>
        <v>Anchor Flush Ells 3/4"</v>
      </c>
    </row>
    <row r="82" spans="1:7">
      <c r="A82" s="121">
        <f>'Inventory Takeoff'!B86</f>
        <v>81</v>
      </c>
      <c r="B82" s="121">
        <f>'Inventory Takeoff'!H86</f>
        <v>0.37</v>
      </c>
      <c r="C82" s="121" t="s">
        <v>109</v>
      </c>
      <c r="D82" s="121" t="s">
        <v>1054</v>
      </c>
      <c r="E82" s="271" t="str">
        <f>IF('Inventory Takeoff'!J86="","",'Inventory Takeoff'!J86)</f>
        <v/>
      </c>
      <c r="F82" s="121" t="s">
        <v>1053</v>
      </c>
      <c r="G82" s="121" t="str">
        <f>'Inventory Takeoff'!C86</f>
        <v>Anchor Flush 1/4 x 1 7/8</v>
      </c>
    </row>
    <row r="83" spans="1:7">
      <c r="A83" s="121">
        <f>'Inventory Takeoff'!B87</f>
        <v>82</v>
      </c>
      <c r="B83" s="121">
        <f>'Inventory Takeoff'!H87</f>
        <v>1.1499999999999999</v>
      </c>
      <c r="C83" s="121" t="s">
        <v>109</v>
      </c>
      <c r="D83" s="121" t="s">
        <v>1054</v>
      </c>
      <c r="E83" s="271">
        <f>IF('Inventory Takeoff'!J87="","",'Inventory Takeoff'!J87)</f>
        <v>46066</v>
      </c>
      <c r="F83" s="121" t="s">
        <v>1053</v>
      </c>
      <c r="G83" s="121" t="str">
        <f>'Inventory Takeoff'!C87</f>
        <v>3/8" Strut Washers</v>
      </c>
    </row>
    <row r="84" spans="1:7">
      <c r="A84" s="121">
        <f>'Inventory Takeoff'!B88</f>
        <v>83</v>
      </c>
      <c r="B84" s="121">
        <f>'Inventory Takeoff'!H88</f>
        <v>1.1499999999999999</v>
      </c>
      <c r="C84" s="121" t="s">
        <v>109</v>
      </c>
      <c r="D84" s="121" t="s">
        <v>1054</v>
      </c>
      <c r="E84" s="271">
        <f>IF('Inventory Takeoff'!J88="","",'Inventory Takeoff'!J88)</f>
        <v>46066</v>
      </c>
      <c r="F84" s="121" t="s">
        <v>1053</v>
      </c>
      <c r="G84" s="121" t="str">
        <f>'Inventory Takeoff'!C88</f>
        <v>1/2" Strut Washers</v>
      </c>
    </row>
    <row r="85" spans="1:7">
      <c r="A85" s="121">
        <f>'Inventory Takeoff'!B89</f>
        <v>84</v>
      </c>
      <c r="B85" s="121">
        <f>'Inventory Takeoff'!H89</f>
        <v>4.87</v>
      </c>
      <c r="C85" s="121" t="s">
        <v>109</v>
      </c>
      <c r="D85" s="121" t="s">
        <v>1054</v>
      </c>
      <c r="E85" s="271">
        <f>IF('Inventory Takeoff'!J89="","",'Inventory Takeoff'!J89)</f>
        <v>44949</v>
      </c>
      <c r="F85" s="121" t="s">
        <v>1053</v>
      </c>
      <c r="G85" s="121" t="str">
        <f>'Inventory Takeoff'!C89</f>
        <v>4 Mil. Trash Bags (Fish Bags)</v>
      </c>
    </row>
    <row r="86" spans="1:7">
      <c r="A86" s="121">
        <f>'Inventory Takeoff'!B90</f>
        <v>85</v>
      </c>
      <c r="B86" s="121">
        <f>'Inventory Takeoff'!H90</f>
        <v>2.34</v>
      </c>
      <c r="C86" s="121" t="s">
        <v>109</v>
      </c>
      <c r="D86" s="121" t="s">
        <v>1054</v>
      </c>
      <c r="E86" s="271">
        <f>IF('Inventory Takeoff'!J90="","",'Inventory Takeoff'!J90)</f>
        <v>46066</v>
      </c>
      <c r="F86" s="121" t="s">
        <v>1053</v>
      </c>
      <c r="G86" s="121" t="str">
        <f>'Inventory Takeoff'!C90</f>
        <v>P1026 Strut 90 Bracket</v>
      </c>
    </row>
    <row r="87" spans="1:7">
      <c r="A87" s="121">
        <f>'Inventory Takeoff'!B91</f>
        <v>86</v>
      </c>
      <c r="B87" s="121">
        <f>'Inventory Takeoff'!H91</f>
        <v>5.6499999999999995</v>
      </c>
      <c r="C87" s="121" t="s">
        <v>109</v>
      </c>
      <c r="D87" s="121" t="s">
        <v>1054</v>
      </c>
      <c r="E87" s="271">
        <f>IF('Inventory Takeoff'!J91="","",'Inventory Takeoff'!J91)</f>
        <v>46066</v>
      </c>
      <c r="F87" s="121" t="s">
        <v>1053</v>
      </c>
      <c r="G87" s="121" t="str">
        <f>'Inventory Takeoff'!C91</f>
        <v>P1325 Strut Fitting 4-Hole</v>
      </c>
    </row>
    <row r="88" spans="1:7">
      <c r="A88" s="121">
        <f>'Inventory Takeoff'!B92</f>
        <v>87</v>
      </c>
      <c r="B88" s="121">
        <f>'Inventory Takeoff'!H92</f>
        <v>14.12</v>
      </c>
      <c r="C88" s="121" t="s">
        <v>109</v>
      </c>
      <c r="D88" s="121" t="s">
        <v>1054</v>
      </c>
      <c r="E88" s="271">
        <f>IF('Inventory Takeoff'!J92="","",'Inventory Takeoff'!J92)</f>
        <v>46066</v>
      </c>
      <c r="F88" s="121" t="s">
        <v>1053</v>
      </c>
      <c r="G88" s="121" t="str">
        <f>'Inventory Takeoff'!C92</f>
        <v>Clean Room Tape</v>
      </c>
    </row>
    <row r="89" spans="1:7">
      <c r="A89" s="121">
        <f>'Inventory Takeoff'!B93</f>
        <v>88</v>
      </c>
      <c r="B89" s="121">
        <f>'Inventory Takeoff'!H93</f>
        <v>49.36</v>
      </c>
      <c r="C89" s="121" t="s">
        <v>109</v>
      </c>
      <c r="D89" s="121" t="s">
        <v>1054</v>
      </c>
      <c r="E89" s="271">
        <f>IF('Inventory Takeoff'!J93="","",'Inventory Takeoff'!J93)</f>
        <v>44476</v>
      </c>
      <c r="F89" s="121" t="s">
        <v>1053</v>
      </c>
      <c r="G89" s="121" t="str">
        <f>'Inventory Takeoff'!C93</f>
        <v>Vinyl Hanger Strap</v>
      </c>
    </row>
    <row r="90" spans="1:7">
      <c r="A90" s="121">
        <f>'Inventory Takeoff'!B94</f>
        <v>89</v>
      </c>
      <c r="B90" s="121">
        <f>'Inventory Takeoff'!H94</f>
        <v>16.98</v>
      </c>
      <c r="C90" s="121" t="s">
        <v>109</v>
      </c>
      <c r="D90" s="121" t="s">
        <v>1054</v>
      </c>
      <c r="E90" s="271" t="str">
        <f>IF('Inventory Takeoff'!J94="","",'Inventory Takeoff'!J94)</f>
        <v/>
      </c>
      <c r="F90" s="121" t="s">
        <v>1053</v>
      </c>
      <c r="G90" s="121" t="str">
        <f>'Inventory Takeoff'!C94</f>
        <v>Shrink Wrap</v>
      </c>
    </row>
    <row r="91" spans="1:7">
      <c r="A91" s="121">
        <f>'Inventory Takeoff'!B95</f>
        <v>90</v>
      </c>
      <c r="B91" s="121">
        <f>'Inventory Takeoff'!H95</f>
        <v>5.3199999999999994</v>
      </c>
      <c r="C91" s="121" t="s">
        <v>109</v>
      </c>
      <c r="D91" s="121" t="s">
        <v>1052</v>
      </c>
      <c r="E91" s="271">
        <f>IF('Inventory Takeoff'!J95="","",'Inventory Takeoff'!J95)</f>
        <v>44959</v>
      </c>
      <c r="F91" s="121" t="s">
        <v>1053</v>
      </c>
      <c r="G91" s="121" t="str">
        <f>'Inventory Takeoff'!C95</f>
        <v>16 Gauge Stainless Steel - 316</v>
      </c>
    </row>
    <row r="92" spans="1:7">
      <c r="A92" s="121">
        <f>'Inventory Takeoff'!B96</f>
        <v>91</v>
      </c>
      <c r="B92" s="121">
        <f>'Inventory Takeoff'!H96</f>
        <v>5.6899999999999995</v>
      </c>
      <c r="C92" s="121" t="s">
        <v>109</v>
      </c>
      <c r="D92" s="121" t="s">
        <v>1052</v>
      </c>
      <c r="E92" s="271">
        <f>IF('Inventory Takeoff'!J96="","",'Inventory Takeoff'!J96)</f>
        <v>44959</v>
      </c>
      <c r="F92" s="121" t="s">
        <v>1053</v>
      </c>
      <c r="G92" s="121" t="str">
        <f>'Inventory Takeoff'!C96</f>
        <v>14 Gauge Stainless Steel - 316</v>
      </c>
    </row>
    <row r="93" spans="1:7">
      <c r="A93" s="121">
        <f>'Inventory Takeoff'!B97</f>
        <v>92</v>
      </c>
      <c r="B93" s="121">
        <f>'Inventory Takeoff'!H97</f>
        <v>5.6899999999999995</v>
      </c>
      <c r="C93" s="121" t="s">
        <v>109</v>
      </c>
      <c r="D93" s="121" t="s">
        <v>1052</v>
      </c>
      <c r="E93" s="271">
        <f>IF('Inventory Takeoff'!J97="","",'Inventory Takeoff'!J97)</f>
        <v>44959</v>
      </c>
      <c r="F93" s="121" t="s">
        <v>1053</v>
      </c>
      <c r="G93" s="121" t="str">
        <f>'Inventory Takeoff'!C97</f>
        <v>12 Gauge Stainless Steel - 316</v>
      </c>
    </row>
    <row r="94" spans="1:7">
      <c r="A94" s="121">
        <f>'Inventory Takeoff'!B98</f>
        <v>93</v>
      </c>
      <c r="B94" s="121">
        <f>'Inventory Takeoff'!H98</f>
        <v>5.6899999999999995</v>
      </c>
      <c r="C94" s="121" t="s">
        <v>109</v>
      </c>
      <c r="D94" s="121" t="s">
        <v>1052</v>
      </c>
      <c r="E94" s="271">
        <f>IF('Inventory Takeoff'!J98="","",'Inventory Takeoff'!J98)</f>
        <v>44959</v>
      </c>
      <c r="F94" s="121" t="s">
        <v>1053</v>
      </c>
      <c r="G94" s="121" t="str">
        <f>'Inventory Takeoff'!C98</f>
        <v>10 Gauge Stainless Steel - 316</v>
      </c>
    </row>
    <row r="95" spans="1:7">
      <c r="A95" s="121">
        <f>'Inventory Takeoff'!B99</f>
        <v>94</v>
      </c>
      <c r="B95" s="121">
        <f>'Inventory Takeoff'!H99</f>
        <v>0.86</v>
      </c>
      <c r="C95" s="121" t="s">
        <v>109</v>
      </c>
      <c r="D95" s="121" t="s">
        <v>1054</v>
      </c>
      <c r="E95" s="271" t="str">
        <f>IF('Inventory Takeoff'!J99="","",'Inventory Takeoff'!J99)</f>
        <v/>
      </c>
      <c r="F95" s="121" t="s">
        <v>1053</v>
      </c>
      <c r="G95" s="121" t="str">
        <f>'Inventory Takeoff'!C99</f>
        <v>Anchor 3/8 Pipespike</v>
      </c>
    </row>
    <row r="96" spans="1:7">
      <c r="A96" s="121">
        <f>'Inventory Takeoff'!B100</f>
        <v>95</v>
      </c>
      <c r="B96" s="121">
        <f>'Inventory Takeoff'!H100</f>
        <v>0.39</v>
      </c>
      <c r="C96" s="121" t="s">
        <v>109</v>
      </c>
      <c r="D96" s="121" t="s">
        <v>1054</v>
      </c>
      <c r="E96" s="271">
        <f>IF('Inventory Takeoff'!J100="","",'Inventory Takeoff'!J100)</f>
        <v>46066</v>
      </c>
      <c r="F96" s="121" t="s">
        <v>1053</v>
      </c>
      <c r="G96" s="121" t="str">
        <f>'Inventory Takeoff'!C100</f>
        <v>Anchor 1/4 x 1 Nail</v>
      </c>
    </row>
    <row r="97" spans="1:7">
      <c r="A97" s="121">
        <f>'Inventory Takeoff'!B101</f>
        <v>96</v>
      </c>
      <c r="B97" s="121">
        <f>'Inventory Takeoff'!H101</f>
        <v>0</v>
      </c>
      <c r="C97" s="121" t="s">
        <v>109</v>
      </c>
      <c r="D97" s="121" t="s">
        <v>1054</v>
      </c>
      <c r="E97" s="271" t="str">
        <f>IF('Inventory Takeoff'!J101="","",'Inventory Takeoff'!J101)</f>
        <v/>
      </c>
      <c r="F97" s="121" t="s">
        <v>1053</v>
      </c>
      <c r="G97" s="121" t="str">
        <f>'Inventory Takeoff'!C101</f>
        <v>Not Used</v>
      </c>
    </row>
    <row r="98" spans="1:7">
      <c r="A98" s="121">
        <f>'Inventory Takeoff'!B102</f>
        <v>97</v>
      </c>
      <c r="B98" s="121">
        <f>'Inventory Takeoff'!H102</f>
        <v>0.68</v>
      </c>
      <c r="C98" s="121" t="s">
        <v>109</v>
      </c>
      <c r="D98" s="121" t="s">
        <v>1052</v>
      </c>
      <c r="E98" s="271" t="str">
        <f>IF('Inventory Takeoff'!J102="","",'Inventory Takeoff'!J102)</f>
        <v/>
      </c>
      <c r="F98" s="121" t="s">
        <v>1053</v>
      </c>
      <c r="G98" s="121" t="str">
        <f>'Inventory Takeoff'!C102</f>
        <v>Angle 1 x 1 - 16 Gauge</v>
      </c>
    </row>
    <row r="99" spans="1:7">
      <c r="A99" s="121">
        <f>'Inventory Takeoff'!B103</f>
        <v>98</v>
      </c>
      <c r="B99" s="121">
        <f>'Inventory Takeoff'!H103</f>
        <v>0.8</v>
      </c>
      <c r="C99" s="121" t="s">
        <v>109</v>
      </c>
      <c r="D99" s="121" t="s">
        <v>1052</v>
      </c>
      <c r="E99" s="271" t="str">
        <f>IF('Inventory Takeoff'!J103="","",'Inventory Takeoff'!J103)</f>
        <v/>
      </c>
      <c r="F99" s="121" t="s">
        <v>1053</v>
      </c>
      <c r="G99" s="121" t="str">
        <f>'Inventory Takeoff'!C103</f>
        <v>Angle 1 1/2 x 1 1/2 - 18 Gauge</v>
      </c>
    </row>
    <row r="100" spans="1:7">
      <c r="A100" s="121">
        <f>'Inventory Takeoff'!B104</f>
        <v>99</v>
      </c>
      <c r="B100" s="121">
        <f>'Inventory Takeoff'!H104</f>
        <v>0.68</v>
      </c>
      <c r="C100" s="121" t="s">
        <v>109</v>
      </c>
      <c r="D100" s="121" t="s">
        <v>1052</v>
      </c>
      <c r="E100" s="271">
        <f>IF('Inventory Takeoff'!J104="","",'Inventory Takeoff'!J104)</f>
        <v>44629</v>
      </c>
      <c r="F100" s="121" t="s">
        <v>1053</v>
      </c>
      <c r="G100" s="121" t="str">
        <f>'Inventory Takeoff'!C104</f>
        <v>Angle 1 x 1 x 1/8</v>
      </c>
    </row>
    <row r="101" spans="1:7">
      <c r="A101" s="121">
        <f>'Inventory Takeoff'!B105</f>
        <v>100</v>
      </c>
      <c r="B101" s="121">
        <f>'Inventory Takeoff'!H105</f>
        <v>0.92</v>
      </c>
      <c r="C101" s="121" t="s">
        <v>109</v>
      </c>
      <c r="D101" s="121" t="s">
        <v>1052</v>
      </c>
      <c r="E101" s="271" t="str">
        <f>IF('Inventory Takeoff'!J105="","",'Inventory Takeoff'!J105)</f>
        <v/>
      </c>
      <c r="F101" s="121" t="s">
        <v>1053</v>
      </c>
      <c r="G101" s="121" t="str">
        <f>'Inventory Takeoff'!C105</f>
        <v>Angle 1 1/4 x 1 1/4 x 1/8</v>
      </c>
    </row>
    <row r="102" spans="1:7">
      <c r="A102" s="121">
        <f>'Inventory Takeoff'!B106</f>
        <v>101</v>
      </c>
      <c r="B102" s="121">
        <f>'Inventory Takeoff'!H106</f>
        <v>1.27</v>
      </c>
      <c r="C102" s="121" t="s">
        <v>109</v>
      </c>
      <c r="D102" s="121" t="s">
        <v>1052</v>
      </c>
      <c r="E102" s="271">
        <f>IF('Inventory Takeoff'!J106="","",'Inventory Takeoff'!J106)</f>
        <v>44629</v>
      </c>
      <c r="F102" s="121" t="s">
        <v>1053</v>
      </c>
      <c r="G102" s="121" t="str">
        <f>'Inventory Takeoff'!C106</f>
        <v>Angle 1 1/2 x 1 1/2 x 1/8</v>
      </c>
    </row>
    <row r="103" spans="1:7">
      <c r="A103" s="121">
        <f>'Inventory Takeoff'!B107</f>
        <v>102</v>
      </c>
      <c r="B103" s="121">
        <f>'Inventory Takeoff'!H107</f>
        <v>1.84</v>
      </c>
      <c r="C103" s="121" t="s">
        <v>109</v>
      </c>
      <c r="D103" s="121" t="s">
        <v>1052</v>
      </c>
      <c r="E103" s="271">
        <f>IF('Inventory Takeoff'!J107="","",'Inventory Takeoff'!J107)</f>
        <v>44629</v>
      </c>
      <c r="F103" s="121" t="s">
        <v>1053</v>
      </c>
      <c r="G103" s="121" t="str">
        <f>'Inventory Takeoff'!C107</f>
        <v>Angle 1 1/2 x 1 1/2 x 3/16</v>
      </c>
    </row>
    <row r="104" spans="1:7">
      <c r="A104" s="121">
        <f>'Inventory Takeoff'!B108</f>
        <v>103</v>
      </c>
      <c r="B104" s="121">
        <f>'Inventory Takeoff'!H108</f>
        <v>1.81</v>
      </c>
      <c r="C104" s="121" t="s">
        <v>109</v>
      </c>
      <c r="D104" s="121" t="s">
        <v>1052</v>
      </c>
      <c r="E104" s="271" t="str">
        <f>IF('Inventory Takeoff'!J108="","",'Inventory Takeoff'!J108)</f>
        <v/>
      </c>
      <c r="F104" s="121" t="s">
        <v>1053</v>
      </c>
      <c r="G104" s="121" t="str">
        <f>'Inventory Takeoff'!C108</f>
        <v>Angle 1/2 x 1 1/2 x 1/4</v>
      </c>
    </row>
    <row r="105" spans="1:7">
      <c r="A105" s="121">
        <f>'Inventory Takeoff'!B109</f>
        <v>104</v>
      </c>
      <c r="B105" s="121">
        <f>'Inventory Takeoff'!H109</f>
        <v>1.69</v>
      </c>
      <c r="C105" s="121" t="s">
        <v>109</v>
      </c>
      <c r="D105" s="121" t="s">
        <v>1052</v>
      </c>
      <c r="E105" s="271">
        <f>IF('Inventory Takeoff'!J109="","",'Inventory Takeoff'!J109)</f>
        <v>44629</v>
      </c>
      <c r="F105" s="121" t="s">
        <v>1053</v>
      </c>
      <c r="G105" s="121" t="str">
        <f>'Inventory Takeoff'!C109</f>
        <v>Angle 2 x 2 x 1/8</v>
      </c>
    </row>
    <row r="106" spans="1:7">
      <c r="A106" s="121">
        <f>'Inventory Takeoff'!B110</f>
        <v>105</v>
      </c>
      <c r="B106" s="121">
        <f>'Inventory Takeoff'!H110</f>
        <v>2.5</v>
      </c>
      <c r="C106" s="121" t="s">
        <v>109</v>
      </c>
      <c r="D106" s="121" t="s">
        <v>1052</v>
      </c>
      <c r="E106" s="271">
        <f>IF('Inventory Takeoff'!J110="","",'Inventory Takeoff'!J110)</f>
        <v>44629</v>
      </c>
      <c r="F106" s="121" t="s">
        <v>1053</v>
      </c>
      <c r="G106" s="121" t="str">
        <f>'Inventory Takeoff'!C110</f>
        <v>Angle 2 x 2 x 3/16</v>
      </c>
    </row>
    <row r="107" spans="1:7">
      <c r="A107" s="121">
        <f>'Inventory Takeoff'!B111</f>
        <v>106</v>
      </c>
      <c r="B107" s="121">
        <f>'Inventory Takeoff'!H111</f>
        <v>3.2699999999999996</v>
      </c>
      <c r="C107" s="121" t="s">
        <v>109</v>
      </c>
      <c r="D107" s="121" t="s">
        <v>1052</v>
      </c>
      <c r="E107" s="271">
        <f>IF('Inventory Takeoff'!J111="","",'Inventory Takeoff'!J111)</f>
        <v>44629</v>
      </c>
      <c r="F107" s="121" t="s">
        <v>1053</v>
      </c>
      <c r="G107" s="121" t="str">
        <f>'Inventory Takeoff'!C111</f>
        <v>Angle 2 x 2 x 1/4</v>
      </c>
    </row>
    <row r="108" spans="1:7">
      <c r="A108" s="121">
        <f>'Inventory Takeoff'!B112</f>
        <v>107</v>
      </c>
      <c r="B108" s="121">
        <f>'Inventory Takeoff'!H112</f>
        <v>4.09</v>
      </c>
      <c r="C108" s="121" t="s">
        <v>109</v>
      </c>
      <c r="D108" s="121" t="s">
        <v>1052</v>
      </c>
      <c r="E108" s="271" t="str">
        <f>IF('Inventory Takeoff'!J112="","",'Inventory Takeoff'!J112)</f>
        <v/>
      </c>
      <c r="F108" s="121" t="s">
        <v>1053</v>
      </c>
      <c r="G108" s="121" t="str">
        <f>'Inventory Takeoff'!C112</f>
        <v>Angle 2 x 2 x 3/8</v>
      </c>
    </row>
    <row r="109" spans="1:7">
      <c r="A109" s="121">
        <f>'Inventory Takeoff'!B113</f>
        <v>108</v>
      </c>
      <c r="B109" s="121">
        <f>'Inventory Takeoff'!H113</f>
        <v>3.0599999999999996</v>
      </c>
      <c r="C109" s="121" t="s">
        <v>109</v>
      </c>
      <c r="D109" s="121" t="s">
        <v>1052</v>
      </c>
      <c r="E109" s="271" t="str">
        <f>IF('Inventory Takeoff'!J113="","",'Inventory Takeoff'!J113)</f>
        <v/>
      </c>
      <c r="F109" s="121" t="s">
        <v>1053</v>
      </c>
      <c r="G109" s="121" t="str">
        <f>'Inventory Takeoff'!C113</f>
        <v>Angle 2 x 1/2 x 2 1/2 x 1/4</v>
      </c>
    </row>
    <row r="110" spans="1:7">
      <c r="A110" s="121">
        <f>'Inventory Takeoff'!B114</f>
        <v>109</v>
      </c>
      <c r="B110" s="121">
        <f>'Inventory Takeoff'!H114</f>
        <v>0</v>
      </c>
      <c r="C110" s="121" t="s">
        <v>109</v>
      </c>
      <c r="D110" s="121" t="s">
        <v>1054</v>
      </c>
      <c r="E110" s="271" t="str">
        <f>IF('Inventory Takeoff'!J114="","",'Inventory Takeoff'!J114)</f>
        <v/>
      </c>
      <c r="F110" s="121" t="s">
        <v>1053</v>
      </c>
      <c r="G110" s="121" t="str">
        <f>'Inventory Takeoff'!C114</f>
        <v>Not Used</v>
      </c>
    </row>
    <row r="111" spans="1:7">
      <c r="A111" s="121">
        <f>'Inventory Takeoff'!B115</f>
        <v>110</v>
      </c>
      <c r="B111" s="121">
        <f>'Inventory Takeoff'!H115</f>
        <v>3.8</v>
      </c>
      <c r="C111" s="121" t="s">
        <v>109</v>
      </c>
      <c r="D111" s="121" t="s">
        <v>1052</v>
      </c>
      <c r="E111" s="271">
        <f>IF('Inventory Takeoff'!J115="","",'Inventory Takeoff'!J115)</f>
        <v>44629</v>
      </c>
      <c r="F111" s="121" t="s">
        <v>1053</v>
      </c>
      <c r="G111" s="121" t="str">
        <f>'Inventory Takeoff'!C115</f>
        <v>Angle 3 x 3 x 3/16</v>
      </c>
    </row>
    <row r="112" spans="1:7">
      <c r="A112" s="121">
        <f>'Inventory Takeoff'!B116</f>
        <v>111</v>
      </c>
      <c r="B112" s="121">
        <f>'Inventory Takeoff'!H116</f>
        <v>5.0199999999999996</v>
      </c>
      <c r="C112" s="121" t="s">
        <v>109</v>
      </c>
      <c r="D112" s="121" t="s">
        <v>1052</v>
      </c>
      <c r="E112" s="271">
        <f>IF('Inventory Takeoff'!J116="","",'Inventory Takeoff'!J116)</f>
        <v>44629</v>
      </c>
      <c r="F112" s="121" t="s">
        <v>1053</v>
      </c>
      <c r="G112" s="121" t="str">
        <f>'Inventory Takeoff'!C116</f>
        <v>Angle 3 x 3 x 1/4</v>
      </c>
    </row>
    <row r="113" spans="1:7">
      <c r="A113" s="121">
        <f>'Inventory Takeoff'!B117</f>
        <v>112</v>
      </c>
      <c r="B113" s="121">
        <f>'Inventory Takeoff'!H117</f>
        <v>5.27</v>
      </c>
      <c r="C113" s="121" t="s">
        <v>109</v>
      </c>
      <c r="D113" s="121" t="s">
        <v>1052</v>
      </c>
      <c r="E113" s="271" t="str">
        <f>IF('Inventory Takeoff'!J117="","",'Inventory Takeoff'!J117)</f>
        <v/>
      </c>
      <c r="F113" s="121" t="s">
        <v>1053</v>
      </c>
      <c r="G113" s="121" t="str">
        <f>'Inventory Takeoff'!C117</f>
        <v>Angle 3 x 3 x 3/8</v>
      </c>
    </row>
    <row r="114" spans="1:7">
      <c r="A114" s="121">
        <f>'Inventory Takeoff'!B118</f>
        <v>113</v>
      </c>
      <c r="B114" s="121">
        <f>'Inventory Takeoff'!H118</f>
        <v>6.68</v>
      </c>
      <c r="C114" s="121" t="s">
        <v>109</v>
      </c>
      <c r="D114" s="121" t="s">
        <v>1052</v>
      </c>
      <c r="E114" s="271">
        <f>IF('Inventory Takeoff'!J118="","",'Inventory Takeoff'!J118)</f>
        <v>44629</v>
      </c>
      <c r="F114" s="121" t="s">
        <v>1053</v>
      </c>
      <c r="G114" s="121" t="str">
        <f>'Inventory Takeoff'!C118</f>
        <v>Angle 4 x 4 x 1/4</v>
      </c>
    </row>
    <row r="115" spans="1:7">
      <c r="A115" s="121">
        <f>'Inventory Takeoff'!B119</f>
        <v>114</v>
      </c>
      <c r="B115" s="121">
        <f>'Inventory Takeoff'!H119</f>
        <v>7.33</v>
      </c>
      <c r="C115" s="121" t="s">
        <v>109</v>
      </c>
      <c r="D115" s="121" t="s">
        <v>1052</v>
      </c>
      <c r="E115" s="271" t="str">
        <f>IF('Inventory Takeoff'!J119="","",'Inventory Takeoff'!J119)</f>
        <v/>
      </c>
      <c r="F115" s="121" t="s">
        <v>1053</v>
      </c>
      <c r="G115" s="121" t="str">
        <f>'Inventory Takeoff'!C119</f>
        <v>Angle 4 x 4 x 3/8</v>
      </c>
    </row>
    <row r="116" spans="1:7">
      <c r="A116" s="121">
        <f>'Inventory Takeoff'!B120</f>
        <v>115</v>
      </c>
      <c r="B116" s="121">
        <f>'Inventory Takeoff'!H120</f>
        <v>12.95</v>
      </c>
      <c r="C116" s="121" t="s">
        <v>109</v>
      </c>
      <c r="D116" s="121" t="s">
        <v>1052</v>
      </c>
      <c r="E116" s="271">
        <f>IF('Inventory Takeoff'!J120="","",'Inventory Takeoff'!J120)</f>
        <v>44629</v>
      </c>
      <c r="F116" s="121" t="s">
        <v>1053</v>
      </c>
      <c r="G116" s="121" t="str">
        <f>'Inventory Takeoff'!C120</f>
        <v>Angle 4 x 4 x 1/2</v>
      </c>
    </row>
    <row r="117" spans="1:7">
      <c r="A117" s="121">
        <f>'Inventory Takeoff'!B121</f>
        <v>116</v>
      </c>
      <c r="B117" s="121">
        <f>'Inventory Takeoff'!H121</f>
        <v>15.09</v>
      </c>
      <c r="C117" s="121" t="s">
        <v>109</v>
      </c>
      <c r="D117" s="121" t="s">
        <v>1052</v>
      </c>
      <c r="E117" s="271">
        <f>IF('Inventory Takeoff'!J121="","",'Inventory Takeoff'!J121)</f>
        <v>44629</v>
      </c>
      <c r="F117" s="121" t="s">
        <v>1053</v>
      </c>
      <c r="G117" s="121" t="str">
        <f>'Inventory Takeoff'!C121</f>
        <v>Angle 6 x 6 x 3/8</v>
      </c>
    </row>
    <row r="118" spans="1:7">
      <c r="A118" s="121">
        <f>'Inventory Takeoff'!B122</f>
        <v>117</v>
      </c>
      <c r="B118" s="121">
        <f>'Inventory Takeoff'!H122</f>
        <v>1.21</v>
      </c>
      <c r="C118" s="121" t="s">
        <v>109</v>
      </c>
      <c r="D118" s="121" t="s">
        <v>1052</v>
      </c>
      <c r="E118" s="271">
        <f>IF('Inventory Takeoff'!J122="","",'Inventory Takeoff'!J122)</f>
        <v>44629</v>
      </c>
      <c r="F118" s="121" t="s">
        <v>1053</v>
      </c>
      <c r="G118" s="121" t="str">
        <f>'Inventory Takeoff'!C122</f>
        <v>Flat Bar 1 x  1/8</v>
      </c>
    </row>
    <row r="119" spans="1:7">
      <c r="A119" s="121">
        <f>'Inventory Takeoff'!B123</f>
        <v>118</v>
      </c>
      <c r="B119" s="121">
        <f>'Inventory Takeoff'!H123</f>
        <v>1.82</v>
      </c>
      <c r="C119" s="121" t="s">
        <v>109</v>
      </c>
      <c r="D119" s="121" t="s">
        <v>1052</v>
      </c>
      <c r="E119" s="271">
        <f>IF('Inventory Takeoff'!J123="","",'Inventory Takeoff'!J123)</f>
        <v>44629</v>
      </c>
      <c r="F119" s="121" t="s">
        <v>1053</v>
      </c>
      <c r="G119" s="121" t="str">
        <f>'Inventory Takeoff'!C123</f>
        <v>Flat Bar 1.5 x  1/8</v>
      </c>
    </row>
    <row r="120" spans="1:7">
      <c r="A120" s="121">
        <f>'Inventory Takeoff'!B124</f>
        <v>119</v>
      </c>
      <c r="B120" s="121">
        <f>'Inventory Takeoff'!H124</f>
        <v>2.7199999999999998</v>
      </c>
      <c r="C120" s="121" t="s">
        <v>109</v>
      </c>
      <c r="D120" s="121" t="s">
        <v>1052</v>
      </c>
      <c r="E120" s="271">
        <f>IF('Inventory Takeoff'!J124="","",'Inventory Takeoff'!J124)</f>
        <v>44629</v>
      </c>
      <c r="F120" s="121" t="s">
        <v>1053</v>
      </c>
      <c r="G120" s="121" t="str">
        <f>'Inventory Takeoff'!C124</f>
        <v>Flat Bar 1.5 x 3/16</v>
      </c>
    </row>
    <row r="121" spans="1:7">
      <c r="A121" s="121">
        <f>'Inventory Takeoff'!B125</f>
        <v>120</v>
      </c>
      <c r="B121" s="121">
        <f>'Inventory Takeoff'!H125</f>
        <v>0.73</v>
      </c>
      <c r="C121" s="121" t="s">
        <v>109</v>
      </c>
      <c r="D121" s="121" t="s">
        <v>1052</v>
      </c>
      <c r="E121" s="271" t="str">
        <f>IF('Inventory Takeoff'!J125="","",'Inventory Takeoff'!J125)</f>
        <v/>
      </c>
      <c r="F121" s="121" t="s">
        <v>1053</v>
      </c>
      <c r="G121" s="121" t="str">
        <f>'Inventory Takeoff'!C125</f>
        <v>Flat Bar 1 x 1/4</v>
      </c>
    </row>
    <row r="122" spans="1:7">
      <c r="A122" s="121">
        <f>'Inventory Takeoff'!B126</f>
        <v>121</v>
      </c>
      <c r="B122" s="121">
        <f>'Inventory Takeoff'!H126</f>
        <v>4.83</v>
      </c>
      <c r="C122" s="121" t="s">
        <v>109</v>
      </c>
      <c r="D122" s="121" t="s">
        <v>1052</v>
      </c>
      <c r="E122" s="271">
        <f>IF('Inventory Takeoff'!J126="","",'Inventory Takeoff'!J126)</f>
        <v>44629</v>
      </c>
      <c r="F122" s="121" t="s">
        <v>1053</v>
      </c>
      <c r="G122" s="121" t="str">
        <f>'Inventory Takeoff'!C126</f>
        <v>Flat Bar 2 x 1/4</v>
      </c>
    </row>
    <row r="123" spans="1:7">
      <c r="A123" s="121">
        <f>'Inventory Takeoff'!B127</f>
        <v>122</v>
      </c>
      <c r="B123" s="121">
        <f>'Inventory Takeoff'!H127</f>
        <v>11.14</v>
      </c>
      <c r="C123" s="121" t="s">
        <v>109</v>
      </c>
      <c r="D123" s="121" t="s">
        <v>1052</v>
      </c>
      <c r="E123" s="271">
        <f>IF('Inventory Takeoff'!J127="","",'Inventory Takeoff'!J127)</f>
        <v>44629</v>
      </c>
      <c r="F123" s="121" t="s">
        <v>1053</v>
      </c>
      <c r="G123" s="121" t="str">
        <f>'Inventory Takeoff'!C127</f>
        <v>Flat Bar 2 x 5/16</v>
      </c>
    </row>
    <row r="124" spans="1:7">
      <c r="A124" s="121">
        <f>'Inventory Takeoff'!B128</f>
        <v>123</v>
      </c>
      <c r="B124" s="121">
        <f>'Inventory Takeoff'!H128</f>
        <v>0</v>
      </c>
      <c r="C124" s="121" t="s">
        <v>109</v>
      </c>
      <c r="D124" s="121" t="s">
        <v>1054</v>
      </c>
      <c r="E124" s="271" t="str">
        <f>IF('Inventory Takeoff'!J128="","",'Inventory Takeoff'!J128)</f>
        <v/>
      </c>
      <c r="F124" s="121" t="s">
        <v>1053</v>
      </c>
      <c r="G124" s="121" t="str">
        <f>'Inventory Takeoff'!C128</f>
        <v>Not Used</v>
      </c>
    </row>
    <row r="125" spans="1:7">
      <c r="A125" s="121">
        <f>'Inventory Takeoff'!B129</f>
        <v>124</v>
      </c>
      <c r="B125" s="121">
        <f>'Inventory Takeoff'!H129</f>
        <v>2.42</v>
      </c>
      <c r="C125" s="121" t="s">
        <v>109</v>
      </c>
      <c r="D125" s="121" t="s">
        <v>1052</v>
      </c>
      <c r="E125" s="271">
        <f>IF('Inventory Takeoff'!J129="","",'Inventory Takeoff'!J129)</f>
        <v>44629</v>
      </c>
      <c r="F125" s="121" t="s">
        <v>1053</v>
      </c>
      <c r="G125" s="121" t="str">
        <f>'Inventory Takeoff'!C129</f>
        <v>Flat Bar 2 x 1/8</v>
      </c>
    </row>
    <row r="126" spans="1:7">
      <c r="A126" s="121">
        <f>'Inventory Takeoff'!B130</f>
        <v>125</v>
      </c>
      <c r="B126" s="121">
        <f>'Inventory Takeoff'!H130</f>
        <v>0</v>
      </c>
      <c r="C126" s="121" t="s">
        <v>109</v>
      </c>
      <c r="D126" s="121" t="s">
        <v>1054</v>
      </c>
      <c r="E126" s="271" t="str">
        <f>IF('Inventory Takeoff'!J130="","",'Inventory Takeoff'!J130)</f>
        <v/>
      </c>
      <c r="F126" s="121" t="s">
        <v>1053</v>
      </c>
      <c r="G126" s="121" t="str">
        <f>'Inventory Takeoff'!C130</f>
        <v>Not Used</v>
      </c>
    </row>
    <row r="127" spans="1:7">
      <c r="A127" s="121">
        <f>'Inventory Takeoff'!B131</f>
        <v>126</v>
      </c>
      <c r="B127" s="121">
        <f>'Inventory Takeoff'!H131</f>
        <v>3.63</v>
      </c>
      <c r="C127" s="121" t="s">
        <v>109</v>
      </c>
      <c r="D127" s="121" t="s">
        <v>1052</v>
      </c>
      <c r="E127" s="271">
        <f>IF('Inventory Takeoff'!J131="","",'Inventory Takeoff'!J131)</f>
        <v>44629</v>
      </c>
      <c r="F127" s="121" t="s">
        <v>1053</v>
      </c>
      <c r="G127" s="121" t="str">
        <f>'Inventory Takeoff'!C131</f>
        <v>Flat Bar 2 x 3/16</v>
      </c>
    </row>
    <row r="128" spans="1:7">
      <c r="A128" s="121">
        <f>'Inventory Takeoff'!B132</f>
        <v>127</v>
      </c>
      <c r="B128" s="121">
        <f>'Inventory Takeoff'!H132</f>
        <v>1.76</v>
      </c>
      <c r="C128" s="121" t="s">
        <v>109</v>
      </c>
      <c r="D128" s="121" t="s">
        <v>1052</v>
      </c>
      <c r="E128" s="271" t="str">
        <f>IF('Inventory Takeoff'!J132="","",'Inventory Takeoff'!J132)</f>
        <v/>
      </c>
      <c r="F128" s="121" t="s">
        <v>1053</v>
      </c>
      <c r="G128" s="121" t="str">
        <f>'Inventory Takeoff'!C132</f>
        <v>Flat Bar 2 x 3/8</v>
      </c>
    </row>
    <row r="129" spans="1:7">
      <c r="A129" s="121">
        <f>'Inventory Takeoff'!B133</f>
        <v>128</v>
      </c>
      <c r="B129" s="121">
        <f>'Inventory Takeoff'!H133</f>
        <v>1.76</v>
      </c>
      <c r="C129" s="121" t="s">
        <v>109</v>
      </c>
      <c r="D129" s="121" t="s">
        <v>1052</v>
      </c>
      <c r="E129" s="271" t="str">
        <f>IF('Inventory Takeoff'!J133="","",'Inventory Takeoff'!J133)</f>
        <v/>
      </c>
      <c r="F129" s="121" t="s">
        <v>1053</v>
      </c>
      <c r="G129" s="121" t="str">
        <f>'Inventory Takeoff'!C133</f>
        <v>Flat Bar 3 x 1/8</v>
      </c>
    </row>
    <row r="130" spans="1:7">
      <c r="A130" s="121">
        <f>'Inventory Takeoff'!B134</f>
        <v>129</v>
      </c>
      <c r="B130" s="121">
        <f>'Inventory Takeoff'!H134</f>
        <v>5.4399999999999995</v>
      </c>
      <c r="C130" s="121" t="s">
        <v>109</v>
      </c>
      <c r="D130" s="121" t="s">
        <v>1052</v>
      </c>
      <c r="E130" s="271">
        <f>IF('Inventory Takeoff'!J134="","",'Inventory Takeoff'!J134)</f>
        <v>44629</v>
      </c>
      <c r="F130" s="121" t="s">
        <v>1053</v>
      </c>
      <c r="G130" s="121" t="str">
        <f>'Inventory Takeoff'!C134</f>
        <v>Flat Bar 3 x 3/16</v>
      </c>
    </row>
    <row r="131" spans="1:7">
      <c r="A131" s="121">
        <f>'Inventory Takeoff'!B135</f>
        <v>130</v>
      </c>
      <c r="B131" s="121">
        <f>'Inventory Takeoff'!H135</f>
        <v>7.24</v>
      </c>
      <c r="C131" s="121" t="s">
        <v>109</v>
      </c>
      <c r="D131" s="121" t="s">
        <v>1052</v>
      </c>
      <c r="E131" s="271">
        <f>IF('Inventory Takeoff'!J135="","",'Inventory Takeoff'!J135)</f>
        <v>44629</v>
      </c>
      <c r="F131" s="121" t="s">
        <v>1053</v>
      </c>
      <c r="G131" s="121" t="str">
        <f>'Inventory Takeoff'!C135</f>
        <v>Flat Bar 3 x 1/4</v>
      </c>
    </row>
    <row r="132" spans="1:7">
      <c r="A132" s="121">
        <f>'Inventory Takeoff'!B136</f>
        <v>131</v>
      </c>
      <c r="B132" s="121">
        <f>'Inventory Takeoff'!H136</f>
        <v>2.7899999999999996</v>
      </c>
      <c r="C132" s="121" t="s">
        <v>109</v>
      </c>
      <c r="D132" s="121" t="s">
        <v>1052</v>
      </c>
      <c r="E132" s="271" t="str">
        <f>IF('Inventory Takeoff'!J136="","",'Inventory Takeoff'!J136)</f>
        <v/>
      </c>
      <c r="F132" s="121" t="s">
        <v>1053</v>
      </c>
      <c r="G132" s="121" t="str">
        <f>'Inventory Takeoff'!C136</f>
        <v>Flat Bar 3 x 3/8</v>
      </c>
    </row>
    <row r="133" spans="1:7">
      <c r="A133" s="121">
        <f>'Inventory Takeoff'!B137</f>
        <v>132</v>
      </c>
      <c r="B133" s="121">
        <f>'Inventory Takeoff'!H137</f>
        <v>4.5299999999999994</v>
      </c>
      <c r="C133" s="121" t="s">
        <v>109</v>
      </c>
      <c r="D133" s="121" t="s">
        <v>1052</v>
      </c>
      <c r="E133" s="271">
        <f>IF('Inventory Takeoff'!J137="","",'Inventory Takeoff'!J137)</f>
        <v>44629</v>
      </c>
      <c r="F133" s="121" t="s">
        <v>1053</v>
      </c>
      <c r="G133" s="121" t="str">
        <f>'Inventory Takeoff'!C137</f>
        <v>Flat Bar 4 x 1/4</v>
      </c>
    </row>
    <row r="134" spans="1:7">
      <c r="A134" s="121">
        <f>'Inventory Takeoff'!B138</f>
        <v>133</v>
      </c>
      <c r="B134" s="121">
        <f>'Inventory Takeoff'!H138</f>
        <v>9.06</v>
      </c>
      <c r="C134" s="121" t="s">
        <v>109</v>
      </c>
      <c r="D134" s="121" t="s">
        <v>1052</v>
      </c>
      <c r="E134" s="271">
        <f>IF('Inventory Takeoff'!J138="","",'Inventory Takeoff'!J138)</f>
        <v>44629</v>
      </c>
      <c r="F134" s="121" t="s">
        <v>1053</v>
      </c>
      <c r="G134" s="121" t="str">
        <f>'Inventory Takeoff'!C138</f>
        <v>Flat Bar 4 x 1/2</v>
      </c>
    </row>
    <row r="135" spans="1:7">
      <c r="A135" s="121">
        <f>'Inventory Takeoff'!B139</f>
        <v>134</v>
      </c>
      <c r="B135" s="121">
        <f>'Inventory Takeoff'!H139</f>
        <v>3.94</v>
      </c>
      <c r="C135" s="121" t="s">
        <v>109</v>
      </c>
      <c r="D135" s="121" t="s">
        <v>1052</v>
      </c>
      <c r="E135" s="271" t="str">
        <f>IF('Inventory Takeoff'!J139="","",'Inventory Takeoff'!J139)</f>
        <v/>
      </c>
      <c r="F135" s="121" t="s">
        <v>1053</v>
      </c>
      <c r="G135" s="121" t="str">
        <f>'Inventory Takeoff'!C139</f>
        <v>Flat Bar 6 x 1/4</v>
      </c>
    </row>
    <row r="136" spans="1:7">
      <c r="A136" s="121">
        <f>'Inventory Takeoff'!B140</f>
        <v>135</v>
      </c>
      <c r="B136" s="121">
        <f>'Inventory Takeoff'!H140</f>
        <v>10.19</v>
      </c>
      <c r="C136" s="121" t="s">
        <v>109</v>
      </c>
      <c r="D136" s="121" t="s">
        <v>1052</v>
      </c>
      <c r="E136" s="271">
        <f>IF('Inventory Takeoff'!J140="","",'Inventory Takeoff'!J140)</f>
        <v>44629</v>
      </c>
      <c r="F136" s="121" t="s">
        <v>1053</v>
      </c>
      <c r="G136" s="121" t="str">
        <f>'Inventory Takeoff'!C140</f>
        <v>Flat Bar 6 x 3/8</v>
      </c>
    </row>
    <row r="137" spans="1:7">
      <c r="A137" s="121">
        <f>'Inventory Takeoff'!B141</f>
        <v>136</v>
      </c>
      <c r="B137" s="121">
        <f>'Inventory Takeoff'!H141</f>
        <v>0.79</v>
      </c>
      <c r="C137" s="121" t="s">
        <v>109</v>
      </c>
      <c r="D137" s="121" t="s">
        <v>1052</v>
      </c>
      <c r="E137" s="271">
        <f>IF('Inventory Takeoff'!J141="","",'Inventory Takeoff'!J141)</f>
        <v>44648</v>
      </c>
      <c r="F137" s="121" t="s">
        <v>1053</v>
      </c>
      <c r="G137" s="121" t="str">
        <f>'Inventory Takeoff'!C141</f>
        <v>Square Rod 3/8</v>
      </c>
    </row>
    <row r="138" spans="1:7">
      <c r="A138" s="121">
        <f>'Inventory Takeoff'!B142</f>
        <v>137</v>
      </c>
      <c r="B138" s="121">
        <f>'Inventory Takeoff'!H142</f>
        <v>0.22</v>
      </c>
      <c r="C138" s="121" t="s">
        <v>109</v>
      </c>
      <c r="D138" s="121" t="s">
        <v>1052</v>
      </c>
      <c r="E138" s="271" t="str">
        <f>IF('Inventory Takeoff'!J142="","",'Inventory Takeoff'!J142)</f>
        <v/>
      </c>
      <c r="F138" s="121" t="s">
        <v>1053</v>
      </c>
      <c r="G138" s="121" t="str">
        <f>'Inventory Takeoff'!C142</f>
        <v>Round Rod 1/4</v>
      </c>
    </row>
    <row r="139" spans="1:7">
      <c r="A139" s="121">
        <f>'Inventory Takeoff'!B143</f>
        <v>138</v>
      </c>
      <c r="B139" s="121">
        <f>'Inventory Takeoff'!H143</f>
        <v>0.44</v>
      </c>
      <c r="C139" s="121" t="s">
        <v>109</v>
      </c>
      <c r="D139" s="121" t="s">
        <v>1052</v>
      </c>
      <c r="E139" s="271" t="str">
        <f>IF('Inventory Takeoff'!J143="","",'Inventory Takeoff'!J143)</f>
        <v/>
      </c>
      <c r="F139" s="121" t="s">
        <v>1053</v>
      </c>
      <c r="G139" s="121" t="str">
        <f>'Inventory Takeoff'!C143</f>
        <v>Round Rod 3/8</v>
      </c>
    </row>
    <row r="140" spans="1:7">
      <c r="A140" s="121">
        <f>'Inventory Takeoff'!B144</f>
        <v>139</v>
      </c>
      <c r="B140" s="121">
        <f>'Inventory Takeoff'!H144</f>
        <v>0.57000000000000006</v>
      </c>
      <c r="C140" s="121" t="s">
        <v>109</v>
      </c>
      <c r="D140" s="121" t="s">
        <v>1052</v>
      </c>
      <c r="E140" s="271" t="str">
        <f>IF('Inventory Takeoff'!J144="","",'Inventory Takeoff'!J144)</f>
        <v/>
      </c>
      <c r="F140" s="121" t="s">
        <v>1053</v>
      </c>
      <c r="G140" s="121" t="str">
        <f>'Inventory Takeoff'!C144</f>
        <v>Round Rod 1/2</v>
      </c>
    </row>
    <row r="141" spans="1:7">
      <c r="A141" s="121">
        <f>'Inventory Takeoff'!B145</f>
        <v>140</v>
      </c>
      <c r="B141" s="121">
        <f>'Inventory Takeoff'!H145</f>
        <v>1.1200000000000001</v>
      </c>
      <c r="C141" s="121" t="s">
        <v>109</v>
      </c>
      <c r="D141" s="121" t="s">
        <v>1052</v>
      </c>
      <c r="E141" s="271" t="str">
        <f>IF('Inventory Takeoff'!J145="","",'Inventory Takeoff'!J145)</f>
        <v/>
      </c>
      <c r="F141" s="121" t="s">
        <v>1053</v>
      </c>
      <c r="G141" s="121" t="str">
        <f>'Inventory Takeoff'!C145</f>
        <v>Round Rod 3/4</v>
      </c>
    </row>
    <row r="142" spans="1:7">
      <c r="A142" s="121">
        <f>'Inventory Takeoff'!B146</f>
        <v>141</v>
      </c>
      <c r="B142" s="121">
        <f>'Inventory Takeoff'!H146</f>
        <v>9.94</v>
      </c>
      <c r="C142" s="121" t="s">
        <v>109</v>
      </c>
      <c r="D142" s="121" t="s">
        <v>1054</v>
      </c>
      <c r="E142" s="271">
        <f>IF('Inventory Takeoff'!J146="","",'Inventory Takeoff'!J146)</f>
        <v>44949</v>
      </c>
      <c r="F142" s="121" t="s">
        <v>1053</v>
      </c>
      <c r="G142" s="121" t="str">
        <f>'Inventory Takeoff'!C146</f>
        <v>Round Angle Rings 4"</v>
      </c>
    </row>
    <row r="143" spans="1:7">
      <c r="A143" s="121">
        <f>'Inventory Takeoff'!B147</f>
        <v>142</v>
      </c>
      <c r="B143" s="121">
        <f>'Inventory Takeoff'!H147</f>
        <v>11.94</v>
      </c>
      <c r="C143" s="121" t="s">
        <v>109</v>
      </c>
      <c r="D143" s="121" t="s">
        <v>1054</v>
      </c>
      <c r="E143" s="271">
        <f>IF('Inventory Takeoff'!J147="","",'Inventory Takeoff'!J147)</f>
        <v>44949</v>
      </c>
      <c r="F143" s="121" t="s">
        <v>1053</v>
      </c>
      <c r="G143" s="121" t="str">
        <f>'Inventory Takeoff'!C147</f>
        <v>Round Angle Rings 5"</v>
      </c>
    </row>
    <row r="144" spans="1:7">
      <c r="A144" s="121">
        <f>'Inventory Takeoff'!B148</f>
        <v>143</v>
      </c>
      <c r="B144" s="121">
        <f>'Inventory Takeoff'!H148</f>
        <v>7.1899999999999995</v>
      </c>
      <c r="C144" s="121" t="s">
        <v>109</v>
      </c>
      <c r="D144" s="121" t="s">
        <v>1054</v>
      </c>
      <c r="E144" s="271">
        <f>IF('Inventory Takeoff'!J148="","",'Inventory Takeoff'!J148)</f>
        <v>44949</v>
      </c>
      <c r="F144" s="121" t="s">
        <v>1053</v>
      </c>
      <c r="G144" s="121" t="str">
        <f>'Inventory Takeoff'!C148</f>
        <v>Round Angle Rings 6"</v>
      </c>
    </row>
    <row r="145" spans="1:7">
      <c r="A145" s="121">
        <f>'Inventory Takeoff'!B149</f>
        <v>144</v>
      </c>
      <c r="B145" s="121">
        <f>'Inventory Takeoff'!H149</f>
        <v>8.73</v>
      </c>
      <c r="C145" s="121" t="s">
        <v>109</v>
      </c>
      <c r="D145" s="121" t="s">
        <v>1054</v>
      </c>
      <c r="E145" s="271">
        <f>IF('Inventory Takeoff'!J149="","",'Inventory Takeoff'!J149)</f>
        <v>44949</v>
      </c>
      <c r="F145" s="121" t="s">
        <v>1053</v>
      </c>
      <c r="G145" s="121" t="str">
        <f>'Inventory Takeoff'!C149</f>
        <v>Round Angle Rings 7"</v>
      </c>
    </row>
    <row r="146" spans="1:7">
      <c r="A146" s="121">
        <f>'Inventory Takeoff'!B150</f>
        <v>145</v>
      </c>
      <c r="B146" s="121">
        <f>'Inventory Takeoff'!H150</f>
        <v>10.01</v>
      </c>
      <c r="C146" s="121" t="s">
        <v>109</v>
      </c>
      <c r="D146" s="121" t="s">
        <v>1054</v>
      </c>
      <c r="E146" s="271">
        <f>IF('Inventory Takeoff'!J150="","",'Inventory Takeoff'!J150)</f>
        <v>44949</v>
      </c>
      <c r="F146" s="121" t="s">
        <v>1053</v>
      </c>
      <c r="G146" s="121" t="str">
        <f>'Inventory Takeoff'!C150</f>
        <v>Round Angle Rings 8"</v>
      </c>
    </row>
    <row r="147" spans="1:7">
      <c r="A147" s="121">
        <f>'Inventory Takeoff'!B151</f>
        <v>146</v>
      </c>
      <c r="B147" s="121">
        <f>'Inventory Takeoff'!H151</f>
        <v>11.52</v>
      </c>
      <c r="C147" s="121" t="s">
        <v>109</v>
      </c>
      <c r="D147" s="121" t="s">
        <v>1054</v>
      </c>
      <c r="E147" s="271">
        <f>IF('Inventory Takeoff'!J151="","",'Inventory Takeoff'!J151)</f>
        <v>44949</v>
      </c>
      <c r="F147" s="121" t="s">
        <v>1053</v>
      </c>
      <c r="G147" s="121" t="str">
        <f>'Inventory Takeoff'!C151</f>
        <v>Round Angle Rings 9"</v>
      </c>
    </row>
    <row r="148" spans="1:7">
      <c r="A148" s="121">
        <f>'Inventory Takeoff'!B152</f>
        <v>147</v>
      </c>
      <c r="B148" s="121">
        <f>'Inventory Takeoff'!H152</f>
        <v>12.91</v>
      </c>
      <c r="C148" s="121" t="s">
        <v>109</v>
      </c>
      <c r="D148" s="121" t="s">
        <v>1054</v>
      </c>
      <c r="E148" s="271">
        <f>IF('Inventory Takeoff'!J152="","",'Inventory Takeoff'!J152)</f>
        <v>44949</v>
      </c>
      <c r="F148" s="121" t="s">
        <v>1053</v>
      </c>
      <c r="G148" s="121" t="str">
        <f>'Inventory Takeoff'!C152</f>
        <v>Round Angle Rings 10"</v>
      </c>
    </row>
    <row r="149" spans="1:7">
      <c r="A149" s="121">
        <f>'Inventory Takeoff'!B153</f>
        <v>148</v>
      </c>
      <c r="B149" s="121">
        <f>'Inventory Takeoff'!H153</f>
        <v>17.489999999999998</v>
      </c>
      <c r="C149" s="121" t="s">
        <v>109</v>
      </c>
      <c r="D149" s="121" t="s">
        <v>1054</v>
      </c>
      <c r="E149" s="271">
        <f>IF('Inventory Takeoff'!J153="","",'Inventory Takeoff'!J153)</f>
        <v>44949</v>
      </c>
      <c r="F149" s="121" t="s">
        <v>1053</v>
      </c>
      <c r="G149" s="121" t="str">
        <f>'Inventory Takeoff'!C153</f>
        <v>Round Angle Rings 12"</v>
      </c>
    </row>
    <row r="150" spans="1:7">
      <c r="A150" s="121">
        <f>'Inventory Takeoff'!B154</f>
        <v>149</v>
      </c>
      <c r="B150" s="121">
        <f>'Inventory Takeoff'!H154</f>
        <v>21.42</v>
      </c>
      <c r="C150" s="121" t="s">
        <v>109</v>
      </c>
      <c r="D150" s="121" t="s">
        <v>1054</v>
      </c>
      <c r="E150" s="271">
        <f>IF('Inventory Takeoff'!J154="","",'Inventory Takeoff'!J154)</f>
        <v>44949</v>
      </c>
      <c r="F150" s="121" t="s">
        <v>1053</v>
      </c>
      <c r="G150" s="121" t="str">
        <f>'Inventory Takeoff'!C154</f>
        <v>Round Angle Rings 14"</v>
      </c>
    </row>
    <row r="151" spans="1:7">
      <c r="A151" s="121">
        <f>'Inventory Takeoff'!B155</f>
        <v>150</v>
      </c>
      <c r="B151" s="121">
        <f>'Inventory Takeoff'!H155</f>
        <v>25.580000000000002</v>
      </c>
      <c r="C151" s="121" t="s">
        <v>109</v>
      </c>
      <c r="D151" s="121" t="s">
        <v>1054</v>
      </c>
      <c r="E151" s="271">
        <f>IF('Inventory Takeoff'!J155="","",'Inventory Takeoff'!J155)</f>
        <v>44949</v>
      </c>
      <c r="F151" s="121" t="s">
        <v>1053</v>
      </c>
      <c r="G151" s="121" t="str">
        <f>'Inventory Takeoff'!C155</f>
        <v>Round Angle Rings 16"</v>
      </c>
    </row>
    <row r="152" spans="1:7">
      <c r="A152" s="121">
        <f>'Inventory Takeoff'!B156</f>
        <v>151</v>
      </c>
      <c r="B152" s="121">
        <f>'Inventory Takeoff'!H156</f>
        <v>27.53</v>
      </c>
      <c r="C152" s="121" t="s">
        <v>109</v>
      </c>
      <c r="D152" s="121" t="s">
        <v>1054</v>
      </c>
      <c r="E152" s="271">
        <f>IF('Inventory Takeoff'!J156="","",'Inventory Takeoff'!J156)</f>
        <v>44949</v>
      </c>
      <c r="F152" s="121" t="s">
        <v>1053</v>
      </c>
      <c r="G152" s="121" t="str">
        <f>'Inventory Takeoff'!C156</f>
        <v>Round Angle Rings 18"</v>
      </c>
    </row>
    <row r="153" spans="1:7">
      <c r="A153" s="121">
        <f>'Inventory Takeoff'!B157</f>
        <v>152</v>
      </c>
      <c r="B153" s="121">
        <f>'Inventory Takeoff'!H157</f>
        <v>30.01</v>
      </c>
      <c r="C153" s="121" t="s">
        <v>109</v>
      </c>
      <c r="D153" s="121" t="s">
        <v>1054</v>
      </c>
      <c r="E153" s="271">
        <f>IF('Inventory Takeoff'!J157="","",'Inventory Takeoff'!J157)</f>
        <v>44949</v>
      </c>
      <c r="F153" s="121" t="s">
        <v>1053</v>
      </c>
      <c r="G153" s="121" t="str">
        <f>'Inventory Takeoff'!C157</f>
        <v>Round Angle Rings 20"</v>
      </c>
    </row>
    <row r="154" spans="1:7">
      <c r="A154" s="121">
        <f>'Inventory Takeoff'!B158</f>
        <v>153</v>
      </c>
      <c r="B154" s="121">
        <f>'Inventory Takeoff'!H158</f>
        <v>31.67</v>
      </c>
      <c r="C154" s="121" t="s">
        <v>109</v>
      </c>
      <c r="D154" s="121" t="s">
        <v>1054</v>
      </c>
      <c r="E154" s="271">
        <f>IF('Inventory Takeoff'!J158="","",'Inventory Takeoff'!J158)</f>
        <v>44949</v>
      </c>
      <c r="F154" s="121" t="s">
        <v>1053</v>
      </c>
      <c r="G154" s="121" t="str">
        <f>'Inventory Takeoff'!C158</f>
        <v>Round Angle Rings 22"</v>
      </c>
    </row>
    <row r="155" spans="1:7">
      <c r="A155" s="121">
        <f>'Inventory Takeoff'!B159</f>
        <v>154</v>
      </c>
      <c r="B155" s="121">
        <f>'Inventory Takeoff'!H159</f>
        <v>3.28</v>
      </c>
      <c r="C155" s="121" t="s">
        <v>109</v>
      </c>
      <c r="D155" s="121" t="s">
        <v>1054</v>
      </c>
      <c r="E155" s="271">
        <f>IF('Inventory Takeoff'!J159="","",'Inventory Takeoff'!J159)</f>
        <v>44476</v>
      </c>
      <c r="F155" s="121" t="s">
        <v>1053</v>
      </c>
      <c r="G155" s="121" t="str">
        <f>'Inventory Takeoff'!C159</f>
        <v xml:space="preserve">Wood Sawzall Blade </v>
      </c>
    </row>
    <row r="156" spans="1:7">
      <c r="A156" s="121">
        <f>'Inventory Takeoff'!B160</f>
        <v>155</v>
      </c>
      <c r="B156" s="121">
        <f>'Inventory Takeoff'!H160</f>
        <v>0.49</v>
      </c>
      <c r="C156" s="121" t="s">
        <v>109</v>
      </c>
      <c r="D156" s="121" t="s">
        <v>1052</v>
      </c>
      <c r="E156" s="271" t="str">
        <f>IF('Inventory Takeoff'!J160="","",'Inventory Takeoff'!J160)</f>
        <v/>
      </c>
      <c r="F156" s="121" t="s">
        <v>1053</v>
      </c>
      <c r="G156" s="121" t="str">
        <f>'Inventory Takeoff'!C160</f>
        <v>Bird Screen 1/4</v>
      </c>
    </row>
    <row r="157" spans="1:7">
      <c r="A157" s="121">
        <f>'Inventory Takeoff'!B161</f>
        <v>156</v>
      </c>
      <c r="B157" s="121">
        <f>'Inventory Takeoff'!H161</f>
        <v>0.96</v>
      </c>
      <c r="C157" s="121" t="s">
        <v>109</v>
      </c>
      <c r="D157" s="121" t="s">
        <v>1052</v>
      </c>
      <c r="E157" s="271" t="str">
        <f>IF('Inventory Takeoff'!J161="","",'Inventory Takeoff'!J161)</f>
        <v/>
      </c>
      <c r="F157" s="121" t="s">
        <v>1053</v>
      </c>
      <c r="G157" s="121" t="str">
        <f>'Inventory Takeoff'!C161</f>
        <v>Bird Screen 1/2</v>
      </c>
    </row>
    <row r="158" spans="1:7">
      <c r="A158" s="121">
        <f>'Inventory Takeoff'!B162</f>
        <v>157</v>
      </c>
      <c r="B158" s="121">
        <f>'Inventory Takeoff'!H162</f>
        <v>3.17</v>
      </c>
      <c r="C158" s="121" t="s">
        <v>109</v>
      </c>
      <c r="D158" s="121" t="s">
        <v>1052</v>
      </c>
      <c r="E158" s="271" t="str">
        <f>IF('Inventory Takeoff'!J162="","",'Inventory Takeoff'!J162)</f>
        <v/>
      </c>
      <c r="F158" s="121" t="s">
        <v>1053</v>
      </c>
      <c r="G158" s="121" t="str">
        <f>'Inventory Takeoff'!C162</f>
        <v>Bird Screen SS 1/2</v>
      </c>
    </row>
    <row r="159" spans="1:7">
      <c r="A159" s="121">
        <f>'Inventory Takeoff'!B163</f>
        <v>158</v>
      </c>
      <c r="B159" s="121">
        <f>'Inventory Takeoff'!H163</f>
        <v>3.5399999999999996</v>
      </c>
      <c r="C159" s="121" t="s">
        <v>109</v>
      </c>
      <c r="D159" s="121" t="s">
        <v>1054</v>
      </c>
      <c r="E159" s="271" t="str">
        <f>IF('Inventory Takeoff'!J163="","",'Inventory Takeoff'!J163)</f>
        <v/>
      </c>
      <c r="F159" s="121" t="s">
        <v>1053</v>
      </c>
      <c r="G159" s="121" t="str">
        <f>'Inventory Takeoff'!C163</f>
        <v>Round Angle Rings 3"</v>
      </c>
    </row>
    <row r="160" spans="1:7">
      <c r="A160" s="121">
        <f>'Inventory Takeoff'!B164</f>
        <v>159</v>
      </c>
      <c r="B160" s="121">
        <f>'Inventory Takeoff'!H164</f>
        <v>4.4000000000000004</v>
      </c>
      <c r="C160" s="121" t="s">
        <v>109</v>
      </c>
      <c r="D160" s="121" t="s">
        <v>1054</v>
      </c>
      <c r="E160" s="271" t="str">
        <f>IF('Inventory Takeoff'!J164="","",'Inventory Takeoff'!J164)</f>
        <v/>
      </c>
      <c r="F160" s="121" t="s">
        <v>1053</v>
      </c>
      <c r="G160" s="121" t="str">
        <f>'Inventory Takeoff'!C164</f>
        <v>AB Metal Blade 7"</v>
      </c>
    </row>
    <row r="161" spans="1:7">
      <c r="A161" s="121">
        <f>'Inventory Takeoff'!B165</f>
        <v>160</v>
      </c>
      <c r="B161" s="121">
        <f>'Inventory Takeoff'!H165</f>
        <v>4.5299999999999994</v>
      </c>
      <c r="C161" s="121" t="s">
        <v>109</v>
      </c>
      <c r="D161" s="121" t="s">
        <v>1054</v>
      </c>
      <c r="E161" s="271" t="str">
        <f>IF('Inventory Takeoff'!J165="","",'Inventory Takeoff'!J165)</f>
        <v/>
      </c>
      <c r="F161" s="121" t="s">
        <v>1053</v>
      </c>
      <c r="G161" s="121" t="str">
        <f>'Inventory Takeoff'!C165</f>
        <v>AB Masonry Blade 7"</v>
      </c>
    </row>
    <row r="162" spans="1:7">
      <c r="A162" s="121">
        <f>'Inventory Takeoff'!B166</f>
        <v>161</v>
      </c>
      <c r="B162" s="121">
        <f>'Inventory Takeoff'!H166</f>
        <v>12.379999999999999</v>
      </c>
      <c r="C162" s="121" t="s">
        <v>109</v>
      </c>
      <c r="D162" s="121" t="s">
        <v>1054</v>
      </c>
      <c r="E162" s="271">
        <f>IF('Inventory Takeoff'!J166="","",'Inventory Takeoff'!J166)</f>
        <v>44476</v>
      </c>
      <c r="F162" s="121" t="s">
        <v>1053</v>
      </c>
      <c r="G162" s="121" t="str">
        <f>'Inventory Takeoff'!C166</f>
        <v>Chopsaw Blade</v>
      </c>
    </row>
    <row r="163" spans="1:7">
      <c r="A163" s="121">
        <f>'Inventory Takeoff'!B167</f>
        <v>162</v>
      </c>
      <c r="B163" s="121">
        <f>'Inventory Takeoff'!H167</f>
        <v>43.45</v>
      </c>
      <c r="C163" s="121" t="s">
        <v>109</v>
      </c>
      <c r="D163" s="121" t="s">
        <v>1054</v>
      </c>
      <c r="E163" s="271">
        <f>IF('Inventory Takeoff'!J167="","",'Inventory Takeoff'!J167)</f>
        <v>46066</v>
      </c>
      <c r="F163" s="121" t="s">
        <v>1053</v>
      </c>
      <c r="G163" s="121" t="str">
        <f>'Inventory Takeoff'!C167</f>
        <v>Port Band Metal Blade</v>
      </c>
    </row>
    <row r="164" spans="1:7">
      <c r="A164" s="121">
        <f>'Inventory Takeoff'!B168</f>
        <v>163</v>
      </c>
      <c r="B164" s="121">
        <f>'Inventory Takeoff'!H168</f>
        <v>2.75</v>
      </c>
      <c r="C164" s="121" t="s">
        <v>109</v>
      </c>
      <c r="D164" s="121" t="s">
        <v>1054</v>
      </c>
      <c r="E164" s="271">
        <f>IF('Inventory Takeoff'!J168="","",'Inventory Takeoff'!J168)</f>
        <v>44476</v>
      </c>
      <c r="F164" s="121" t="s">
        <v>1053</v>
      </c>
      <c r="G164" s="121" t="str">
        <f>'Inventory Takeoff'!C168</f>
        <v>Sawzall Blade</v>
      </c>
    </row>
    <row r="165" spans="1:7">
      <c r="A165" s="121">
        <f>'Inventory Takeoff'!B169</f>
        <v>164</v>
      </c>
      <c r="B165" s="121">
        <f>'Inventory Takeoff'!H169</f>
        <v>4.8</v>
      </c>
      <c r="C165" s="121" t="s">
        <v>109</v>
      </c>
      <c r="D165" s="121" t="s">
        <v>1054</v>
      </c>
      <c r="E165" s="271" t="str">
        <f>IF('Inventory Takeoff'!J169="","",'Inventory Takeoff'!J169)</f>
        <v/>
      </c>
      <c r="F165" s="121" t="s">
        <v>1053</v>
      </c>
      <c r="G165" s="121" t="str">
        <f>'Inventory Takeoff'!C169</f>
        <v>Woodsaw Blade</v>
      </c>
    </row>
    <row r="166" spans="1:7">
      <c r="A166" s="121">
        <f>'Inventory Takeoff'!B170</f>
        <v>165</v>
      </c>
      <c r="B166" s="121">
        <f>'Inventory Takeoff'!H170</f>
        <v>4.8</v>
      </c>
      <c r="C166" s="121" t="s">
        <v>109</v>
      </c>
      <c r="D166" s="121" t="s">
        <v>1054</v>
      </c>
      <c r="E166" s="271">
        <f>IF('Inventory Takeoff'!J170="","",'Inventory Takeoff'!J170)</f>
        <v>44476</v>
      </c>
      <c r="F166" s="121" t="s">
        <v>1053</v>
      </c>
      <c r="G166" s="121" t="str">
        <f>'Inventory Takeoff'!C170</f>
        <v>Jigsaw Blade 3"</v>
      </c>
    </row>
    <row r="167" spans="1:7">
      <c r="A167" s="121">
        <f>'Inventory Takeoff'!B171</f>
        <v>166</v>
      </c>
      <c r="B167" s="121">
        <f>'Inventory Takeoff'!H171</f>
        <v>6.0000000000000005E-2</v>
      </c>
      <c r="C167" s="121" t="s">
        <v>109</v>
      </c>
      <c r="D167" s="121" t="s">
        <v>1054</v>
      </c>
      <c r="E167" s="271" t="str">
        <f>IF('Inventory Takeoff'!J171="","",'Inventory Takeoff'!J171)</f>
        <v/>
      </c>
      <c r="F167" s="121" t="s">
        <v>1053</v>
      </c>
      <c r="G167" s="121" t="str">
        <f>'Inventory Takeoff'!C171</f>
        <v>Bolts 1/4 x 1/2</v>
      </c>
    </row>
    <row r="168" spans="1:7">
      <c r="A168" s="121">
        <f>'Inventory Takeoff'!B172</f>
        <v>167</v>
      </c>
      <c r="B168" s="121">
        <f>'Inventory Takeoff'!H172</f>
        <v>0.11</v>
      </c>
      <c r="C168" s="121" t="s">
        <v>109</v>
      </c>
      <c r="D168" s="121" t="s">
        <v>1054</v>
      </c>
      <c r="E168" s="271">
        <f>IF('Inventory Takeoff'!J172="","",'Inventory Takeoff'!J172)</f>
        <v>46066</v>
      </c>
      <c r="F168" s="121" t="s">
        <v>1053</v>
      </c>
      <c r="G168" s="121" t="str">
        <f>'Inventory Takeoff'!C172</f>
        <v>Bolts 1/4 x 1</v>
      </c>
    </row>
    <row r="169" spans="1:7">
      <c r="A169" s="121">
        <f>'Inventory Takeoff'!B173</f>
        <v>168</v>
      </c>
      <c r="B169" s="121">
        <f>'Inventory Takeoff'!H173</f>
        <v>0.11</v>
      </c>
      <c r="C169" s="121" t="s">
        <v>109</v>
      </c>
      <c r="D169" s="121" t="s">
        <v>1054</v>
      </c>
      <c r="E169" s="271">
        <f>IF('Inventory Takeoff'!J173="","",'Inventory Takeoff'!J173)</f>
        <v>46066</v>
      </c>
      <c r="F169" s="121" t="s">
        <v>1053</v>
      </c>
      <c r="G169" s="121" t="str">
        <f>'Inventory Takeoff'!C173</f>
        <v>Bolts 1/4 x 1 1/2</v>
      </c>
    </row>
    <row r="170" spans="1:7">
      <c r="A170" s="121">
        <f>'Inventory Takeoff'!B174</f>
        <v>169</v>
      </c>
      <c r="B170" s="121">
        <f>'Inventory Takeoff'!H174</f>
        <v>9.9999999999999992E-2</v>
      </c>
      <c r="C170" s="121" t="s">
        <v>109</v>
      </c>
      <c r="D170" s="121" t="s">
        <v>1054</v>
      </c>
      <c r="E170" s="271">
        <f>IF('Inventory Takeoff'!J174="","",'Inventory Takeoff'!J174)</f>
        <v>44949</v>
      </c>
      <c r="F170" s="121" t="s">
        <v>1053</v>
      </c>
      <c r="G170" s="121" t="str">
        <f>'Inventory Takeoff'!C174</f>
        <v>Bolts 1/4 x 2</v>
      </c>
    </row>
    <row r="171" spans="1:7">
      <c r="A171" s="121">
        <f>'Inventory Takeoff'!B175</f>
        <v>170</v>
      </c>
      <c r="B171" s="121">
        <f>'Inventory Takeoff'!H175</f>
        <v>0.11</v>
      </c>
      <c r="C171" s="121" t="s">
        <v>109</v>
      </c>
      <c r="D171" s="121" t="s">
        <v>1054</v>
      </c>
      <c r="E171" s="271">
        <f>IF('Inventory Takeoff'!J175="","",'Inventory Takeoff'!J175)</f>
        <v>44949</v>
      </c>
      <c r="F171" s="121" t="s">
        <v>1053</v>
      </c>
      <c r="G171" s="121" t="str">
        <f>'Inventory Takeoff'!C175</f>
        <v>Bolts 1/4 x 3</v>
      </c>
    </row>
    <row r="172" spans="1:7">
      <c r="A172" s="121">
        <f>'Inventory Takeoff'!B176</f>
        <v>171</v>
      </c>
      <c r="B172" s="121">
        <f>'Inventory Takeoff'!H176</f>
        <v>9.9999999999999992E-2</v>
      </c>
      <c r="C172" s="121" t="s">
        <v>109</v>
      </c>
      <c r="D172" s="121" t="s">
        <v>1054</v>
      </c>
      <c r="E172" s="271">
        <f>IF('Inventory Takeoff'!J176="","",'Inventory Takeoff'!J176)</f>
        <v>44949</v>
      </c>
      <c r="F172" s="121" t="s">
        <v>1053</v>
      </c>
      <c r="G172" s="121" t="str">
        <f>'Inventory Takeoff'!C176</f>
        <v>Bolts 5/16 x 1</v>
      </c>
    </row>
    <row r="173" spans="1:7">
      <c r="A173" s="121">
        <f>'Inventory Takeoff'!B177</f>
        <v>172</v>
      </c>
      <c r="B173" s="121">
        <f>'Inventory Takeoff'!H177</f>
        <v>0.11</v>
      </c>
      <c r="C173" s="121" t="s">
        <v>109</v>
      </c>
      <c r="D173" s="121" t="s">
        <v>1054</v>
      </c>
      <c r="E173" s="271">
        <f>IF('Inventory Takeoff'!J177="","",'Inventory Takeoff'!J177)</f>
        <v>44949</v>
      </c>
      <c r="F173" s="121" t="s">
        <v>1053</v>
      </c>
      <c r="G173" s="121" t="str">
        <f>'Inventory Takeoff'!C177</f>
        <v>Bolts 5/16 x 1 1/2</v>
      </c>
    </row>
    <row r="174" spans="1:7">
      <c r="A174" s="121">
        <f>'Inventory Takeoff'!B178</f>
        <v>173</v>
      </c>
      <c r="B174" s="121">
        <f>'Inventory Takeoff'!H178</f>
        <v>0.17</v>
      </c>
      <c r="C174" s="121" t="s">
        <v>109</v>
      </c>
      <c r="D174" s="121" t="s">
        <v>1054</v>
      </c>
      <c r="E174" s="271">
        <f>IF('Inventory Takeoff'!J178="","",'Inventory Takeoff'!J178)</f>
        <v>46066</v>
      </c>
      <c r="F174" s="121" t="s">
        <v>1053</v>
      </c>
      <c r="G174" s="121" t="str">
        <f>'Inventory Takeoff'!C178</f>
        <v>Bolts 3/8 x 1</v>
      </c>
    </row>
    <row r="175" spans="1:7">
      <c r="A175" s="121">
        <f>'Inventory Takeoff'!B179</f>
        <v>174</v>
      </c>
      <c r="B175" s="121">
        <f>'Inventory Takeoff'!H179</f>
        <v>0.21000000000000002</v>
      </c>
      <c r="C175" s="121" t="s">
        <v>109</v>
      </c>
      <c r="D175" s="121" t="s">
        <v>1054</v>
      </c>
      <c r="E175" s="271">
        <f>IF('Inventory Takeoff'!J179="","",'Inventory Takeoff'!J179)</f>
        <v>44949</v>
      </c>
      <c r="F175" s="121" t="s">
        <v>1053</v>
      </c>
      <c r="G175" s="121" t="str">
        <f>'Inventory Takeoff'!C179</f>
        <v>Bolts 3/8 x 1 1/2</v>
      </c>
    </row>
    <row r="176" spans="1:7">
      <c r="A176" s="121">
        <f>'Inventory Takeoff'!B180</f>
        <v>175</v>
      </c>
      <c r="B176" s="121">
        <f>'Inventory Takeoff'!H180</f>
        <v>0.19</v>
      </c>
      <c r="C176" s="121" t="s">
        <v>109</v>
      </c>
      <c r="D176" s="121" t="s">
        <v>1054</v>
      </c>
      <c r="E176" s="271">
        <f>IF('Inventory Takeoff'!J180="","",'Inventory Takeoff'!J180)</f>
        <v>44949</v>
      </c>
      <c r="F176" s="121" t="s">
        <v>1053</v>
      </c>
      <c r="G176" s="121" t="str">
        <f>'Inventory Takeoff'!C180</f>
        <v>Bolts 3/8 x 2</v>
      </c>
    </row>
    <row r="177" spans="1:7">
      <c r="A177" s="121">
        <f>'Inventory Takeoff'!B181</f>
        <v>176</v>
      </c>
      <c r="B177" s="121">
        <f>'Inventory Takeoff'!H181</f>
        <v>0.48</v>
      </c>
      <c r="C177" s="121" t="s">
        <v>109</v>
      </c>
      <c r="D177" s="121" t="s">
        <v>1054</v>
      </c>
      <c r="E177" s="271">
        <f>IF('Inventory Takeoff'!J181="","",'Inventory Takeoff'!J181)</f>
        <v>44949</v>
      </c>
      <c r="F177" s="121" t="s">
        <v>1053</v>
      </c>
      <c r="G177" s="121" t="str">
        <f>'Inventory Takeoff'!C181</f>
        <v>Bolts 1/2 x 2</v>
      </c>
    </row>
    <row r="178" spans="1:7">
      <c r="A178" s="121">
        <f>'Inventory Takeoff'!B182</f>
        <v>177</v>
      </c>
      <c r="B178" s="121">
        <f>'Inventory Takeoff'!H182</f>
        <v>0.32</v>
      </c>
      <c r="C178" s="121" t="s">
        <v>109</v>
      </c>
      <c r="D178" s="121" t="s">
        <v>1054</v>
      </c>
      <c r="E178" s="271">
        <f>IF('Inventory Takeoff'!J182="","",'Inventory Takeoff'!J182)</f>
        <v>44949</v>
      </c>
      <c r="F178" s="121" t="s">
        <v>1053</v>
      </c>
      <c r="G178" s="121" t="str">
        <f>'Inventory Takeoff'!C182</f>
        <v>Bolts 1/2 x 1 1/2</v>
      </c>
    </row>
    <row r="179" spans="1:7">
      <c r="A179" s="121">
        <f>'Inventory Takeoff'!B183</f>
        <v>178</v>
      </c>
      <c r="B179" s="121">
        <f>'Inventory Takeoff'!H183</f>
        <v>0.57000000000000006</v>
      </c>
      <c r="C179" s="121" t="s">
        <v>109</v>
      </c>
      <c r="D179" s="121" t="s">
        <v>1054</v>
      </c>
      <c r="E179" s="271">
        <f>IF('Inventory Takeoff'!J183="","",'Inventory Takeoff'!J183)</f>
        <v>44949</v>
      </c>
      <c r="F179" s="121" t="s">
        <v>1053</v>
      </c>
      <c r="G179" s="121" t="str">
        <f>'Inventory Takeoff'!C183</f>
        <v>Bolts 1/2 x 2</v>
      </c>
    </row>
    <row r="180" spans="1:7">
      <c r="A180" s="121">
        <f>'Inventory Takeoff'!B184</f>
        <v>179</v>
      </c>
      <c r="B180" s="121">
        <f>'Inventory Takeoff'!H184</f>
        <v>0.53</v>
      </c>
      <c r="C180" s="121" t="s">
        <v>109</v>
      </c>
      <c r="D180" s="121" t="s">
        <v>1054</v>
      </c>
      <c r="E180" s="271">
        <f>IF('Inventory Takeoff'!J184="","",'Inventory Takeoff'!J184)</f>
        <v>44949</v>
      </c>
      <c r="F180" s="121" t="s">
        <v>1053</v>
      </c>
      <c r="G180" s="121" t="str">
        <f>'Inventory Takeoff'!C184</f>
        <v>Bolts 5/8 x 1</v>
      </c>
    </row>
    <row r="181" spans="1:7">
      <c r="A181" s="121">
        <f>'Inventory Takeoff'!B185</f>
        <v>180</v>
      </c>
      <c r="B181" s="121">
        <f>'Inventory Takeoff'!H185</f>
        <v>0.53</v>
      </c>
      <c r="C181" s="121" t="s">
        <v>109</v>
      </c>
      <c r="D181" s="121" t="s">
        <v>1054</v>
      </c>
      <c r="E181" s="271">
        <f>IF('Inventory Takeoff'!J185="","",'Inventory Takeoff'!J185)</f>
        <v>44949</v>
      </c>
      <c r="F181" s="121" t="s">
        <v>1053</v>
      </c>
      <c r="G181" s="121" t="str">
        <f>'Inventory Takeoff'!C185</f>
        <v>Bolts 5/8 x 1 1/2</v>
      </c>
    </row>
    <row r="182" spans="1:7">
      <c r="A182" s="121">
        <f>'Inventory Takeoff'!B186</f>
        <v>181</v>
      </c>
      <c r="B182" s="121">
        <f>'Inventory Takeoff'!H186</f>
        <v>0.68</v>
      </c>
      <c r="C182" s="121" t="s">
        <v>109</v>
      </c>
      <c r="D182" s="121" t="s">
        <v>1054</v>
      </c>
      <c r="E182" s="271">
        <f>IF('Inventory Takeoff'!J186="","",'Inventory Takeoff'!J186)</f>
        <v>44949</v>
      </c>
      <c r="F182" s="121" t="s">
        <v>1053</v>
      </c>
      <c r="G182" s="121" t="str">
        <f>'Inventory Takeoff'!C186</f>
        <v>Bolts 5/8 x 2</v>
      </c>
    </row>
    <row r="183" spans="1:7">
      <c r="A183" s="121">
        <f>'Inventory Takeoff'!B187</f>
        <v>182</v>
      </c>
      <c r="B183" s="121">
        <f>'Inventory Takeoff'!H187</f>
        <v>0.81</v>
      </c>
      <c r="C183" s="121" t="s">
        <v>109</v>
      </c>
      <c r="D183" s="121" t="s">
        <v>1054</v>
      </c>
      <c r="E183" s="271">
        <f>IF('Inventory Takeoff'!J187="","",'Inventory Takeoff'!J187)</f>
        <v>44949</v>
      </c>
      <c r="F183" s="121" t="s">
        <v>1053</v>
      </c>
      <c r="G183" s="121" t="str">
        <f>'Inventory Takeoff'!C187</f>
        <v>Bolts 3/4 x 1 1/2</v>
      </c>
    </row>
    <row r="184" spans="1:7">
      <c r="A184" s="121">
        <f>'Inventory Takeoff'!B188</f>
        <v>183</v>
      </c>
      <c r="B184" s="121">
        <f>'Inventory Takeoff'!H188</f>
        <v>1.06</v>
      </c>
      <c r="C184" s="121" t="s">
        <v>109</v>
      </c>
      <c r="D184" s="121" t="s">
        <v>1054</v>
      </c>
      <c r="E184" s="271">
        <f>IF('Inventory Takeoff'!J188="","",'Inventory Takeoff'!J188)</f>
        <v>44949</v>
      </c>
      <c r="F184" s="121" t="s">
        <v>1053</v>
      </c>
      <c r="G184" s="121" t="str">
        <f>'Inventory Takeoff'!C188</f>
        <v>Bolts 3/4 x 2</v>
      </c>
    </row>
    <row r="185" spans="1:7">
      <c r="A185" s="121">
        <f>'Inventory Takeoff'!B189</f>
        <v>184</v>
      </c>
      <c r="B185" s="121">
        <f>'Inventory Takeoff'!H189</f>
        <v>1.1200000000000001</v>
      </c>
      <c r="C185" s="121" t="s">
        <v>109</v>
      </c>
      <c r="D185" s="121" t="s">
        <v>1054</v>
      </c>
      <c r="E185" s="271">
        <f>IF('Inventory Takeoff'!J189="","",'Inventory Takeoff'!J189)</f>
        <v>44949</v>
      </c>
      <c r="F185" s="121" t="s">
        <v>1053</v>
      </c>
      <c r="G185" s="121" t="str">
        <f>'Inventory Takeoff'!C189</f>
        <v>Bolts 3/4 x 2 1/2</v>
      </c>
    </row>
    <row r="186" spans="1:7">
      <c r="A186" s="121">
        <f>'Inventory Takeoff'!B190</f>
        <v>185</v>
      </c>
      <c r="B186" s="121">
        <f>'Inventory Takeoff'!H190</f>
        <v>6.0000000000000005E-2</v>
      </c>
      <c r="C186" s="121" t="s">
        <v>109</v>
      </c>
      <c r="D186" s="121" t="s">
        <v>1054</v>
      </c>
      <c r="E186" s="271">
        <f>IF('Inventory Takeoff'!J190="","",'Inventory Takeoff'!J190)</f>
        <v>44949</v>
      </c>
      <c r="F186" s="121" t="s">
        <v>1053</v>
      </c>
      <c r="G186" s="121" t="str">
        <f>'Inventory Takeoff'!C190</f>
        <v>Bolt Lagg 1/4 x 1</v>
      </c>
    </row>
    <row r="187" spans="1:7">
      <c r="A187" s="121">
        <f>'Inventory Takeoff'!B191</f>
        <v>186</v>
      </c>
      <c r="B187" s="121">
        <f>'Inventory Takeoff'!H191</f>
        <v>0.11</v>
      </c>
      <c r="C187" s="121" t="s">
        <v>109</v>
      </c>
      <c r="D187" s="121" t="s">
        <v>1054</v>
      </c>
      <c r="E187" s="271">
        <f>IF('Inventory Takeoff'!J191="","",'Inventory Takeoff'!J191)</f>
        <v>44949</v>
      </c>
      <c r="F187" s="121" t="s">
        <v>1053</v>
      </c>
      <c r="G187" s="121" t="str">
        <f>'Inventory Takeoff'!C191</f>
        <v>Bolt Lagg 1/4 x 1</v>
      </c>
    </row>
    <row r="188" spans="1:7">
      <c r="A188" s="121">
        <f>'Inventory Takeoff'!B192</f>
        <v>187</v>
      </c>
      <c r="B188" s="121">
        <f>'Inventory Takeoff'!H192</f>
        <v>0.16</v>
      </c>
      <c r="C188" s="121" t="s">
        <v>109</v>
      </c>
      <c r="D188" s="121" t="s">
        <v>1054</v>
      </c>
      <c r="E188" s="271">
        <f>IF('Inventory Takeoff'!J192="","",'Inventory Takeoff'!J192)</f>
        <v>44949</v>
      </c>
      <c r="F188" s="121" t="s">
        <v>1053</v>
      </c>
      <c r="G188" s="121" t="str">
        <f>'Inventory Takeoff'!C192</f>
        <v>Bolt Lagg 1/4 x 2</v>
      </c>
    </row>
    <row r="189" spans="1:7">
      <c r="A189" s="121">
        <f>'Inventory Takeoff'!B193</f>
        <v>188</v>
      </c>
      <c r="B189" s="121">
        <f>'Inventory Takeoff'!H193</f>
        <v>0.15000000000000002</v>
      </c>
      <c r="C189" s="121" t="s">
        <v>109</v>
      </c>
      <c r="D189" s="121" t="s">
        <v>1054</v>
      </c>
      <c r="E189" s="271">
        <f>IF('Inventory Takeoff'!J193="","",'Inventory Takeoff'!J193)</f>
        <v>44949</v>
      </c>
      <c r="F189" s="121" t="s">
        <v>1053</v>
      </c>
      <c r="G189" s="121" t="str">
        <f>'Inventory Takeoff'!C193</f>
        <v>Bolt Lagg 1/4 x 3</v>
      </c>
    </row>
    <row r="190" spans="1:7">
      <c r="A190" s="121">
        <f>'Inventory Takeoff'!B194</f>
        <v>189</v>
      </c>
      <c r="B190" s="121">
        <f>'Inventory Takeoff'!H194</f>
        <v>0.16</v>
      </c>
      <c r="C190" s="121" t="s">
        <v>109</v>
      </c>
      <c r="D190" s="121" t="s">
        <v>1054</v>
      </c>
      <c r="E190" s="271">
        <f>IF('Inventory Takeoff'!J194="","",'Inventory Takeoff'!J194)</f>
        <v>44949</v>
      </c>
      <c r="F190" s="121" t="s">
        <v>1053</v>
      </c>
      <c r="G190" s="121" t="str">
        <f>'Inventory Takeoff'!C194</f>
        <v>Bolt Lagg 3/8 x 1</v>
      </c>
    </row>
    <row r="191" spans="1:7">
      <c r="A191" s="121">
        <f>'Inventory Takeoff'!B195</f>
        <v>190</v>
      </c>
      <c r="B191" s="121">
        <f>'Inventory Takeoff'!H195</f>
        <v>0.26</v>
      </c>
      <c r="C191" s="121" t="s">
        <v>109</v>
      </c>
      <c r="D191" s="121" t="s">
        <v>1054</v>
      </c>
      <c r="E191" s="271">
        <f>IF('Inventory Takeoff'!J195="","",'Inventory Takeoff'!J195)</f>
        <v>44949</v>
      </c>
      <c r="F191" s="121" t="s">
        <v>1053</v>
      </c>
      <c r="G191" s="121" t="str">
        <f>'Inventory Takeoff'!C195</f>
        <v>Bolt Lagg 3/8 x 1 1/2</v>
      </c>
    </row>
    <row r="192" spans="1:7">
      <c r="A192" s="121">
        <f>'Inventory Takeoff'!B196</f>
        <v>191</v>
      </c>
      <c r="B192" s="121">
        <f>'Inventory Takeoff'!H196</f>
        <v>0.3</v>
      </c>
      <c r="C192" s="121" t="s">
        <v>109</v>
      </c>
      <c r="D192" s="121" t="s">
        <v>1054</v>
      </c>
      <c r="E192" s="271">
        <f>IF('Inventory Takeoff'!J196="","",'Inventory Takeoff'!J196)</f>
        <v>44949</v>
      </c>
      <c r="F192" s="121" t="s">
        <v>1053</v>
      </c>
      <c r="G192" s="121" t="str">
        <f>'Inventory Takeoff'!C196</f>
        <v>Bolt Lagg 3/8 x 2</v>
      </c>
    </row>
    <row r="193" spans="1:7">
      <c r="A193" s="121">
        <f>'Inventory Takeoff'!B197</f>
        <v>192</v>
      </c>
      <c r="B193" s="121">
        <f>'Inventory Takeoff'!H197</f>
        <v>0.37</v>
      </c>
      <c r="C193" s="121" t="s">
        <v>109</v>
      </c>
      <c r="D193" s="121" t="s">
        <v>1054</v>
      </c>
      <c r="E193" s="271">
        <f>IF('Inventory Takeoff'!J197="","",'Inventory Takeoff'!J197)</f>
        <v>44949</v>
      </c>
      <c r="F193" s="121" t="s">
        <v>1053</v>
      </c>
      <c r="G193" s="121" t="str">
        <f>'Inventory Takeoff'!C197</f>
        <v>Bolt Lagg 3/8 x 2 1/2</v>
      </c>
    </row>
    <row r="194" spans="1:7">
      <c r="A194" s="121">
        <f>'Inventory Takeoff'!B198</f>
        <v>193</v>
      </c>
      <c r="B194" s="121">
        <f>'Inventory Takeoff'!H198</f>
        <v>0.47000000000000003</v>
      </c>
      <c r="C194" s="121" t="s">
        <v>109</v>
      </c>
      <c r="D194" s="121" t="s">
        <v>1054</v>
      </c>
      <c r="E194" s="271">
        <f>IF('Inventory Takeoff'!J198="","",'Inventory Takeoff'!J198)</f>
        <v>44949</v>
      </c>
      <c r="F194" s="121" t="s">
        <v>1053</v>
      </c>
      <c r="G194" s="121" t="str">
        <f>'Inventory Takeoff'!C198</f>
        <v>Bolt Lagg 3/8 x 3</v>
      </c>
    </row>
    <row r="195" spans="1:7">
      <c r="A195" s="121">
        <f>'Inventory Takeoff'!B199</f>
        <v>194</v>
      </c>
      <c r="B195" s="121">
        <f>'Inventory Takeoff'!H199</f>
        <v>0.32</v>
      </c>
      <c r="C195" s="121" t="s">
        <v>109</v>
      </c>
      <c r="D195" s="121" t="s">
        <v>1054</v>
      </c>
      <c r="E195" s="271">
        <f>IF('Inventory Takeoff'!J199="","",'Inventory Takeoff'!J199)</f>
        <v>44949</v>
      </c>
      <c r="F195" s="121" t="s">
        <v>1053</v>
      </c>
      <c r="G195" s="121" t="str">
        <f>'Inventory Takeoff'!C199</f>
        <v>Bolt Lagg 1/2 x 2</v>
      </c>
    </row>
    <row r="196" spans="1:7">
      <c r="A196" s="121">
        <f>'Inventory Takeoff'!B200</f>
        <v>195</v>
      </c>
      <c r="B196" s="121">
        <f>'Inventory Takeoff'!H200</f>
        <v>0.62</v>
      </c>
      <c r="C196" s="121" t="s">
        <v>109</v>
      </c>
      <c r="D196" s="121" t="s">
        <v>1054</v>
      </c>
      <c r="E196" s="271">
        <f>IF('Inventory Takeoff'!J200="","",'Inventory Takeoff'!J200)</f>
        <v>44949</v>
      </c>
      <c r="F196" s="121" t="s">
        <v>1053</v>
      </c>
      <c r="G196" s="121" t="str">
        <f>'Inventory Takeoff'!C200</f>
        <v>Bolt Lagg 1/2 x 3</v>
      </c>
    </row>
    <row r="197" spans="1:7">
      <c r="A197" s="121">
        <f>'Inventory Takeoff'!B201</f>
        <v>196</v>
      </c>
      <c r="B197" s="121">
        <f>'Inventory Takeoff'!H201</f>
        <v>0.16</v>
      </c>
      <c r="C197" s="121" t="s">
        <v>109</v>
      </c>
      <c r="D197" s="121" t="s">
        <v>1054</v>
      </c>
      <c r="E197" s="271">
        <f>IF('Inventory Takeoff'!J201="","",'Inventory Takeoff'!J201)</f>
        <v>44949</v>
      </c>
      <c r="F197" s="121" t="s">
        <v>1053</v>
      </c>
      <c r="G197" s="121" t="str">
        <f>'Inventory Takeoff'!C201</f>
        <v>Bolt Stainless Steel 1/4 x 1</v>
      </c>
    </row>
    <row r="198" spans="1:7">
      <c r="A198" s="121">
        <f>'Inventory Takeoff'!B202</f>
        <v>197</v>
      </c>
      <c r="B198" s="121">
        <f>'Inventory Takeoff'!H202</f>
        <v>0.31</v>
      </c>
      <c r="C198" s="121" t="s">
        <v>109</v>
      </c>
      <c r="D198" s="121" t="s">
        <v>1054</v>
      </c>
      <c r="E198" s="271">
        <f>IF('Inventory Takeoff'!J202="","",'Inventory Takeoff'!J202)</f>
        <v>44949</v>
      </c>
      <c r="F198" s="121" t="s">
        <v>1053</v>
      </c>
      <c r="G198" s="121" t="str">
        <f>'Inventory Takeoff'!C202</f>
        <v>Bolt Stainless Steel 1/4 x 1 1/2</v>
      </c>
    </row>
    <row r="199" spans="1:7">
      <c r="A199" s="121">
        <f>'Inventory Takeoff'!B203</f>
        <v>198</v>
      </c>
      <c r="B199" s="121">
        <f>'Inventory Takeoff'!H203</f>
        <v>0.31</v>
      </c>
      <c r="C199" s="121" t="s">
        <v>109</v>
      </c>
      <c r="D199" s="121" t="s">
        <v>1054</v>
      </c>
      <c r="E199" s="271">
        <f>IF('Inventory Takeoff'!J203="","",'Inventory Takeoff'!J203)</f>
        <v>44949</v>
      </c>
      <c r="F199" s="121" t="s">
        <v>1053</v>
      </c>
      <c r="G199" s="121" t="str">
        <f>'Inventory Takeoff'!C203</f>
        <v>Bolt Stainless Steel 1/4 x 2</v>
      </c>
    </row>
    <row r="200" spans="1:7">
      <c r="A200" s="121">
        <f>'Inventory Takeoff'!B204</f>
        <v>199</v>
      </c>
      <c r="B200" s="121">
        <f>'Inventory Takeoff'!H204</f>
        <v>0.36</v>
      </c>
      <c r="C200" s="121" t="s">
        <v>109</v>
      </c>
      <c r="D200" s="121" t="s">
        <v>1054</v>
      </c>
      <c r="E200" s="271">
        <f>IF('Inventory Takeoff'!J204="","",'Inventory Takeoff'!J204)</f>
        <v>44949</v>
      </c>
      <c r="F200" s="121" t="s">
        <v>1053</v>
      </c>
      <c r="G200" s="121" t="str">
        <f>'Inventory Takeoff'!C204</f>
        <v>Bolt Stainless Steel 3/8 x 1</v>
      </c>
    </row>
    <row r="201" spans="1:7">
      <c r="A201" s="121">
        <f>'Inventory Takeoff'!B205</f>
        <v>200</v>
      </c>
      <c r="B201" s="121">
        <f>'Inventory Takeoff'!H205</f>
        <v>0.29000000000000004</v>
      </c>
      <c r="C201" s="121" t="s">
        <v>109</v>
      </c>
      <c r="D201" s="121" t="s">
        <v>1054</v>
      </c>
      <c r="E201" s="271">
        <f>IF('Inventory Takeoff'!J205="","",'Inventory Takeoff'!J205)</f>
        <v>44949</v>
      </c>
      <c r="F201" s="121" t="s">
        <v>1053</v>
      </c>
      <c r="G201" s="121" t="str">
        <f>'Inventory Takeoff'!C205</f>
        <v>Bolt Stainless Steel 3/8 x 1 1/2</v>
      </c>
    </row>
    <row r="202" spans="1:7">
      <c r="A202" s="121">
        <f>'Inventory Takeoff'!B206</f>
        <v>201</v>
      </c>
      <c r="B202" s="121">
        <f>'Inventory Takeoff'!H206</f>
        <v>0.39</v>
      </c>
      <c r="C202" s="121" t="s">
        <v>109</v>
      </c>
      <c r="D202" s="121" t="s">
        <v>1054</v>
      </c>
      <c r="E202" s="271">
        <f>IF('Inventory Takeoff'!J206="","",'Inventory Takeoff'!J206)</f>
        <v>44949</v>
      </c>
      <c r="F202" s="121" t="s">
        <v>1053</v>
      </c>
      <c r="G202" s="121" t="str">
        <f>'Inventory Takeoff'!C206</f>
        <v>Bolt Stainless Steel 3/8 x 2</v>
      </c>
    </row>
    <row r="203" spans="1:7">
      <c r="A203" s="121">
        <f>'Inventory Takeoff'!B207</f>
        <v>202</v>
      </c>
      <c r="B203" s="121">
        <f>'Inventory Takeoff'!H207</f>
        <v>0.36</v>
      </c>
      <c r="C203" s="121" t="s">
        <v>109</v>
      </c>
      <c r="D203" s="121" t="s">
        <v>1054</v>
      </c>
      <c r="E203" s="271" t="str">
        <f>IF('Inventory Takeoff'!J207="","",'Inventory Takeoff'!J207)</f>
        <v/>
      </c>
      <c r="F203" s="121" t="s">
        <v>1053</v>
      </c>
      <c r="G203" s="121" t="str">
        <f>'Inventory Takeoff'!C207</f>
        <v>Brushes 1 1/2</v>
      </c>
    </row>
    <row r="204" spans="1:7">
      <c r="A204" s="121">
        <f>'Inventory Takeoff'!B208</f>
        <v>203</v>
      </c>
      <c r="B204" s="121">
        <f>'Inventory Takeoff'!H208</f>
        <v>7.7</v>
      </c>
      <c r="C204" s="121" t="s">
        <v>109</v>
      </c>
      <c r="D204" s="121" t="s">
        <v>1054</v>
      </c>
      <c r="E204" s="271">
        <f>IF('Inventory Takeoff'!J208="","",'Inventory Takeoff'!J208)</f>
        <v>44949</v>
      </c>
      <c r="F204" s="121" t="s">
        <v>1053</v>
      </c>
      <c r="G204" s="121" t="str">
        <f>'Inventory Takeoff'!C208</f>
        <v>Vulkem Caulking - Tube</v>
      </c>
    </row>
    <row r="205" spans="1:7">
      <c r="A205" s="121">
        <f>'Inventory Takeoff'!B209</f>
        <v>204</v>
      </c>
      <c r="B205" s="121">
        <f>'Inventory Takeoff'!H209</f>
        <v>7.34</v>
      </c>
      <c r="C205" s="121" t="s">
        <v>109</v>
      </c>
      <c r="D205" s="121" t="s">
        <v>1054</v>
      </c>
      <c r="E205" s="271">
        <f>IF('Inventory Takeoff'!J209="","",'Inventory Takeoff'!J209)</f>
        <v>44476</v>
      </c>
      <c r="F205" s="121" t="s">
        <v>1053</v>
      </c>
      <c r="G205" s="121" t="str">
        <f>'Inventory Takeoff'!C209</f>
        <v>Silicone Caulking - Tube</v>
      </c>
    </row>
    <row r="206" spans="1:7">
      <c r="A206" s="121">
        <f>'Inventory Takeoff'!B210</f>
        <v>205</v>
      </c>
      <c r="B206" s="121">
        <f>'Inventory Takeoff'!H210</f>
        <v>23.720000000000002</v>
      </c>
      <c r="C206" s="121" t="s">
        <v>109</v>
      </c>
      <c r="D206" s="121" t="s">
        <v>1054</v>
      </c>
      <c r="E206" s="271">
        <f>IF('Inventory Takeoff'!J210="","",'Inventory Takeoff'!J210)</f>
        <v>44949</v>
      </c>
      <c r="F206" s="121" t="s">
        <v>1053</v>
      </c>
      <c r="G206" s="121" t="str">
        <f>'Inventory Takeoff'!C210</f>
        <v>Fire Caulk - Tube</v>
      </c>
    </row>
    <row r="207" spans="1:7">
      <c r="A207" s="121">
        <f>'Inventory Takeoff'!B211</f>
        <v>206</v>
      </c>
      <c r="B207" s="121">
        <f>'Inventory Takeoff'!H211</f>
        <v>11.25</v>
      </c>
      <c r="C207" s="121" t="s">
        <v>109</v>
      </c>
      <c r="D207" s="121" t="s">
        <v>1054</v>
      </c>
      <c r="E207" s="271">
        <f>IF('Inventory Takeoff'!J211="","",'Inventory Takeoff'!J211)</f>
        <v>44949</v>
      </c>
      <c r="F207" s="121" t="s">
        <v>1053</v>
      </c>
      <c r="G207" s="121" t="str">
        <f>'Inventory Takeoff'!C211</f>
        <v>M1 Caulking - Tube</v>
      </c>
    </row>
    <row r="208" spans="1:7">
      <c r="A208" s="121">
        <f>'Inventory Takeoff'!B212</f>
        <v>207</v>
      </c>
      <c r="B208" s="121">
        <f>'Inventory Takeoff'!H212</f>
        <v>37.169999999999995</v>
      </c>
      <c r="C208" s="121" t="s">
        <v>109</v>
      </c>
      <c r="D208" s="121" t="s">
        <v>1054</v>
      </c>
      <c r="E208" s="271">
        <f>IF('Inventory Takeoff'!J212="","",'Inventory Takeoff'!J212)</f>
        <v>44476</v>
      </c>
      <c r="F208" s="121" t="s">
        <v>1053</v>
      </c>
      <c r="G208" s="121" t="str">
        <f>'Inventory Takeoff'!C212</f>
        <v>Gutterseal</v>
      </c>
    </row>
    <row r="209" spans="1:7">
      <c r="A209" s="121">
        <f>'Inventory Takeoff'!B213</f>
        <v>208</v>
      </c>
      <c r="B209" s="121">
        <f>'Inventory Takeoff'!H213</f>
        <v>0.49</v>
      </c>
      <c r="C209" s="121" t="s">
        <v>109</v>
      </c>
      <c r="D209" s="121" t="s">
        <v>1052</v>
      </c>
      <c r="E209" s="271" t="str">
        <f>IF('Inventory Takeoff'!J213="","",'Inventory Takeoff'!J213)</f>
        <v/>
      </c>
      <c r="F209" s="121" t="s">
        <v>1053</v>
      </c>
      <c r="G209" s="121" t="str">
        <f>'Inventory Takeoff'!C213</f>
        <v>Chain Jack #12</v>
      </c>
    </row>
    <row r="210" spans="1:7">
      <c r="A210" s="121">
        <f>'Inventory Takeoff'!B214</f>
        <v>209</v>
      </c>
      <c r="B210" s="121">
        <f>'Inventory Takeoff'!H214</f>
        <v>4.34</v>
      </c>
      <c r="C210" s="121" t="s">
        <v>109</v>
      </c>
      <c r="D210" s="121" t="s">
        <v>1054</v>
      </c>
      <c r="E210" s="271">
        <f>IF('Inventory Takeoff'!J214="","",'Inventory Takeoff'!J214)</f>
        <v>44476</v>
      </c>
      <c r="F210" s="121" t="s">
        <v>1053</v>
      </c>
      <c r="G210" s="121" t="str">
        <f>'Inventory Takeoff'!C214</f>
        <v>Concealed Regulator</v>
      </c>
    </row>
    <row r="211" spans="1:7">
      <c r="A211" s="121">
        <f>'Inventory Takeoff'!B215</f>
        <v>210</v>
      </c>
      <c r="B211" s="121">
        <f>'Inventory Takeoff'!H215</f>
        <v>1.0900000000000001</v>
      </c>
      <c r="C211" s="121" t="s">
        <v>109</v>
      </c>
      <c r="D211" s="121" t="s">
        <v>1054</v>
      </c>
      <c r="E211" s="271">
        <f>IF('Inventory Takeoff'!J215="","",'Inventory Takeoff'!J215)</f>
        <v>44476</v>
      </c>
      <c r="F211" s="121" t="s">
        <v>1053</v>
      </c>
      <c r="G211" s="121" t="str">
        <f>'Inventory Takeoff'!C215</f>
        <v>Conduit 1/2 Locks</v>
      </c>
    </row>
    <row r="212" spans="1:7">
      <c r="A212" s="121">
        <f>'Inventory Takeoff'!B216</f>
        <v>211</v>
      </c>
      <c r="B212" s="121">
        <f>'Inventory Takeoff'!H216</f>
        <v>6.0000000000000005E-2</v>
      </c>
      <c r="C212" s="121" t="s">
        <v>109</v>
      </c>
      <c r="D212" s="121" t="s">
        <v>1054</v>
      </c>
      <c r="E212" s="271" t="str">
        <f>IF('Inventory Takeoff'!J216="","",'Inventory Takeoff'!J216)</f>
        <v/>
      </c>
      <c r="F212" s="121" t="s">
        <v>1053</v>
      </c>
      <c r="G212" s="121" t="str">
        <f>'Inventory Takeoff'!C216</f>
        <v>Cobra 1" pins</v>
      </c>
    </row>
    <row r="213" spans="1:7">
      <c r="A213" s="121">
        <f>'Inventory Takeoff'!B217</f>
        <v>212</v>
      </c>
      <c r="B213" s="121">
        <f>'Inventory Takeoff'!H217</f>
        <v>0.15000000000000002</v>
      </c>
      <c r="C213" s="121" t="s">
        <v>109</v>
      </c>
      <c r="D213" s="121" t="s">
        <v>1054</v>
      </c>
      <c r="E213" s="271" t="str">
        <f>IF('Inventory Takeoff'!J217="","",'Inventory Takeoff'!J217)</f>
        <v/>
      </c>
      <c r="F213" s="121" t="s">
        <v>1053</v>
      </c>
      <c r="G213" s="121" t="str">
        <f>'Inventory Takeoff'!C217</f>
        <v>Cobra Shots</v>
      </c>
    </row>
    <row r="214" spans="1:7">
      <c r="A214" s="121">
        <f>'Inventory Takeoff'!B218</f>
        <v>213</v>
      </c>
      <c r="B214" s="121">
        <f>'Inventory Takeoff'!H218</f>
        <v>0.47000000000000003</v>
      </c>
      <c r="C214" s="121" t="s">
        <v>109</v>
      </c>
      <c r="D214" s="121" t="s">
        <v>1054</v>
      </c>
      <c r="E214" s="271">
        <f>IF('Inventory Takeoff'!J218="","",'Inventory Takeoff'!J218)</f>
        <v>44949</v>
      </c>
      <c r="F214" s="121" t="s">
        <v>1053</v>
      </c>
      <c r="G214" s="121" t="str">
        <f>'Inventory Takeoff'!C218</f>
        <v>3/8 Damper U-Bolts</v>
      </c>
    </row>
    <row r="215" spans="1:7">
      <c r="A215" s="121">
        <f>'Inventory Takeoff'!B219</f>
        <v>214</v>
      </c>
      <c r="B215" s="121">
        <f>'Inventory Takeoff'!H219</f>
        <v>0.71</v>
      </c>
      <c r="C215" s="121" t="s">
        <v>109</v>
      </c>
      <c r="D215" s="121" t="s">
        <v>1052</v>
      </c>
      <c r="E215" s="271">
        <f>IF('Inventory Takeoff'!J219="","",'Inventory Takeoff'!J219)</f>
        <v>44949</v>
      </c>
      <c r="F215" s="121" t="s">
        <v>1053</v>
      </c>
      <c r="G215" s="121" t="str">
        <f>'Inventory Takeoff'!C219</f>
        <v>1/2 Conduit</v>
      </c>
    </row>
    <row r="216" spans="1:7">
      <c r="A216" s="121">
        <f>'Inventory Takeoff'!B220</f>
        <v>215</v>
      </c>
      <c r="B216" s="121">
        <f>'Inventory Takeoff'!H220</f>
        <v>15.64</v>
      </c>
      <c r="C216" s="121" t="s">
        <v>109</v>
      </c>
      <c r="D216" s="121" t="s">
        <v>1054</v>
      </c>
      <c r="E216" s="271">
        <f>IF('Inventory Takeoff'!J220="","",'Inventory Takeoff'!J220)</f>
        <v>44949</v>
      </c>
      <c r="F216" s="121" t="s">
        <v>1053</v>
      </c>
      <c r="G216" s="121" t="str">
        <f>'Inventory Takeoff'!C220</f>
        <v>Damper Quad 3/8 (handle)</v>
      </c>
    </row>
    <row r="217" spans="1:7">
      <c r="A217" s="121">
        <f>'Inventory Takeoff'!B221</f>
        <v>216</v>
      </c>
      <c r="B217" s="121">
        <f>'Inventory Takeoff'!H221</f>
        <v>3.7899999999999996</v>
      </c>
      <c r="C217" s="121" t="s">
        <v>109</v>
      </c>
      <c r="D217" s="121" t="s">
        <v>1054</v>
      </c>
      <c r="E217" s="271">
        <f>IF('Inventory Takeoff'!J221="","",'Inventory Takeoff'!J221)</f>
        <v>44476</v>
      </c>
      <c r="F217" s="121" t="s">
        <v>1053</v>
      </c>
      <c r="G217" s="121" t="str">
        <f>'Inventory Takeoff'!C221</f>
        <v>3/8 Damper Bearing</v>
      </c>
    </row>
    <row r="218" spans="1:7">
      <c r="A218" s="121">
        <f>'Inventory Takeoff'!B222</f>
        <v>217</v>
      </c>
      <c r="B218" s="121">
        <f>'Inventory Takeoff'!H222</f>
        <v>11.93</v>
      </c>
      <c r="C218" s="121" t="s">
        <v>109</v>
      </c>
      <c r="D218" s="121" t="s">
        <v>1054</v>
      </c>
      <c r="E218" s="271">
        <f>IF('Inventory Takeoff'!J222="","",'Inventory Takeoff'!J222)</f>
        <v>44476</v>
      </c>
      <c r="F218" s="121" t="s">
        <v>1053</v>
      </c>
      <c r="G218" s="121" t="str">
        <f>'Inventory Takeoff'!C222</f>
        <v>Quad Sets</v>
      </c>
    </row>
    <row r="219" spans="1:7">
      <c r="A219" s="121">
        <f>'Inventory Takeoff'!B223</f>
        <v>218</v>
      </c>
      <c r="B219" s="121">
        <f>'Inventory Takeoff'!H223</f>
        <v>3.4499999999999997</v>
      </c>
      <c r="C219" s="121" t="s">
        <v>109</v>
      </c>
      <c r="D219" s="121" t="s">
        <v>1054</v>
      </c>
      <c r="E219" s="271" t="str">
        <f>IF('Inventory Takeoff'!J223="","",'Inventory Takeoff'!J223)</f>
        <v/>
      </c>
      <c r="F219" s="121" t="s">
        <v>1053</v>
      </c>
      <c r="G219" s="121" t="str">
        <f>'Inventory Takeoff'!C223</f>
        <v>Damper Oppose Brack</v>
      </c>
    </row>
    <row r="220" spans="1:7">
      <c r="A220" s="121">
        <f>'Inventory Takeoff'!B224</f>
        <v>219</v>
      </c>
      <c r="B220" s="121">
        <f>'Inventory Takeoff'!H224</f>
        <v>1.75</v>
      </c>
      <c r="C220" s="121" t="s">
        <v>109</v>
      </c>
      <c r="D220" s="121" t="s">
        <v>1054</v>
      </c>
      <c r="E220" s="271" t="str">
        <f>IF('Inventory Takeoff'!J224="","",'Inventory Takeoff'!J224)</f>
        <v/>
      </c>
      <c r="F220" s="121" t="s">
        <v>1053</v>
      </c>
      <c r="G220" s="121" t="str">
        <f>'Inventory Takeoff'!C224</f>
        <v>Damper Parallel Brack</v>
      </c>
    </row>
    <row r="221" spans="1:7">
      <c r="A221" s="121">
        <f>'Inventory Takeoff'!B225</f>
        <v>220</v>
      </c>
      <c r="B221" s="121">
        <f>'Inventory Takeoff'!H225</f>
        <v>0.31</v>
      </c>
      <c r="C221" s="121" t="s">
        <v>109</v>
      </c>
      <c r="D221" s="121" t="s">
        <v>1054</v>
      </c>
      <c r="E221" s="271" t="str">
        <f>IF('Inventory Takeoff'!J225="","",'Inventory Takeoff'!J225)</f>
        <v/>
      </c>
      <c r="F221" s="121" t="s">
        <v>1053</v>
      </c>
      <c r="G221" s="121" t="str">
        <f>'Inventory Takeoff'!C225</f>
        <v>Damper 1/2 Bushing</v>
      </c>
    </row>
    <row r="222" spans="1:7">
      <c r="A222" s="121">
        <f>'Inventory Takeoff'!B226</f>
        <v>221</v>
      </c>
      <c r="B222" s="121">
        <f>'Inventory Takeoff'!H226</f>
        <v>0.99</v>
      </c>
      <c r="C222" s="121" t="s">
        <v>109</v>
      </c>
      <c r="D222" s="121" t="s">
        <v>1054</v>
      </c>
      <c r="E222" s="271" t="str">
        <f>IF('Inventory Takeoff'!J226="","",'Inventory Takeoff'!J226)</f>
        <v/>
      </c>
      <c r="F222" s="121" t="s">
        <v>1053</v>
      </c>
      <c r="G222" s="121" t="str">
        <f>'Inventory Takeoff'!C226</f>
        <v>Damper 1/2 Slave Pin</v>
      </c>
    </row>
    <row r="223" spans="1:7">
      <c r="A223" s="121">
        <f>'Inventory Takeoff'!B227</f>
        <v>222</v>
      </c>
      <c r="B223" s="121">
        <f>'Inventory Takeoff'!H227</f>
        <v>5.4799999999999995</v>
      </c>
      <c r="C223" s="121" t="s">
        <v>109</v>
      </c>
      <c r="D223" s="121" t="s">
        <v>1054</v>
      </c>
      <c r="E223" s="271" t="str">
        <f>IF('Inventory Takeoff'!J227="","",'Inventory Takeoff'!J227)</f>
        <v/>
      </c>
      <c r="F223" s="121" t="s">
        <v>1053</v>
      </c>
      <c r="G223" s="121" t="str">
        <f>'Inventory Takeoff'!C227</f>
        <v>Damper Rappit Set</v>
      </c>
    </row>
    <row r="224" spans="1:7">
      <c r="A224" s="121">
        <f>'Inventory Takeoff'!B228</f>
        <v>223</v>
      </c>
      <c r="B224" s="121">
        <f>'Inventory Takeoff'!H228</f>
        <v>1.72</v>
      </c>
      <c r="C224" s="121" t="s">
        <v>109</v>
      </c>
      <c r="D224" s="121" t="s">
        <v>1054</v>
      </c>
      <c r="E224" s="271" t="str">
        <f>IF('Inventory Takeoff'!J228="","",'Inventory Takeoff'!J228)</f>
        <v/>
      </c>
      <c r="F224" s="121" t="s">
        <v>1053</v>
      </c>
      <c r="G224" s="121" t="str">
        <f>'Inventory Takeoff'!C228</f>
        <v>Damper 3/8 Coupling</v>
      </c>
    </row>
    <row r="225" spans="1:7">
      <c r="A225" s="121">
        <f>'Inventory Takeoff'!B229</f>
        <v>224</v>
      </c>
      <c r="B225" s="121">
        <f>'Inventory Takeoff'!H229</f>
        <v>4.4399999999999995</v>
      </c>
      <c r="C225" s="121" t="s">
        <v>109</v>
      </c>
      <c r="D225" s="121" t="s">
        <v>1054</v>
      </c>
      <c r="E225" s="271" t="str">
        <f>IF('Inventory Takeoff'!J229="","",'Inventory Takeoff'!J229)</f>
        <v/>
      </c>
      <c r="F225" s="121" t="s">
        <v>1053</v>
      </c>
      <c r="G225" s="121" t="str">
        <f>'Inventory Takeoff'!C229</f>
        <v>Damper 3/8 Swivel Co.</v>
      </c>
    </row>
    <row r="226" spans="1:7">
      <c r="A226" s="121">
        <f>'Inventory Takeoff'!B230</f>
        <v>225</v>
      </c>
      <c r="B226" s="121">
        <f>'Inventory Takeoff'!H230</f>
        <v>20.82</v>
      </c>
      <c r="C226" s="121" t="s">
        <v>109</v>
      </c>
      <c r="D226" s="121" t="s">
        <v>1054</v>
      </c>
      <c r="E226" s="271" t="str">
        <f>IF('Inventory Takeoff'!J230="","",'Inventory Takeoff'!J230)</f>
        <v/>
      </c>
      <c r="F226" s="121" t="s">
        <v>1053</v>
      </c>
      <c r="G226" s="121" t="str">
        <f>'Inventory Takeoff'!C230</f>
        <v>Damper 90 Angle Dr</v>
      </c>
    </row>
    <row r="227" spans="1:7">
      <c r="A227" s="121">
        <f>'Inventory Takeoff'!B231</f>
        <v>226</v>
      </c>
      <c r="B227" s="121">
        <f>'Inventory Takeoff'!H231</f>
        <v>3.32</v>
      </c>
      <c r="C227" s="121" t="s">
        <v>109</v>
      </c>
      <c r="D227" s="121" t="s">
        <v>1054</v>
      </c>
      <c r="E227" s="271" t="str">
        <f>IF('Inventory Takeoff'!J231="","",'Inventory Takeoff'!J231)</f>
        <v/>
      </c>
      <c r="F227" s="121" t="s">
        <v>1053</v>
      </c>
      <c r="G227" s="121" t="str">
        <f>'Inventory Takeoff'!C231</f>
        <v>Damper 1/2 Regulator</v>
      </c>
    </row>
    <row r="228" spans="1:7">
      <c r="A228" s="121">
        <f>'Inventory Takeoff'!B232</f>
        <v>227</v>
      </c>
      <c r="B228" s="121">
        <f>'Inventory Takeoff'!H232</f>
        <v>2.0099999999999998</v>
      </c>
      <c r="C228" s="121" t="s">
        <v>109</v>
      </c>
      <c r="D228" s="121" t="s">
        <v>1054</v>
      </c>
      <c r="E228" s="271" t="str">
        <f>IF('Inventory Takeoff'!J232="","",'Inventory Takeoff'!J232)</f>
        <v/>
      </c>
      <c r="F228" s="121" t="s">
        <v>1053</v>
      </c>
      <c r="G228" s="121" t="str">
        <f>'Inventory Takeoff'!C232</f>
        <v>4" Jiffy Damper</v>
      </c>
    </row>
    <row r="229" spans="1:7">
      <c r="A229" s="121">
        <f>'Inventory Takeoff'!B233</f>
        <v>228</v>
      </c>
      <c r="B229" s="121">
        <f>'Inventory Takeoff'!H233</f>
        <v>4.24</v>
      </c>
      <c r="C229" s="121" t="s">
        <v>109</v>
      </c>
      <c r="D229" s="121" t="s">
        <v>1054</v>
      </c>
      <c r="E229" s="271">
        <f>IF('Inventory Takeoff'!J233="","",'Inventory Takeoff'!J233)</f>
        <v>46066</v>
      </c>
      <c r="F229" s="121" t="s">
        <v>1053</v>
      </c>
      <c r="G229" s="121" t="str">
        <f>'Inventory Takeoff'!C233</f>
        <v>5" Jiffy Damper</v>
      </c>
    </row>
    <row r="230" spans="1:7">
      <c r="A230" s="121">
        <f>'Inventory Takeoff'!B234</f>
        <v>229</v>
      </c>
      <c r="B230" s="121">
        <f>'Inventory Takeoff'!H234</f>
        <v>5.99</v>
      </c>
      <c r="C230" s="121" t="s">
        <v>109</v>
      </c>
      <c r="D230" s="121" t="s">
        <v>1054</v>
      </c>
      <c r="E230" s="271">
        <f>IF('Inventory Takeoff'!J234="","",'Inventory Takeoff'!J234)</f>
        <v>46066</v>
      </c>
      <c r="F230" s="121" t="s">
        <v>1053</v>
      </c>
      <c r="G230" s="121" t="str">
        <f>'Inventory Takeoff'!C234</f>
        <v>6" Jiffy Damper</v>
      </c>
    </row>
    <row r="231" spans="1:7">
      <c r="A231" s="121">
        <f>'Inventory Takeoff'!B235</f>
        <v>230</v>
      </c>
      <c r="B231" s="121">
        <f>'Inventory Takeoff'!H235</f>
        <v>8.82</v>
      </c>
      <c r="C231" s="121" t="s">
        <v>109</v>
      </c>
      <c r="D231" s="121" t="s">
        <v>1054</v>
      </c>
      <c r="E231" s="271">
        <f>IF('Inventory Takeoff'!J235="","",'Inventory Takeoff'!J235)</f>
        <v>46066</v>
      </c>
      <c r="F231" s="121" t="s">
        <v>1053</v>
      </c>
      <c r="G231" s="121" t="str">
        <f>'Inventory Takeoff'!C235</f>
        <v>7" Jiffy Damper</v>
      </c>
    </row>
    <row r="232" spans="1:7">
      <c r="A232" s="121">
        <f>'Inventory Takeoff'!B236</f>
        <v>231</v>
      </c>
      <c r="B232" s="121">
        <f>'Inventory Takeoff'!H236</f>
        <v>12.53</v>
      </c>
      <c r="C232" s="121" t="s">
        <v>109</v>
      </c>
      <c r="D232" s="121" t="s">
        <v>1054</v>
      </c>
      <c r="E232" s="271">
        <f>IF('Inventory Takeoff'!J236="","",'Inventory Takeoff'!J236)</f>
        <v>46066</v>
      </c>
      <c r="F232" s="121" t="s">
        <v>1053</v>
      </c>
      <c r="G232" s="121" t="str">
        <f>'Inventory Takeoff'!C236</f>
        <v>8" Jiffy Damper</v>
      </c>
    </row>
    <row r="233" spans="1:7">
      <c r="A233" s="121">
        <f>'Inventory Takeoff'!B237</f>
        <v>232</v>
      </c>
      <c r="B233" s="121">
        <f>'Inventory Takeoff'!H237</f>
        <v>12.82</v>
      </c>
      <c r="C233" s="121" t="s">
        <v>109</v>
      </c>
      <c r="D233" s="121" t="s">
        <v>1054</v>
      </c>
      <c r="E233" s="271">
        <f>IF('Inventory Takeoff'!J237="","",'Inventory Takeoff'!J237)</f>
        <v>46066</v>
      </c>
      <c r="F233" s="121" t="s">
        <v>1053</v>
      </c>
      <c r="G233" s="121" t="str">
        <f>'Inventory Takeoff'!C237</f>
        <v>9" Jiffy Damper</v>
      </c>
    </row>
    <row r="234" spans="1:7">
      <c r="A234" s="121">
        <f>'Inventory Takeoff'!B238</f>
        <v>233</v>
      </c>
      <c r="B234" s="121">
        <f>'Inventory Takeoff'!H238</f>
        <v>12.82</v>
      </c>
      <c r="C234" s="121" t="s">
        <v>109</v>
      </c>
      <c r="D234" s="121" t="s">
        <v>1054</v>
      </c>
      <c r="E234" s="271">
        <f>IF('Inventory Takeoff'!J238="","",'Inventory Takeoff'!J238)</f>
        <v>46066</v>
      </c>
      <c r="F234" s="121" t="s">
        <v>1053</v>
      </c>
      <c r="G234" s="121" t="str">
        <f>'Inventory Takeoff'!C238</f>
        <v>10" Jiffy Damper</v>
      </c>
    </row>
    <row r="235" spans="1:7">
      <c r="A235" s="121">
        <f>'Inventory Takeoff'!B239</f>
        <v>234</v>
      </c>
      <c r="B235" s="121">
        <f>'Inventory Takeoff'!H239</f>
        <v>13.11</v>
      </c>
      <c r="C235" s="121" t="s">
        <v>109</v>
      </c>
      <c r="D235" s="121" t="s">
        <v>1054</v>
      </c>
      <c r="E235" s="271">
        <f>IF('Inventory Takeoff'!J239="","",'Inventory Takeoff'!J239)</f>
        <v>46066</v>
      </c>
      <c r="F235" s="121" t="s">
        <v>1053</v>
      </c>
      <c r="G235" s="121" t="str">
        <f>'Inventory Takeoff'!C239</f>
        <v>12" Jiffy Damper</v>
      </c>
    </row>
    <row r="236" spans="1:7">
      <c r="A236" s="121">
        <f>'Inventory Takeoff'!B240</f>
        <v>235</v>
      </c>
      <c r="B236" s="121">
        <f>'Inventory Takeoff'!H240</f>
        <v>1.6</v>
      </c>
      <c r="C236" s="121" t="s">
        <v>109</v>
      </c>
      <c r="D236" s="121" t="s">
        <v>1054</v>
      </c>
      <c r="E236" s="271">
        <f>IF('Inventory Takeoff'!J240="","",'Inventory Takeoff'!J240)</f>
        <v>46066</v>
      </c>
      <c r="F236" s="121" t="s">
        <v>1053</v>
      </c>
      <c r="G236" s="121" t="str">
        <f>'Inventory Takeoff'!C240</f>
        <v>Drill Bit #30</v>
      </c>
    </row>
    <row r="237" spans="1:7">
      <c r="A237" s="121">
        <f>'Inventory Takeoff'!B241</f>
        <v>236</v>
      </c>
      <c r="B237" s="121">
        <f>'Inventory Takeoff'!H241</f>
        <v>1.48</v>
      </c>
      <c r="C237" s="121" t="s">
        <v>109</v>
      </c>
      <c r="D237" s="121" t="s">
        <v>1054</v>
      </c>
      <c r="E237" s="271">
        <f>IF('Inventory Takeoff'!J241="","",'Inventory Takeoff'!J241)</f>
        <v>46066</v>
      </c>
      <c r="F237" s="121" t="s">
        <v>1053</v>
      </c>
      <c r="G237" s="121" t="str">
        <f>'Inventory Takeoff'!C241</f>
        <v>Drill Bit 1/8</v>
      </c>
    </row>
    <row r="238" spans="1:7">
      <c r="A238" s="121">
        <f>'Inventory Takeoff'!B242</f>
        <v>237</v>
      </c>
      <c r="B238" s="121">
        <f>'Inventory Takeoff'!H242</f>
        <v>1.6300000000000001</v>
      </c>
      <c r="C238" s="121" t="s">
        <v>109</v>
      </c>
      <c r="D238" s="121" t="s">
        <v>1054</v>
      </c>
      <c r="E238" s="271">
        <f>IF('Inventory Takeoff'!J242="","",'Inventory Takeoff'!J242)</f>
        <v>44949</v>
      </c>
      <c r="F238" s="121" t="s">
        <v>1053</v>
      </c>
      <c r="G238" s="121" t="str">
        <f>'Inventory Takeoff'!C242</f>
        <v>Drill Bit 5/64"</v>
      </c>
    </row>
    <row r="239" spans="1:7">
      <c r="A239" s="121">
        <f>'Inventory Takeoff'!B243</f>
        <v>238</v>
      </c>
      <c r="B239" s="121">
        <f>'Inventory Takeoff'!H243</f>
        <v>1.65</v>
      </c>
      <c r="C239" s="121" t="s">
        <v>109</v>
      </c>
      <c r="D239" s="121" t="s">
        <v>1054</v>
      </c>
      <c r="E239" s="271">
        <f>IF('Inventory Takeoff'!J243="","",'Inventory Takeoff'!J243)</f>
        <v>44949</v>
      </c>
      <c r="F239" s="121" t="s">
        <v>1053</v>
      </c>
      <c r="G239" s="121" t="str">
        <f>'Inventory Takeoff'!C243</f>
        <v>Drill Bit 3/32"</v>
      </c>
    </row>
    <row r="240" spans="1:7">
      <c r="A240" s="121">
        <f>'Inventory Takeoff'!B244</f>
        <v>239</v>
      </c>
      <c r="B240" s="121">
        <f>'Inventory Takeoff'!H244</f>
        <v>2.1799999999999997</v>
      </c>
      <c r="C240" s="121" t="s">
        <v>109</v>
      </c>
      <c r="D240" s="121" t="s">
        <v>1054</v>
      </c>
      <c r="E240" s="271">
        <f>IF('Inventory Takeoff'!J244="","",'Inventory Takeoff'!J244)</f>
        <v>46066</v>
      </c>
      <c r="F240" s="121" t="s">
        <v>1053</v>
      </c>
      <c r="G240" s="121" t="str">
        <f>'Inventory Takeoff'!C244</f>
        <v>Drill Bit 5/32"</v>
      </c>
    </row>
    <row r="241" spans="1:7">
      <c r="A241" s="121">
        <f>'Inventory Takeoff'!B245</f>
        <v>240</v>
      </c>
      <c r="B241" s="121">
        <f>'Inventory Takeoff'!H245</f>
        <v>2.4</v>
      </c>
      <c r="C241" s="121" t="s">
        <v>109</v>
      </c>
      <c r="D241" s="121" t="s">
        <v>1054</v>
      </c>
      <c r="E241" s="271">
        <f>IF('Inventory Takeoff'!J245="","",'Inventory Takeoff'!J245)</f>
        <v>46066</v>
      </c>
      <c r="F241" s="121" t="s">
        <v>1053</v>
      </c>
      <c r="G241" s="121" t="str">
        <f>'Inventory Takeoff'!C245</f>
        <v>Drill Bit 3/16"</v>
      </c>
    </row>
    <row r="242" spans="1:7">
      <c r="A242" s="121">
        <f>'Inventory Takeoff'!B246</f>
        <v>241</v>
      </c>
      <c r="B242" s="121">
        <f>'Inventory Takeoff'!H246</f>
        <v>3.0399999999999996</v>
      </c>
      <c r="C242" s="121" t="s">
        <v>109</v>
      </c>
      <c r="D242" s="121" t="s">
        <v>1054</v>
      </c>
      <c r="E242" s="271">
        <f>IF('Inventory Takeoff'!J246="","",'Inventory Takeoff'!J246)</f>
        <v>44949</v>
      </c>
      <c r="F242" s="121" t="s">
        <v>1053</v>
      </c>
      <c r="G242" s="121" t="str">
        <f>'Inventory Takeoff'!C246</f>
        <v>Drill Bit 7/32"</v>
      </c>
    </row>
    <row r="243" spans="1:7">
      <c r="A243" s="121">
        <f>'Inventory Takeoff'!B247</f>
        <v>242</v>
      </c>
      <c r="B243" s="121">
        <f>'Inventory Takeoff'!H247</f>
        <v>3.23</v>
      </c>
      <c r="C243" s="121" t="s">
        <v>109</v>
      </c>
      <c r="D243" s="121" t="s">
        <v>1054</v>
      </c>
      <c r="E243" s="271">
        <f>IF('Inventory Takeoff'!J247="","",'Inventory Takeoff'!J247)</f>
        <v>46066</v>
      </c>
      <c r="F243" s="121" t="s">
        <v>1053</v>
      </c>
      <c r="G243" s="121" t="str">
        <f>'Inventory Takeoff'!C247</f>
        <v>Drill Bit 1/4"</v>
      </c>
    </row>
    <row r="244" spans="1:7">
      <c r="A244" s="121">
        <f>'Inventory Takeoff'!B248</f>
        <v>243</v>
      </c>
      <c r="B244" s="121">
        <f>'Inventory Takeoff'!H248</f>
        <v>4.75</v>
      </c>
      <c r="C244" s="121" t="s">
        <v>109</v>
      </c>
      <c r="D244" s="121" t="s">
        <v>1054</v>
      </c>
      <c r="E244" s="271">
        <f>IF('Inventory Takeoff'!J248="","",'Inventory Takeoff'!J248)</f>
        <v>44949</v>
      </c>
      <c r="F244" s="121" t="s">
        <v>1053</v>
      </c>
      <c r="G244" s="121" t="str">
        <f>'Inventory Takeoff'!C248</f>
        <v>Drill Bit 9/32"</v>
      </c>
    </row>
    <row r="245" spans="1:7">
      <c r="A245" s="121">
        <f>'Inventory Takeoff'!B249</f>
        <v>244</v>
      </c>
      <c r="B245" s="121">
        <f>'Inventory Takeoff'!H249</f>
        <v>4.51</v>
      </c>
      <c r="C245" s="121" t="s">
        <v>109</v>
      </c>
      <c r="D245" s="121" t="s">
        <v>1054</v>
      </c>
      <c r="E245" s="271">
        <f>IF('Inventory Takeoff'!J249="","",'Inventory Takeoff'!J249)</f>
        <v>46066</v>
      </c>
      <c r="F245" s="121" t="s">
        <v>1053</v>
      </c>
      <c r="G245" s="121" t="str">
        <f>'Inventory Takeoff'!C249</f>
        <v>Drill Bit 5/16"</v>
      </c>
    </row>
    <row r="246" spans="1:7">
      <c r="A246" s="121">
        <f>'Inventory Takeoff'!B250</f>
        <v>245</v>
      </c>
      <c r="B246" s="121">
        <f>'Inventory Takeoff'!H250</f>
        <v>4.92</v>
      </c>
      <c r="C246" s="121" t="s">
        <v>109</v>
      </c>
      <c r="D246" s="121" t="s">
        <v>1054</v>
      </c>
      <c r="E246" s="271">
        <f>IF('Inventory Takeoff'!J250="","",'Inventory Takeoff'!J250)</f>
        <v>44949</v>
      </c>
      <c r="F246" s="121" t="s">
        <v>1053</v>
      </c>
      <c r="G246" s="121" t="str">
        <f>'Inventory Takeoff'!C250</f>
        <v>Drill Bit 11/32"</v>
      </c>
    </row>
    <row r="247" spans="1:7">
      <c r="A247" s="121">
        <f>'Inventory Takeoff'!B251</f>
        <v>246</v>
      </c>
      <c r="B247" s="121">
        <f>'Inventory Takeoff'!H251</f>
        <v>5.12</v>
      </c>
      <c r="C247" s="121" t="s">
        <v>109</v>
      </c>
      <c r="D247" s="121" t="s">
        <v>1054</v>
      </c>
      <c r="E247" s="271">
        <f>IF('Inventory Takeoff'!J251="","",'Inventory Takeoff'!J251)</f>
        <v>44949</v>
      </c>
      <c r="F247" s="121" t="s">
        <v>1053</v>
      </c>
      <c r="G247" s="121" t="str">
        <f>'Inventory Takeoff'!C251</f>
        <v>Drill Bit 3/8"</v>
      </c>
    </row>
    <row r="248" spans="1:7">
      <c r="A248" s="121">
        <f>'Inventory Takeoff'!B252</f>
        <v>247</v>
      </c>
      <c r="B248" s="121">
        <f>'Inventory Takeoff'!H252</f>
        <v>12.97</v>
      </c>
      <c r="C248" s="121" t="s">
        <v>109</v>
      </c>
      <c r="D248" s="121" t="s">
        <v>1054</v>
      </c>
      <c r="E248" s="271" t="str">
        <f>IF('Inventory Takeoff'!J252="","",'Inventory Takeoff'!J252)</f>
        <v/>
      </c>
      <c r="F248" s="121" t="s">
        <v>1053</v>
      </c>
      <c r="G248" s="121" t="str">
        <f>'Inventory Takeoff'!C252</f>
        <v>Drill Bit 7/16 - 3/8 Shank</v>
      </c>
    </row>
    <row r="249" spans="1:7">
      <c r="A249" s="121">
        <f>'Inventory Takeoff'!B253</f>
        <v>248</v>
      </c>
      <c r="B249" s="121">
        <f>'Inventory Takeoff'!H253</f>
        <v>16.8</v>
      </c>
      <c r="C249" s="121" t="s">
        <v>109</v>
      </c>
      <c r="D249" s="121" t="s">
        <v>1054</v>
      </c>
      <c r="E249" s="271" t="str">
        <f>IF('Inventory Takeoff'!J253="","",'Inventory Takeoff'!J253)</f>
        <v/>
      </c>
      <c r="F249" s="121" t="s">
        <v>1053</v>
      </c>
      <c r="G249" s="121" t="str">
        <f>'Inventory Takeoff'!C253</f>
        <v>Drill Bit 1/2 - 3/8 Shank</v>
      </c>
    </row>
    <row r="250" spans="1:7">
      <c r="A250" s="121">
        <f>'Inventory Takeoff'!B254</f>
        <v>249</v>
      </c>
      <c r="B250" s="121">
        <f>'Inventory Takeoff'!H254</f>
        <v>20.239999999999998</v>
      </c>
      <c r="C250" s="121" t="s">
        <v>109</v>
      </c>
      <c r="D250" s="121" t="s">
        <v>1054</v>
      </c>
      <c r="E250" s="271" t="str">
        <f>IF('Inventory Takeoff'!J254="","",'Inventory Takeoff'!J254)</f>
        <v/>
      </c>
      <c r="F250" s="121" t="s">
        <v>1053</v>
      </c>
      <c r="G250" s="121" t="str">
        <f>'Inventory Takeoff'!C254</f>
        <v>Vari Bits</v>
      </c>
    </row>
    <row r="251" spans="1:7">
      <c r="A251" s="121">
        <f>'Inventory Takeoff'!B255</f>
        <v>250</v>
      </c>
      <c r="B251" s="121">
        <f>'Inventory Takeoff'!H255</f>
        <v>5.0999999999999996</v>
      </c>
      <c r="C251" s="121" t="s">
        <v>109</v>
      </c>
      <c r="D251" s="121" t="s">
        <v>1054</v>
      </c>
      <c r="E251" s="271">
        <f>IF('Inventory Takeoff'!J255="","",'Inventory Takeoff'!J255)</f>
        <v>46066</v>
      </c>
      <c r="F251" s="121" t="s">
        <v>1053</v>
      </c>
      <c r="G251" s="121" t="str">
        <f>'Inventory Takeoff'!C255</f>
        <v>1/4" Roto Bit</v>
      </c>
    </row>
    <row r="252" spans="1:7">
      <c r="A252" s="121">
        <f>'Inventory Takeoff'!B256</f>
        <v>251</v>
      </c>
      <c r="B252" s="121">
        <f>'Inventory Takeoff'!H256</f>
        <v>7.83</v>
      </c>
      <c r="C252" s="121" t="s">
        <v>109</v>
      </c>
      <c r="D252" s="121" t="s">
        <v>1054</v>
      </c>
      <c r="E252" s="271">
        <f>IF('Inventory Takeoff'!J256="","",'Inventory Takeoff'!J256)</f>
        <v>46066</v>
      </c>
      <c r="F252" s="121" t="s">
        <v>1053</v>
      </c>
      <c r="G252" s="121" t="str">
        <f>'Inventory Takeoff'!C256</f>
        <v>3/8" Roto Bit</v>
      </c>
    </row>
    <row r="253" spans="1:7">
      <c r="A253" s="121">
        <f>'Inventory Takeoff'!B257</f>
        <v>252</v>
      </c>
      <c r="B253" s="121">
        <f>'Inventory Takeoff'!H257</f>
        <v>9.5299999999999994</v>
      </c>
      <c r="C253" s="121" t="s">
        <v>109</v>
      </c>
      <c r="D253" s="121" t="s">
        <v>1054</v>
      </c>
      <c r="E253" s="271">
        <f>IF('Inventory Takeoff'!J257="","",'Inventory Takeoff'!J257)</f>
        <v>46066</v>
      </c>
      <c r="F253" s="121" t="s">
        <v>1053</v>
      </c>
      <c r="G253" s="121" t="str">
        <f>'Inventory Takeoff'!C257</f>
        <v>1/2" Roto Bit</v>
      </c>
    </row>
    <row r="254" spans="1:7">
      <c r="A254" s="121">
        <f>'Inventory Takeoff'!B258</f>
        <v>253</v>
      </c>
      <c r="B254" s="121">
        <f>'Inventory Takeoff'!H258</f>
        <v>6.02</v>
      </c>
      <c r="C254" s="121" t="s">
        <v>109</v>
      </c>
      <c r="D254" s="121" t="s">
        <v>1054</v>
      </c>
      <c r="E254" s="271" t="str">
        <f>IF('Inventory Takeoff'!J258="","",'Inventory Takeoff'!J258)</f>
        <v/>
      </c>
      <c r="F254" s="121" t="s">
        <v>1053</v>
      </c>
      <c r="G254" s="121" t="str">
        <f>'Inventory Takeoff'!C258</f>
        <v>D-B Roto 1/4 x 4 A-Tap</v>
      </c>
    </row>
    <row r="255" spans="1:7">
      <c r="A255" s="121">
        <f>'Inventory Takeoff'!B259</f>
        <v>254</v>
      </c>
      <c r="B255" s="121">
        <f>'Inventory Takeoff'!H259</f>
        <v>6.02</v>
      </c>
      <c r="C255" s="121" t="s">
        <v>109</v>
      </c>
      <c r="D255" s="121" t="s">
        <v>1054</v>
      </c>
      <c r="E255" s="271" t="str">
        <f>IF('Inventory Takeoff'!J259="","",'Inventory Takeoff'!J259)</f>
        <v/>
      </c>
      <c r="F255" s="121" t="s">
        <v>1053</v>
      </c>
      <c r="G255" s="121" t="str">
        <f>'Inventory Takeoff'!C259</f>
        <v>D-B Roto 1/4 x 6 A-Tap</v>
      </c>
    </row>
    <row r="256" spans="1:7">
      <c r="A256" s="121">
        <f>'Inventory Takeoff'!B260</f>
        <v>255</v>
      </c>
      <c r="B256" s="121">
        <f>'Inventory Takeoff'!H260</f>
        <v>7.59</v>
      </c>
      <c r="C256" s="121" t="s">
        <v>109</v>
      </c>
      <c r="D256" s="121" t="s">
        <v>1054</v>
      </c>
      <c r="E256" s="271" t="str">
        <f>IF('Inventory Takeoff'!J260="","",'Inventory Takeoff'!J260)</f>
        <v/>
      </c>
      <c r="F256" s="121" t="s">
        <v>1053</v>
      </c>
      <c r="G256" s="121" t="str">
        <f>'Inventory Takeoff'!C260</f>
        <v>D-B Roto 3/8 x 6 A-Tap</v>
      </c>
    </row>
    <row r="257" spans="1:7">
      <c r="A257" s="121">
        <f>'Inventory Takeoff'!B261</f>
        <v>256</v>
      </c>
      <c r="B257" s="121">
        <f>'Inventory Takeoff'!H261</f>
        <v>10.119999999999999</v>
      </c>
      <c r="C257" s="121" t="s">
        <v>109</v>
      </c>
      <c r="D257" s="121" t="s">
        <v>1054</v>
      </c>
      <c r="E257" s="271" t="str">
        <f>IF('Inventory Takeoff'!J261="","",'Inventory Takeoff'!J261)</f>
        <v/>
      </c>
      <c r="F257" s="121" t="s">
        <v>1053</v>
      </c>
      <c r="G257" s="121" t="str">
        <f>'Inventory Takeoff'!C261</f>
        <v>D-B Roto 1/2 x 6 A-Tap</v>
      </c>
    </row>
    <row r="258" spans="1:7">
      <c r="A258" s="121">
        <f>'Inventory Takeoff'!B262</f>
        <v>257</v>
      </c>
      <c r="B258" s="121">
        <f>'Inventory Takeoff'!H262</f>
        <v>34.29</v>
      </c>
      <c r="C258" s="121" t="s">
        <v>109</v>
      </c>
      <c r="D258" s="121" t="s">
        <v>1054</v>
      </c>
      <c r="E258" s="271" t="str">
        <f>IF('Inventory Takeoff'!J262="","",'Inventory Takeoff'!J262)</f>
        <v/>
      </c>
      <c r="F258" s="121" t="s">
        <v>1053</v>
      </c>
      <c r="G258" s="121" t="str">
        <f>'Inventory Takeoff'!C262</f>
        <v>D-B Roto 5/8 x 6 A-Tap</v>
      </c>
    </row>
    <row r="259" spans="1:7">
      <c r="A259" s="121">
        <f>'Inventory Takeoff'!B263</f>
        <v>258</v>
      </c>
      <c r="B259" s="121">
        <f>'Inventory Takeoff'!H263</f>
        <v>46.169999999999995</v>
      </c>
      <c r="C259" s="121" t="s">
        <v>109</v>
      </c>
      <c r="D259" s="121" t="s">
        <v>1054</v>
      </c>
      <c r="E259" s="271" t="str">
        <f>IF('Inventory Takeoff'!J263="","",'Inventory Takeoff'!J263)</f>
        <v/>
      </c>
      <c r="F259" s="121" t="s">
        <v>1053</v>
      </c>
      <c r="G259" s="121" t="str">
        <f>'Inventory Takeoff'!C263</f>
        <v>D-B Roto 3/4 x 9 A-Tap</v>
      </c>
    </row>
    <row r="260" spans="1:7">
      <c r="A260" s="121">
        <f>'Inventory Takeoff'!B264</f>
        <v>259</v>
      </c>
      <c r="B260" s="121">
        <f>'Inventory Takeoff'!H264</f>
        <v>1.52</v>
      </c>
      <c r="C260" s="121" t="s">
        <v>109</v>
      </c>
      <c r="D260" s="121" t="s">
        <v>1052</v>
      </c>
      <c r="E260" s="271">
        <f>IF('Inventory Takeoff'!J264="","",'Inventory Takeoff'!J264)</f>
        <v>46066</v>
      </c>
      <c r="F260" s="121" t="s">
        <v>1053</v>
      </c>
      <c r="G260" s="121" t="str">
        <f>'Inventory Takeoff'!C264</f>
        <v>Drives - Flat</v>
      </c>
    </row>
    <row r="261" spans="1:7">
      <c r="A261" s="121">
        <f>'Inventory Takeoff'!B265</f>
        <v>260</v>
      </c>
      <c r="B261" s="121">
        <f>'Inventory Takeoff'!H265</f>
        <v>1.27</v>
      </c>
      <c r="C261" s="121" t="s">
        <v>109</v>
      </c>
      <c r="D261" s="121" t="s">
        <v>1052</v>
      </c>
      <c r="E261" s="271" t="str">
        <f>IF('Inventory Takeoff'!J265="","",'Inventory Takeoff'!J265)</f>
        <v/>
      </c>
      <c r="F261" s="121" t="s">
        <v>1053</v>
      </c>
      <c r="G261" s="121" t="str">
        <f>'Inventory Takeoff'!C265</f>
        <v>Drives - Standing</v>
      </c>
    </row>
    <row r="262" spans="1:7">
      <c r="A262" s="121">
        <f>'Inventory Takeoff'!B266</f>
        <v>261</v>
      </c>
      <c r="B262" s="121">
        <f>'Inventory Takeoff'!H266</f>
        <v>0</v>
      </c>
      <c r="C262" s="121" t="s">
        <v>109</v>
      </c>
      <c r="D262" s="121" t="s">
        <v>1054</v>
      </c>
      <c r="E262" s="271" t="str">
        <f>IF('Inventory Takeoff'!J266="","",'Inventory Takeoff'!J266)</f>
        <v/>
      </c>
      <c r="F262" s="121" t="s">
        <v>1053</v>
      </c>
      <c r="G262" s="121" t="str">
        <f>'Inventory Takeoff'!C266</f>
        <v>Not Used</v>
      </c>
    </row>
    <row r="263" spans="1:7">
      <c r="A263" s="121">
        <f>'Inventory Takeoff'!B267</f>
        <v>262</v>
      </c>
      <c r="B263" s="121">
        <f>'Inventory Takeoff'!H267</f>
        <v>0.54</v>
      </c>
      <c r="C263" s="121" t="s">
        <v>109</v>
      </c>
      <c r="D263" s="121" t="s">
        <v>1052</v>
      </c>
      <c r="E263" s="271" t="str">
        <f>IF('Inventory Takeoff'!J267="","",'Inventory Takeoff'!J267)</f>
        <v/>
      </c>
      <c r="F263" s="121" t="s">
        <v>1053</v>
      </c>
      <c r="G263" s="121" t="str">
        <f>'Inventory Takeoff'!C267</f>
        <v>Ductboard Channel</v>
      </c>
    </row>
    <row r="264" spans="1:7">
      <c r="A264" s="121">
        <f>'Inventory Takeoff'!B268</f>
        <v>263</v>
      </c>
      <c r="B264" s="121">
        <f>'Inventory Takeoff'!H268</f>
        <v>0.14000000000000001</v>
      </c>
      <c r="C264" s="121" t="s">
        <v>109</v>
      </c>
      <c r="D264" s="121" t="s">
        <v>1052</v>
      </c>
      <c r="E264" s="271" t="str">
        <f>IF('Inventory Takeoff'!J268="","",'Inventory Takeoff'!J268)</f>
        <v/>
      </c>
      <c r="F264" s="121" t="s">
        <v>1053</v>
      </c>
      <c r="G264" s="121" t="str">
        <f>'Inventory Takeoff'!C268</f>
        <v>Ductboard Hanger 1 1/2</v>
      </c>
    </row>
    <row r="265" spans="1:7">
      <c r="A265" s="121">
        <f>'Inventory Takeoff'!B269</f>
        <v>264</v>
      </c>
      <c r="B265" s="121">
        <f>'Inventory Takeoff'!H269</f>
        <v>95.52000000000001</v>
      </c>
      <c r="C265" s="121" t="s">
        <v>109</v>
      </c>
      <c r="D265" s="121" t="s">
        <v>1054</v>
      </c>
      <c r="E265" s="271" t="str">
        <f>IF('Inventory Takeoff'!J269="","",'Inventory Takeoff'!J269)</f>
        <v/>
      </c>
      <c r="F265" s="121" t="s">
        <v>1053</v>
      </c>
      <c r="G265" s="121" t="str">
        <f>'Inventory Takeoff'!C269</f>
        <v>Ductboard Hanger Roll</v>
      </c>
    </row>
    <row r="266" spans="1:7">
      <c r="A266" s="121">
        <f>'Inventory Takeoff'!B270</f>
        <v>265</v>
      </c>
      <c r="B266" s="121">
        <f>'Inventory Takeoff'!H270</f>
        <v>3.01</v>
      </c>
      <c r="C266" s="121" t="s">
        <v>109</v>
      </c>
      <c r="D266" s="121" t="s">
        <v>1052</v>
      </c>
      <c r="E266" s="271">
        <f>IF('Inventory Takeoff'!J270="","",'Inventory Takeoff'!J270)</f>
        <v>46066</v>
      </c>
      <c r="F266" s="121" t="s">
        <v>1053</v>
      </c>
      <c r="G266" s="121" t="str">
        <f>'Inventory Takeoff'!C270</f>
        <v>DuctMate</v>
      </c>
    </row>
    <row r="267" spans="1:7">
      <c r="A267" s="121">
        <f>'Inventory Takeoff'!B271</f>
        <v>266</v>
      </c>
      <c r="B267" s="121">
        <f>'Inventory Takeoff'!H271</f>
        <v>2.5</v>
      </c>
      <c r="C267" s="121" t="s">
        <v>109</v>
      </c>
      <c r="D267" s="121" t="s">
        <v>1054</v>
      </c>
      <c r="E267" s="271">
        <f>IF('Inventory Takeoff'!J271="","",'Inventory Takeoff'!J271)</f>
        <v>46066</v>
      </c>
      <c r="F267" s="121" t="s">
        <v>1053</v>
      </c>
      <c r="G267" s="121" t="str">
        <f>'Inventory Takeoff'!C271</f>
        <v>DuctMate Corners</v>
      </c>
    </row>
    <row r="268" spans="1:7">
      <c r="A268" s="121">
        <f>'Inventory Takeoff'!B272</f>
        <v>267</v>
      </c>
      <c r="B268" s="121">
        <f>'Inventory Takeoff'!H272</f>
        <v>0.24000000000000002</v>
      </c>
      <c r="C268" s="121" t="s">
        <v>109</v>
      </c>
      <c r="D268" s="121" t="s">
        <v>1054</v>
      </c>
      <c r="E268" s="271" t="str">
        <f>IF('Inventory Takeoff'!J272="","",'Inventory Takeoff'!J272)</f>
        <v/>
      </c>
      <c r="F268" s="121" t="s">
        <v>1053</v>
      </c>
      <c r="G268" s="121" t="str">
        <f>'Inventory Takeoff'!C272</f>
        <v>DuctMate Metal - PVC</v>
      </c>
    </row>
    <row r="269" spans="1:7">
      <c r="A269" s="121">
        <f>'Inventory Takeoff'!B273</f>
        <v>268</v>
      </c>
      <c r="B269" s="121">
        <f>'Inventory Takeoff'!H273</f>
        <v>0.26</v>
      </c>
      <c r="C269" s="121" t="s">
        <v>109</v>
      </c>
      <c r="D269" s="121" t="s">
        <v>1052</v>
      </c>
      <c r="E269" s="271" t="str">
        <f>IF('Inventory Takeoff'!J273="","",'Inventory Takeoff'!J273)</f>
        <v/>
      </c>
      <c r="F269" s="121" t="s">
        <v>1053</v>
      </c>
      <c r="G269" s="121" t="str">
        <f>'Inventory Takeoff'!C273</f>
        <v>DuctMate Puddy Gask</v>
      </c>
    </row>
    <row r="270" spans="1:7">
      <c r="A270" s="121">
        <f>'Inventory Takeoff'!B274</f>
        <v>269</v>
      </c>
      <c r="B270" s="121">
        <f>'Inventory Takeoff'!H274</f>
        <v>0</v>
      </c>
      <c r="C270" s="121" t="s">
        <v>109</v>
      </c>
      <c r="D270" s="121" t="s">
        <v>1054</v>
      </c>
      <c r="E270" s="271" t="str">
        <f>IF('Inventory Takeoff'!J274="","",'Inventory Takeoff'!J274)</f>
        <v/>
      </c>
      <c r="F270" s="121" t="s">
        <v>1053</v>
      </c>
      <c r="G270" s="121" t="str">
        <f>'Inventory Takeoff'!C274</f>
        <v>Not Used</v>
      </c>
    </row>
    <row r="271" spans="1:7">
      <c r="A271" s="121">
        <f>'Inventory Takeoff'!B275</f>
        <v>270</v>
      </c>
      <c r="B271" s="121">
        <f>'Inventory Takeoff'!H275</f>
        <v>0</v>
      </c>
      <c r="C271" s="121" t="s">
        <v>109</v>
      </c>
      <c r="D271" s="121" t="s">
        <v>1054</v>
      </c>
      <c r="E271" s="271" t="str">
        <f>IF('Inventory Takeoff'!J275="","",'Inventory Takeoff'!J275)</f>
        <v/>
      </c>
      <c r="F271" s="121" t="s">
        <v>1053</v>
      </c>
      <c r="G271" s="121" t="str">
        <f>'Inventory Takeoff'!C275</f>
        <v>Not Used</v>
      </c>
    </row>
    <row r="272" spans="1:7">
      <c r="A272" s="121">
        <f>'Inventory Takeoff'!B276</f>
        <v>271</v>
      </c>
      <c r="B272" s="121">
        <f>'Inventory Takeoff'!H276</f>
        <v>3.19</v>
      </c>
      <c r="C272" s="121" t="s">
        <v>109</v>
      </c>
      <c r="D272" s="121" t="s">
        <v>1054</v>
      </c>
      <c r="E272" s="271" t="str">
        <f>IF('Inventory Takeoff'!J276="","",'Inventory Takeoff'!J276)</f>
        <v/>
      </c>
      <c r="F272" s="121" t="s">
        <v>1053</v>
      </c>
      <c r="G272" s="121" t="str">
        <f>'Inventory Takeoff'!C276</f>
        <v>Drop Cloths</v>
      </c>
    </row>
    <row r="273" spans="1:7">
      <c r="A273" s="121">
        <f>'Inventory Takeoff'!B277</f>
        <v>272</v>
      </c>
      <c r="B273" s="121">
        <f>'Inventory Takeoff'!H277</f>
        <v>0</v>
      </c>
      <c r="C273" s="121" t="s">
        <v>109</v>
      </c>
      <c r="D273" s="121" t="s">
        <v>1054</v>
      </c>
      <c r="E273" s="271" t="str">
        <f>IF('Inventory Takeoff'!J277="","",'Inventory Takeoff'!J277)</f>
        <v/>
      </c>
      <c r="F273" s="121" t="s">
        <v>1053</v>
      </c>
      <c r="G273" s="121" t="str">
        <f>'Inventory Takeoff'!C277</f>
        <v>Not Used</v>
      </c>
    </row>
    <row r="274" spans="1:7">
      <c r="A274" s="121">
        <f>'Inventory Takeoff'!B278</f>
        <v>273</v>
      </c>
      <c r="B274" s="121">
        <f>'Inventory Takeoff'!H278</f>
        <v>0</v>
      </c>
      <c r="C274" s="121" t="s">
        <v>109</v>
      </c>
      <c r="D274" s="121" t="s">
        <v>1054</v>
      </c>
      <c r="E274" s="271" t="str">
        <f>IF('Inventory Takeoff'!J278="","",'Inventory Takeoff'!J278)</f>
        <v/>
      </c>
      <c r="F274" s="121" t="s">
        <v>1053</v>
      </c>
      <c r="G274" s="121" t="str">
        <f>'Inventory Takeoff'!C278</f>
        <v>Not Used</v>
      </c>
    </row>
    <row r="275" spans="1:7">
      <c r="A275" s="121">
        <f>'Inventory Takeoff'!B279</f>
        <v>274</v>
      </c>
      <c r="B275" s="121">
        <f>'Inventory Takeoff'!H279</f>
        <v>28.82</v>
      </c>
      <c r="C275" s="121" t="s">
        <v>109</v>
      </c>
      <c r="D275" s="121" t="s">
        <v>1054</v>
      </c>
      <c r="E275" s="271" t="str">
        <f>IF('Inventory Takeoff'!J279="","",'Inventory Takeoff'!J279)</f>
        <v/>
      </c>
      <c r="F275" s="121" t="s">
        <v>1053</v>
      </c>
      <c r="G275" s="121" t="str">
        <f>'Inventory Takeoff'!C279</f>
        <v>2 x 4 Egg Crate</v>
      </c>
    </row>
    <row r="276" spans="1:7">
      <c r="A276" s="121">
        <f>'Inventory Takeoff'!B280</f>
        <v>275</v>
      </c>
      <c r="B276" s="121">
        <f>'Inventory Takeoff'!H280</f>
        <v>4.4399999999999995</v>
      </c>
      <c r="C276" s="121" t="s">
        <v>109</v>
      </c>
      <c r="D276" s="121" t="s">
        <v>1054</v>
      </c>
      <c r="E276" s="271" t="str">
        <f>IF('Inventory Takeoff'!J280="","",'Inventory Takeoff'!J280)</f>
        <v/>
      </c>
      <c r="F276" s="121" t="s">
        <v>1053</v>
      </c>
      <c r="G276" s="121" t="str">
        <f>'Inventory Takeoff'!C280</f>
        <v>3" 90 degree Elbow</v>
      </c>
    </row>
    <row r="277" spans="1:7">
      <c r="A277" s="121">
        <f>'Inventory Takeoff'!B281</f>
        <v>276</v>
      </c>
      <c r="B277" s="121">
        <f>'Inventory Takeoff'!H281</f>
        <v>5.6499999999999995</v>
      </c>
      <c r="C277" s="121" t="s">
        <v>109</v>
      </c>
      <c r="D277" s="121" t="s">
        <v>1054</v>
      </c>
      <c r="E277" s="271">
        <f>IF('Inventory Takeoff'!J281="","",'Inventory Takeoff'!J281)</f>
        <v>46066</v>
      </c>
      <c r="F277" s="121" t="s">
        <v>1053</v>
      </c>
      <c r="G277" s="121" t="str">
        <f>'Inventory Takeoff'!C281</f>
        <v>4" 90 degree Elbow</v>
      </c>
    </row>
    <row r="278" spans="1:7">
      <c r="A278" s="121">
        <f>'Inventory Takeoff'!B282</f>
        <v>277</v>
      </c>
      <c r="B278" s="121">
        <f>'Inventory Takeoff'!H282</f>
        <v>6.64</v>
      </c>
      <c r="C278" s="121" t="s">
        <v>109</v>
      </c>
      <c r="D278" s="121" t="s">
        <v>1054</v>
      </c>
      <c r="E278" s="271">
        <f>IF('Inventory Takeoff'!J282="","",'Inventory Takeoff'!J282)</f>
        <v>46066</v>
      </c>
      <c r="F278" s="121" t="s">
        <v>1053</v>
      </c>
      <c r="G278" s="121" t="str">
        <f>'Inventory Takeoff'!C282</f>
        <v>5" 90 degree Elbow</v>
      </c>
    </row>
    <row r="279" spans="1:7">
      <c r="A279" s="121">
        <f>'Inventory Takeoff'!B283</f>
        <v>278</v>
      </c>
      <c r="B279" s="121">
        <f>'Inventory Takeoff'!H283</f>
        <v>7.5299999999999994</v>
      </c>
      <c r="C279" s="121" t="s">
        <v>109</v>
      </c>
      <c r="D279" s="121" t="s">
        <v>1054</v>
      </c>
      <c r="E279" s="271">
        <f>IF('Inventory Takeoff'!J283="","",'Inventory Takeoff'!J283)</f>
        <v>46066</v>
      </c>
      <c r="F279" s="121" t="s">
        <v>1053</v>
      </c>
      <c r="G279" s="121" t="str">
        <f>'Inventory Takeoff'!C283</f>
        <v>6" 90 degree Elbow</v>
      </c>
    </row>
    <row r="280" spans="1:7">
      <c r="A280" s="121">
        <f>'Inventory Takeoff'!B284</f>
        <v>279</v>
      </c>
      <c r="B280" s="121">
        <f>'Inventory Takeoff'!H284</f>
        <v>9.67</v>
      </c>
      <c r="C280" s="121" t="s">
        <v>109</v>
      </c>
      <c r="D280" s="121" t="s">
        <v>1054</v>
      </c>
      <c r="E280" s="271">
        <f>IF('Inventory Takeoff'!J284="","",'Inventory Takeoff'!J284)</f>
        <v>46066</v>
      </c>
      <c r="F280" s="121" t="s">
        <v>1053</v>
      </c>
      <c r="G280" s="121" t="str">
        <f>'Inventory Takeoff'!C284</f>
        <v>7" 90 degree Elbow</v>
      </c>
    </row>
    <row r="281" spans="1:7">
      <c r="A281" s="121">
        <f>'Inventory Takeoff'!B285</f>
        <v>280</v>
      </c>
      <c r="B281" s="121">
        <f>'Inventory Takeoff'!H285</f>
        <v>10.99</v>
      </c>
      <c r="C281" s="121" t="s">
        <v>109</v>
      </c>
      <c r="D281" s="121" t="s">
        <v>1054</v>
      </c>
      <c r="E281" s="271">
        <f>IF('Inventory Takeoff'!J285="","",'Inventory Takeoff'!J285)</f>
        <v>46066</v>
      </c>
      <c r="F281" s="121" t="s">
        <v>1053</v>
      </c>
      <c r="G281" s="121" t="str">
        <f>'Inventory Takeoff'!C285</f>
        <v>8" 90 degree Elbow</v>
      </c>
    </row>
    <row r="282" spans="1:7">
      <c r="A282" s="121">
        <f>'Inventory Takeoff'!B286</f>
        <v>281</v>
      </c>
      <c r="B282" s="121">
        <f>'Inventory Takeoff'!H286</f>
        <v>13.15</v>
      </c>
      <c r="C282" s="121" t="s">
        <v>109</v>
      </c>
      <c r="D282" s="121" t="s">
        <v>1054</v>
      </c>
      <c r="E282" s="271">
        <f>IF('Inventory Takeoff'!J286="","",'Inventory Takeoff'!J286)</f>
        <v>46066</v>
      </c>
      <c r="F282" s="121" t="s">
        <v>1053</v>
      </c>
      <c r="G282" s="121" t="str">
        <f>'Inventory Takeoff'!C286</f>
        <v>9" 90 degree Elbow</v>
      </c>
    </row>
    <row r="283" spans="1:7">
      <c r="A283" s="121">
        <f>'Inventory Takeoff'!B287</f>
        <v>282</v>
      </c>
      <c r="B283" s="121">
        <f>'Inventory Takeoff'!H287</f>
        <v>14.83</v>
      </c>
      <c r="C283" s="121" t="s">
        <v>109</v>
      </c>
      <c r="D283" s="121" t="s">
        <v>1054</v>
      </c>
      <c r="E283" s="271">
        <f>IF('Inventory Takeoff'!J287="","",'Inventory Takeoff'!J287)</f>
        <v>46066</v>
      </c>
      <c r="F283" s="121" t="s">
        <v>1053</v>
      </c>
      <c r="G283" s="121" t="str">
        <f>'Inventory Takeoff'!C287</f>
        <v>10" 90 degree Elbow</v>
      </c>
    </row>
    <row r="284" spans="1:7">
      <c r="A284" s="121">
        <f>'Inventory Takeoff'!B288</f>
        <v>283</v>
      </c>
      <c r="B284" s="121">
        <f>'Inventory Takeoff'!H288</f>
        <v>18.98</v>
      </c>
      <c r="C284" s="121" t="s">
        <v>109</v>
      </c>
      <c r="D284" s="121" t="s">
        <v>1054</v>
      </c>
      <c r="E284" s="271">
        <f>IF('Inventory Takeoff'!J288="","",'Inventory Takeoff'!J288)</f>
        <v>46066</v>
      </c>
      <c r="F284" s="121" t="s">
        <v>1053</v>
      </c>
      <c r="G284" s="121" t="str">
        <f>'Inventory Takeoff'!C288</f>
        <v>12" 90 degree Elbow</v>
      </c>
    </row>
    <row r="285" spans="1:7">
      <c r="A285" s="121">
        <f>'Inventory Takeoff'!B289</f>
        <v>284</v>
      </c>
      <c r="B285" s="121">
        <f>'Inventory Takeoff'!H289</f>
        <v>28.3</v>
      </c>
      <c r="C285" s="121" t="s">
        <v>109</v>
      </c>
      <c r="D285" s="121" t="s">
        <v>1054</v>
      </c>
      <c r="E285" s="271">
        <f>IF('Inventory Takeoff'!J289="","",'Inventory Takeoff'!J289)</f>
        <v>46066</v>
      </c>
      <c r="F285" s="121" t="s">
        <v>1053</v>
      </c>
      <c r="G285" s="121" t="str">
        <f>'Inventory Takeoff'!C289</f>
        <v>14" 90 degree Elbow</v>
      </c>
    </row>
    <row r="286" spans="1:7">
      <c r="A286" s="121">
        <f>'Inventory Takeoff'!B290</f>
        <v>285</v>
      </c>
      <c r="B286" s="121">
        <f>'Inventory Takeoff'!H290</f>
        <v>40.879999999999995</v>
      </c>
      <c r="C286" s="121" t="s">
        <v>109</v>
      </c>
      <c r="D286" s="121" t="s">
        <v>1054</v>
      </c>
      <c r="E286" s="271">
        <f>IF('Inventory Takeoff'!J290="","",'Inventory Takeoff'!J290)</f>
        <v>46066</v>
      </c>
      <c r="F286" s="121" t="s">
        <v>1053</v>
      </c>
      <c r="G286" s="121" t="str">
        <f>'Inventory Takeoff'!C290</f>
        <v>16" 90 degree Elbow</v>
      </c>
    </row>
    <row r="287" spans="1:7">
      <c r="A287" s="121">
        <f>'Inventory Takeoff'!B291</f>
        <v>286</v>
      </c>
      <c r="B287" s="121">
        <f>'Inventory Takeoff'!H291</f>
        <v>55.699999999999996</v>
      </c>
      <c r="C287" s="121" t="s">
        <v>109</v>
      </c>
      <c r="D287" s="121" t="s">
        <v>1054</v>
      </c>
      <c r="E287" s="271">
        <f>IF('Inventory Takeoff'!J291="","",'Inventory Takeoff'!J291)</f>
        <v>46066</v>
      </c>
      <c r="F287" s="121" t="s">
        <v>1053</v>
      </c>
      <c r="G287" s="121" t="str">
        <f>'Inventory Takeoff'!C291</f>
        <v>18" 90 degree Elbow</v>
      </c>
    </row>
    <row r="288" spans="1:7">
      <c r="A288" s="121">
        <f>'Inventory Takeoff'!B292</f>
        <v>287</v>
      </c>
      <c r="B288" s="121">
        <f>'Inventory Takeoff'!H292</f>
        <v>65.92</v>
      </c>
      <c r="C288" s="121" t="s">
        <v>109</v>
      </c>
      <c r="D288" s="121" t="s">
        <v>1054</v>
      </c>
      <c r="E288" s="271">
        <f>IF('Inventory Takeoff'!J292="","",'Inventory Takeoff'!J292)</f>
        <v>46066</v>
      </c>
      <c r="F288" s="121" t="s">
        <v>1053</v>
      </c>
      <c r="G288" s="121" t="str">
        <f>'Inventory Takeoff'!C292</f>
        <v>20" 90 degree Elbow</v>
      </c>
    </row>
    <row r="289" spans="1:7">
      <c r="A289" s="121">
        <f>'Inventory Takeoff'!B293</f>
        <v>288</v>
      </c>
      <c r="B289" s="121">
        <f>'Inventory Takeoff'!H293</f>
        <v>110.44</v>
      </c>
      <c r="C289" s="121" t="s">
        <v>109</v>
      </c>
      <c r="D289" s="121" t="s">
        <v>1054</v>
      </c>
      <c r="E289" s="271" t="str">
        <f>IF('Inventory Takeoff'!J293="","",'Inventory Takeoff'!J293)</f>
        <v/>
      </c>
      <c r="F289" s="121" t="s">
        <v>1053</v>
      </c>
      <c r="G289" s="121" t="str">
        <f>'Inventory Takeoff'!C293</f>
        <v>22" 90 degree Elbow</v>
      </c>
    </row>
    <row r="290" spans="1:7">
      <c r="A290" s="121">
        <f>'Inventory Takeoff'!B294</f>
        <v>289</v>
      </c>
      <c r="B290" s="121">
        <f>'Inventory Takeoff'!H294</f>
        <v>124.95</v>
      </c>
      <c r="C290" s="121" t="s">
        <v>109</v>
      </c>
      <c r="D290" s="121" t="s">
        <v>1054</v>
      </c>
      <c r="E290" s="271" t="str">
        <f>IF('Inventory Takeoff'!J294="","",'Inventory Takeoff'!J294)</f>
        <v/>
      </c>
      <c r="F290" s="121" t="s">
        <v>1053</v>
      </c>
      <c r="G290" s="121" t="str">
        <f>'Inventory Takeoff'!C294</f>
        <v>24" 90 degree Elbow</v>
      </c>
    </row>
    <row r="291" spans="1:7">
      <c r="A291" s="121">
        <f>'Inventory Takeoff'!B295</f>
        <v>290</v>
      </c>
      <c r="B291" s="121">
        <f>'Inventory Takeoff'!H295</f>
        <v>8.6</v>
      </c>
      <c r="C291" s="121" t="s">
        <v>109</v>
      </c>
      <c r="D291" s="121" t="s">
        <v>1054</v>
      </c>
      <c r="E291" s="271">
        <f>IF('Inventory Takeoff'!J295="","",'Inventory Takeoff'!J295)</f>
        <v>46066</v>
      </c>
      <c r="F291" s="121" t="s">
        <v>1053</v>
      </c>
      <c r="G291" s="121" t="str">
        <f>'Inventory Takeoff'!C295</f>
        <v>4" 45 degree Elbow</v>
      </c>
    </row>
    <row r="292" spans="1:7">
      <c r="A292" s="121">
        <f>'Inventory Takeoff'!B296</f>
        <v>291</v>
      </c>
      <c r="B292" s="121">
        <f>'Inventory Takeoff'!H296</f>
        <v>9.86</v>
      </c>
      <c r="C292" s="121" t="s">
        <v>109</v>
      </c>
      <c r="D292" s="121" t="s">
        <v>1054</v>
      </c>
      <c r="E292" s="271" t="str">
        <f>IF('Inventory Takeoff'!J296="","",'Inventory Takeoff'!J296)</f>
        <v/>
      </c>
      <c r="F292" s="121" t="s">
        <v>1053</v>
      </c>
      <c r="G292" s="121" t="str">
        <f>'Inventory Takeoff'!C296</f>
        <v>5" 45 degree Elbow</v>
      </c>
    </row>
    <row r="293" spans="1:7">
      <c r="A293" s="121">
        <f>'Inventory Takeoff'!B297</f>
        <v>292</v>
      </c>
      <c r="B293" s="121">
        <f>'Inventory Takeoff'!H297</f>
        <v>9.18</v>
      </c>
      <c r="C293" s="121" t="s">
        <v>109</v>
      </c>
      <c r="D293" s="121" t="s">
        <v>1054</v>
      </c>
      <c r="E293" s="271">
        <f>IF('Inventory Takeoff'!J297="","",'Inventory Takeoff'!J297)</f>
        <v>46066</v>
      </c>
      <c r="F293" s="121" t="s">
        <v>1053</v>
      </c>
      <c r="G293" s="121" t="str">
        <f>'Inventory Takeoff'!C297</f>
        <v>6" 45 degree Elbow</v>
      </c>
    </row>
    <row r="294" spans="1:7">
      <c r="A294" s="121">
        <f>'Inventory Takeoff'!B298</f>
        <v>293</v>
      </c>
      <c r="B294" s="121">
        <f>'Inventory Takeoff'!H298</f>
        <v>9.11</v>
      </c>
      <c r="C294" s="121" t="s">
        <v>109</v>
      </c>
      <c r="D294" s="121" t="s">
        <v>1054</v>
      </c>
      <c r="E294" s="271" t="str">
        <f>IF('Inventory Takeoff'!J298="","",'Inventory Takeoff'!J298)</f>
        <v/>
      </c>
      <c r="F294" s="121" t="s">
        <v>1053</v>
      </c>
      <c r="G294" s="121" t="str">
        <f>'Inventory Takeoff'!C298</f>
        <v>7" 45 degree Elbow</v>
      </c>
    </row>
    <row r="295" spans="1:7">
      <c r="A295" s="121">
        <f>'Inventory Takeoff'!B299</f>
        <v>294</v>
      </c>
      <c r="B295" s="121">
        <f>'Inventory Takeoff'!H299</f>
        <v>13.39</v>
      </c>
      <c r="C295" s="121" t="s">
        <v>109</v>
      </c>
      <c r="D295" s="121" t="s">
        <v>1054</v>
      </c>
      <c r="E295" s="271">
        <f>IF('Inventory Takeoff'!J299="","",'Inventory Takeoff'!J299)</f>
        <v>46066</v>
      </c>
      <c r="F295" s="121" t="s">
        <v>1053</v>
      </c>
      <c r="G295" s="121" t="str">
        <f>'Inventory Takeoff'!C299</f>
        <v>8" 45 degree Elbow</v>
      </c>
    </row>
    <row r="296" spans="1:7">
      <c r="A296" s="121">
        <f>'Inventory Takeoff'!B300</f>
        <v>295</v>
      </c>
      <c r="B296" s="121">
        <f>'Inventory Takeoff'!H300</f>
        <v>12.09</v>
      </c>
      <c r="C296" s="121" t="s">
        <v>109</v>
      </c>
      <c r="D296" s="121" t="s">
        <v>1054</v>
      </c>
      <c r="E296" s="271" t="str">
        <f>IF('Inventory Takeoff'!J300="","",'Inventory Takeoff'!J300)</f>
        <v/>
      </c>
      <c r="F296" s="121" t="s">
        <v>1053</v>
      </c>
      <c r="G296" s="121" t="str">
        <f>'Inventory Takeoff'!C300</f>
        <v>9" 45 degree Elbow</v>
      </c>
    </row>
    <row r="297" spans="1:7">
      <c r="A297" s="121">
        <f>'Inventory Takeoff'!B301</f>
        <v>296</v>
      </c>
      <c r="B297" s="121">
        <f>'Inventory Takeoff'!H301</f>
        <v>18.950000000000003</v>
      </c>
      <c r="C297" s="121" t="s">
        <v>109</v>
      </c>
      <c r="D297" s="121" t="s">
        <v>1054</v>
      </c>
      <c r="E297" s="271">
        <f>IF('Inventory Takeoff'!J301="","",'Inventory Takeoff'!J301)</f>
        <v>46066</v>
      </c>
      <c r="F297" s="121" t="s">
        <v>1053</v>
      </c>
      <c r="G297" s="121" t="str">
        <f>'Inventory Takeoff'!C301</f>
        <v>10" 45 degree Elbow</v>
      </c>
    </row>
    <row r="298" spans="1:7">
      <c r="A298" s="121">
        <f>'Inventory Takeoff'!B302</f>
        <v>297</v>
      </c>
      <c r="B298" s="121">
        <f>'Inventory Takeoff'!H302</f>
        <v>25</v>
      </c>
      <c r="C298" s="121" t="s">
        <v>109</v>
      </c>
      <c r="D298" s="121" t="s">
        <v>1054</v>
      </c>
      <c r="E298" s="271">
        <f>IF('Inventory Takeoff'!J302="","",'Inventory Takeoff'!J302)</f>
        <v>46066</v>
      </c>
      <c r="F298" s="121" t="s">
        <v>1053</v>
      </c>
      <c r="G298" s="121" t="str">
        <f>'Inventory Takeoff'!C302</f>
        <v>12" 45 degree Elbow</v>
      </c>
    </row>
    <row r="299" spans="1:7">
      <c r="A299" s="121">
        <f>'Inventory Takeoff'!B303</f>
        <v>298</v>
      </c>
      <c r="B299" s="121">
        <f>'Inventory Takeoff'!H303</f>
        <v>43.11</v>
      </c>
      <c r="C299" s="121" t="s">
        <v>109</v>
      </c>
      <c r="D299" s="121" t="s">
        <v>1054</v>
      </c>
      <c r="E299" s="271">
        <f>IF('Inventory Takeoff'!J303="","",'Inventory Takeoff'!J303)</f>
        <v>46066</v>
      </c>
      <c r="F299" s="121" t="s">
        <v>1053</v>
      </c>
      <c r="G299" s="121" t="str">
        <f>'Inventory Takeoff'!C303</f>
        <v>14" 45 degree Elbow</v>
      </c>
    </row>
    <row r="300" spans="1:7">
      <c r="A300" s="121">
        <f>'Inventory Takeoff'!B304</f>
        <v>299</v>
      </c>
      <c r="B300" s="121">
        <f>'Inventory Takeoff'!H304</f>
        <v>67.800000000000011</v>
      </c>
      <c r="C300" s="121" t="s">
        <v>109</v>
      </c>
      <c r="D300" s="121" t="s">
        <v>1054</v>
      </c>
      <c r="E300" s="271">
        <f>IF('Inventory Takeoff'!J304="","",'Inventory Takeoff'!J304)</f>
        <v>46066</v>
      </c>
      <c r="F300" s="121" t="s">
        <v>1053</v>
      </c>
      <c r="G300" s="121" t="str">
        <f>'Inventory Takeoff'!C304</f>
        <v>16" 45 degree Elbow</v>
      </c>
    </row>
    <row r="301" spans="1:7">
      <c r="A301" s="121">
        <f>'Inventory Takeoff'!B305</f>
        <v>300</v>
      </c>
      <c r="B301" s="121">
        <f>'Inventory Takeoff'!H305</f>
        <v>91.490000000000009</v>
      </c>
      <c r="C301" s="121" t="s">
        <v>109</v>
      </c>
      <c r="D301" s="121" t="s">
        <v>1054</v>
      </c>
      <c r="E301" s="271">
        <f>IF('Inventory Takeoff'!J305="","",'Inventory Takeoff'!J305)</f>
        <v>46066</v>
      </c>
      <c r="F301" s="121" t="s">
        <v>1053</v>
      </c>
      <c r="G301" s="121" t="str">
        <f>'Inventory Takeoff'!C305</f>
        <v>18" 45 degree Elbow</v>
      </c>
    </row>
    <row r="302" spans="1:7">
      <c r="A302" s="121">
        <f>'Inventory Takeoff'!B306</f>
        <v>301</v>
      </c>
      <c r="B302" s="121">
        <f>'Inventory Takeoff'!H306</f>
        <v>66.22</v>
      </c>
      <c r="C302" s="121" t="s">
        <v>109</v>
      </c>
      <c r="D302" s="121" t="s">
        <v>1054</v>
      </c>
      <c r="E302" s="271" t="str">
        <f>IF('Inventory Takeoff'!J306="","",'Inventory Takeoff'!J306)</f>
        <v/>
      </c>
      <c r="F302" s="121" t="s">
        <v>1053</v>
      </c>
      <c r="G302" s="121" t="str">
        <f>'Inventory Takeoff'!C306</f>
        <v>20" 45 degree Elbow</v>
      </c>
    </row>
    <row r="303" spans="1:7">
      <c r="A303" s="121">
        <f>'Inventory Takeoff'!B307</f>
        <v>302</v>
      </c>
      <c r="B303" s="121">
        <f>'Inventory Takeoff'!H307</f>
        <v>0</v>
      </c>
      <c r="C303" s="121" t="s">
        <v>109</v>
      </c>
      <c r="D303" s="121" t="s">
        <v>1054</v>
      </c>
      <c r="E303" s="271" t="str">
        <f>IF('Inventory Takeoff'!J307="","",'Inventory Takeoff'!J307)</f>
        <v/>
      </c>
      <c r="F303" s="121" t="s">
        <v>1053</v>
      </c>
      <c r="G303" s="121" t="str">
        <f>'Inventory Takeoff'!C307</f>
        <v>Not Used</v>
      </c>
    </row>
    <row r="304" spans="1:7">
      <c r="A304" s="121">
        <f>'Inventory Takeoff'!B308</f>
        <v>303</v>
      </c>
      <c r="B304" s="121">
        <f>'Inventory Takeoff'!H308</f>
        <v>131.95999999999998</v>
      </c>
      <c r="C304" s="121" t="s">
        <v>109</v>
      </c>
      <c r="D304" s="121" t="s">
        <v>1054</v>
      </c>
      <c r="E304" s="271" t="str">
        <f>IF('Inventory Takeoff'!J308="","",'Inventory Takeoff'!J308)</f>
        <v/>
      </c>
      <c r="F304" s="121" t="s">
        <v>1053</v>
      </c>
      <c r="G304" s="121" t="str">
        <f>'Inventory Takeoff'!C308</f>
        <v>24" 45 degree Elbow</v>
      </c>
    </row>
    <row r="305" spans="1:7">
      <c r="A305" s="121">
        <f>'Inventory Takeoff'!B309</f>
        <v>304</v>
      </c>
      <c r="B305" s="121">
        <f>'Inventory Takeoff'!H309</f>
        <v>0</v>
      </c>
      <c r="C305" s="121" t="s">
        <v>109</v>
      </c>
      <c r="D305" s="121" t="s">
        <v>1054</v>
      </c>
      <c r="E305" s="271" t="str">
        <f>IF('Inventory Takeoff'!J309="","",'Inventory Takeoff'!J309)</f>
        <v/>
      </c>
      <c r="F305" s="121" t="s">
        <v>1053</v>
      </c>
      <c r="G305" s="121" t="str">
        <f>'Inventory Takeoff'!C309</f>
        <v>Not Used</v>
      </c>
    </row>
    <row r="306" spans="1:7">
      <c r="A306" s="121">
        <f>'Inventory Takeoff'!B310</f>
        <v>305</v>
      </c>
      <c r="B306" s="121">
        <f>'Inventory Takeoff'!H310</f>
        <v>0</v>
      </c>
      <c r="C306" s="121" t="s">
        <v>109</v>
      </c>
      <c r="D306" s="121" t="s">
        <v>1054</v>
      </c>
      <c r="E306" s="271" t="str">
        <f>IF('Inventory Takeoff'!J310="","",'Inventory Takeoff'!J310)</f>
        <v/>
      </c>
      <c r="F306" s="121" t="s">
        <v>1053</v>
      </c>
      <c r="G306" s="121" t="str">
        <f>'Inventory Takeoff'!C310</f>
        <v>Not Used</v>
      </c>
    </row>
    <row r="307" spans="1:7">
      <c r="A307" s="121">
        <f>'Inventory Takeoff'!B311</f>
        <v>306</v>
      </c>
      <c r="B307" s="121">
        <f>'Inventory Takeoff'!H311</f>
        <v>0</v>
      </c>
      <c r="C307" s="121" t="s">
        <v>109</v>
      </c>
      <c r="D307" s="121" t="s">
        <v>1054</v>
      </c>
      <c r="E307" s="271" t="str">
        <f>IF('Inventory Takeoff'!J311="","",'Inventory Takeoff'!J311)</f>
        <v/>
      </c>
      <c r="F307" s="121" t="s">
        <v>1053</v>
      </c>
      <c r="G307" s="121" t="str">
        <f>'Inventory Takeoff'!C311</f>
        <v>Not Used</v>
      </c>
    </row>
    <row r="308" spans="1:7">
      <c r="A308" s="121">
        <f>'Inventory Takeoff'!B312</f>
        <v>307</v>
      </c>
      <c r="B308" s="121">
        <f>'Inventory Takeoff'!H312</f>
        <v>0</v>
      </c>
      <c r="C308" s="121" t="s">
        <v>109</v>
      </c>
      <c r="D308" s="121" t="s">
        <v>1054</v>
      </c>
      <c r="E308" s="271" t="str">
        <f>IF('Inventory Takeoff'!J312="","",'Inventory Takeoff'!J312)</f>
        <v/>
      </c>
      <c r="F308" s="121" t="s">
        <v>1053</v>
      </c>
      <c r="G308" s="121" t="str">
        <f>'Inventory Takeoff'!C312</f>
        <v>Not Used</v>
      </c>
    </row>
    <row r="309" spans="1:7">
      <c r="A309" s="121">
        <f>'Inventory Takeoff'!B313</f>
        <v>308</v>
      </c>
      <c r="B309" s="121">
        <f>'Inventory Takeoff'!H313</f>
        <v>0</v>
      </c>
      <c r="C309" s="121" t="s">
        <v>109</v>
      </c>
      <c r="D309" s="121" t="s">
        <v>1054</v>
      </c>
      <c r="E309" s="271" t="str">
        <f>IF('Inventory Takeoff'!J313="","",'Inventory Takeoff'!J313)</f>
        <v/>
      </c>
      <c r="F309" s="121" t="s">
        <v>1053</v>
      </c>
      <c r="G309" s="121" t="str">
        <f>'Inventory Takeoff'!C313</f>
        <v>Not Used</v>
      </c>
    </row>
    <row r="310" spans="1:7">
      <c r="A310" s="121">
        <f>'Inventory Takeoff'!B314</f>
        <v>309</v>
      </c>
      <c r="B310" s="121">
        <f>'Inventory Takeoff'!H314</f>
        <v>0</v>
      </c>
      <c r="C310" s="121" t="s">
        <v>109</v>
      </c>
      <c r="D310" s="121" t="s">
        <v>1054</v>
      </c>
      <c r="E310" s="271" t="str">
        <f>IF('Inventory Takeoff'!J314="","",'Inventory Takeoff'!J314)</f>
        <v/>
      </c>
      <c r="F310" s="121" t="s">
        <v>1053</v>
      </c>
      <c r="G310" s="121" t="str">
        <f>'Inventory Takeoff'!C314</f>
        <v>Not Used</v>
      </c>
    </row>
    <row r="311" spans="1:7">
      <c r="A311" s="121">
        <f>'Inventory Takeoff'!B315</f>
        <v>310</v>
      </c>
      <c r="B311" s="121">
        <f>'Inventory Takeoff'!H315</f>
        <v>0</v>
      </c>
      <c r="C311" s="121" t="s">
        <v>109</v>
      </c>
      <c r="D311" s="121" t="s">
        <v>1054</v>
      </c>
      <c r="E311" s="271" t="str">
        <f>IF('Inventory Takeoff'!J315="","",'Inventory Takeoff'!J315)</f>
        <v/>
      </c>
      <c r="F311" s="121" t="s">
        <v>1053</v>
      </c>
      <c r="G311" s="121" t="str">
        <f>'Inventory Takeoff'!C315</f>
        <v>Not Used</v>
      </c>
    </row>
    <row r="312" spans="1:7">
      <c r="A312" s="121">
        <f>'Inventory Takeoff'!B316</f>
        <v>311</v>
      </c>
      <c r="B312" s="121">
        <f>'Inventory Takeoff'!H316</f>
        <v>0</v>
      </c>
      <c r="C312" s="121" t="s">
        <v>109</v>
      </c>
      <c r="D312" s="121" t="s">
        <v>1054</v>
      </c>
      <c r="E312" s="271" t="str">
        <f>IF('Inventory Takeoff'!J316="","",'Inventory Takeoff'!J316)</f>
        <v/>
      </c>
      <c r="F312" s="121" t="s">
        <v>1053</v>
      </c>
      <c r="G312" s="121" t="str">
        <f>'Inventory Takeoff'!C316</f>
        <v>Not Used</v>
      </c>
    </row>
    <row r="313" spans="1:7">
      <c r="A313" s="121">
        <f>'Inventory Takeoff'!B317</f>
        <v>312</v>
      </c>
      <c r="B313" s="121">
        <f>'Inventory Takeoff'!H317</f>
        <v>0</v>
      </c>
      <c r="C313" s="121" t="s">
        <v>109</v>
      </c>
      <c r="D313" s="121" t="s">
        <v>1054</v>
      </c>
      <c r="E313" s="271" t="str">
        <f>IF('Inventory Takeoff'!J317="","",'Inventory Takeoff'!J317)</f>
        <v/>
      </c>
      <c r="F313" s="121" t="s">
        <v>1053</v>
      </c>
      <c r="G313" s="121" t="str">
        <f>'Inventory Takeoff'!C317</f>
        <v>Not Used</v>
      </c>
    </row>
    <row r="314" spans="1:7">
      <c r="A314" s="121">
        <f>'Inventory Takeoff'!B318</f>
        <v>313</v>
      </c>
      <c r="B314" s="121">
        <f>'Inventory Takeoff'!H318</f>
        <v>0</v>
      </c>
      <c r="C314" s="121" t="s">
        <v>109</v>
      </c>
      <c r="D314" s="121" t="s">
        <v>1054</v>
      </c>
      <c r="E314" s="271" t="str">
        <f>IF('Inventory Takeoff'!J318="","",'Inventory Takeoff'!J318)</f>
        <v/>
      </c>
      <c r="F314" s="121" t="s">
        <v>1053</v>
      </c>
      <c r="G314" s="121" t="str">
        <f>'Inventory Takeoff'!C318</f>
        <v>Not Used</v>
      </c>
    </row>
    <row r="315" spans="1:7">
      <c r="A315" s="121">
        <f>'Inventory Takeoff'!B319</f>
        <v>314</v>
      </c>
      <c r="B315" s="121">
        <f>'Inventory Takeoff'!H319</f>
        <v>0</v>
      </c>
      <c r="C315" s="121" t="s">
        <v>109</v>
      </c>
      <c r="D315" s="121" t="s">
        <v>1054</v>
      </c>
      <c r="E315" s="271" t="str">
        <f>IF('Inventory Takeoff'!J319="","",'Inventory Takeoff'!J319)</f>
        <v/>
      </c>
      <c r="F315" s="121" t="s">
        <v>1053</v>
      </c>
      <c r="G315" s="121" t="str">
        <f>'Inventory Takeoff'!C319</f>
        <v>Not Used</v>
      </c>
    </row>
    <row r="316" spans="1:7">
      <c r="A316" s="121">
        <f>'Inventory Takeoff'!B320</f>
        <v>315</v>
      </c>
      <c r="B316" s="121">
        <f>'Inventory Takeoff'!H320</f>
        <v>0</v>
      </c>
      <c r="C316" s="121" t="s">
        <v>109</v>
      </c>
      <c r="D316" s="121" t="s">
        <v>1054</v>
      </c>
      <c r="E316" s="271" t="str">
        <f>IF('Inventory Takeoff'!J320="","",'Inventory Takeoff'!J320)</f>
        <v/>
      </c>
      <c r="F316" s="121" t="s">
        <v>1053</v>
      </c>
      <c r="G316" s="121" t="str">
        <f>'Inventory Takeoff'!C320</f>
        <v>Not Used</v>
      </c>
    </row>
    <row r="317" spans="1:7">
      <c r="A317" s="121">
        <f>'Inventory Takeoff'!B321</f>
        <v>316</v>
      </c>
      <c r="B317" s="121">
        <f>'Inventory Takeoff'!H321</f>
        <v>0</v>
      </c>
      <c r="C317" s="121" t="s">
        <v>109</v>
      </c>
      <c r="D317" s="121" t="s">
        <v>1054</v>
      </c>
      <c r="E317" s="271" t="str">
        <f>IF('Inventory Takeoff'!J321="","",'Inventory Takeoff'!J321)</f>
        <v/>
      </c>
      <c r="F317" s="121" t="s">
        <v>1053</v>
      </c>
      <c r="G317" s="121" t="str">
        <f>'Inventory Takeoff'!C321</f>
        <v>Not Used</v>
      </c>
    </row>
    <row r="318" spans="1:7">
      <c r="A318" s="121">
        <f>'Inventory Takeoff'!B322</f>
        <v>317</v>
      </c>
      <c r="B318" s="121">
        <f>'Inventory Takeoff'!H322</f>
        <v>0</v>
      </c>
      <c r="C318" s="121" t="s">
        <v>109</v>
      </c>
      <c r="D318" s="121" t="s">
        <v>1054</v>
      </c>
      <c r="E318" s="271" t="str">
        <f>IF('Inventory Takeoff'!J322="","",'Inventory Takeoff'!J322)</f>
        <v/>
      </c>
      <c r="F318" s="121" t="s">
        <v>1053</v>
      </c>
      <c r="G318" s="121" t="str">
        <f>'Inventory Takeoff'!C322</f>
        <v>Not Used</v>
      </c>
    </row>
    <row r="319" spans="1:7">
      <c r="A319" s="121">
        <f>'Inventory Takeoff'!B323</f>
        <v>318</v>
      </c>
      <c r="B319" s="121">
        <f>'Inventory Takeoff'!H323</f>
        <v>0</v>
      </c>
      <c r="C319" s="121" t="s">
        <v>109</v>
      </c>
      <c r="D319" s="121" t="s">
        <v>1054</v>
      </c>
      <c r="E319" s="271" t="str">
        <f>IF('Inventory Takeoff'!J323="","",'Inventory Takeoff'!J323)</f>
        <v/>
      </c>
      <c r="F319" s="121" t="s">
        <v>1053</v>
      </c>
      <c r="G319" s="121" t="str">
        <f>'Inventory Takeoff'!C323</f>
        <v>Not Used</v>
      </c>
    </row>
    <row r="320" spans="1:7">
      <c r="A320" s="121">
        <f>'Inventory Takeoff'!B324</f>
        <v>319</v>
      </c>
      <c r="B320" s="121">
        <f>'Inventory Takeoff'!H324</f>
        <v>0</v>
      </c>
      <c r="C320" s="121" t="s">
        <v>109</v>
      </c>
      <c r="D320" s="121" t="s">
        <v>1054</v>
      </c>
      <c r="E320" s="271" t="str">
        <f>IF('Inventory Takeoff'!J324="","",'Inventory Takeoff'!J324)</f>
        <v/>
      </c>
      <c r="F320" s="121" t="s">
        <v>1053</v>
      </c>
      <c r="G320" s="121" t="str">
        <f>'Inventory Takeoff'!C324</f>
        <v>Not Used</v>
      </c>
    </row>
    <row r="321" spans="1:7">
      <c r="A321" s="121">
        <f>'Inventory Takeoff'!B325</f>
        <v>320</v>
      </c>
      <c r="B321" s="121">
        <f>'Inventory Takeoff'!H325</f>
        <v>0</v>
      </c>
      <c r="C321" s="121" t="s">
        <v>109</v>
      </c>
      <c r="D321" s="121" t="s">
        <v>1054</v>
      </c>
      <c r="E321" s="271" t="str">
        <f>IF('Inventory Takeoff'!J325="","",'Inventory Takeoff'!J325)</f>
        <v/>
      </c>
      <c r="F321" s="121" t="s">
        <v>1053</v>
      </c>
      <c r="G321" s="121" t="str">
        <f>'Inventory Takeoff'!C325</f>
        <v>Not Used</v>
      </c>
    </row>
    <row r="322" spans="1:7">
      <c r="A322" s="121">
        <f>'Inventory Takeoff'!B326</f>
        <v>321</v>
      </c>
      <c r="B322" s="121">
        <f>'Inventory Takeoff'!H326</f>
        <v>0</v>
      </c>
      <c r="C322" s="121" t="s">
        <v>109</v>
      </c>
      <c r="D322" s="121" t="s">
        <v>1054</v>
      </c>
      <c r="E322" s="271" t="str">
        <f>IF('Inventory Takeoff'!J326="","",'Inventory Takeoff'!J326)</f>
        <v/>
      </c>
      <c r="F322" s="121" t="s">
        <v>1053</v>
      </c>
      <c r="G322" s="121" t="str">
        <f>'Inventory Takeoff'!C326</f>
        <v>Not Used</v>
      </c>
    </row>
    <row r="323" spans="1:7">
      <c r="A323" s="121">
        <f>'Inventory Takeoff'!B327</f>
        <v>322</v>
      </c>
      <c r="B323" s="121">
        <f>'Inventory Takeoff'!H327</f>
        <v>0</v>
      </c>
      <c r="C323" s="121" t="s">
        <v>109</v>
      </c>
      <c r="D323" s="121" t="s">
        <v>1054</v>
      </c>
      <c r="E323" s="271" t="str">
        <f>IF('Inventory Takeoff'!J327="","",'Inventory Takeoff'!J327)</f>
        <v/>
      </c>
      <c r="F323" s="121" t="s">
        <v>1053</v>
      </c>
      <c r="G323" s="121" t="str">
        <f>'Inventory Takeoff'!C327</f>
        <v>Not Used</v>
      </c>
    </row>
    <row r="324" spans="1:7">
      <c r="A324" s="121">
        <f>'Inventory Takeoff'!B328</f>
        <v>323</v>
      </c>
      <c r="B324" s="121">
        <f>'Inventory Takeoff'!H328</f>
        <v>0</v>
      </c>
      <c r="C324" s="121" t="s">
        <v>109</v>
      </c>
      <c r="D324" s="121" t="s">
        <v>1054</v>
      </c>
      <c r="E324" s="271" t="str">
        <f>IF('Inventory Takeoff'!J328="","",'Inventory Takeoff'!J328)</f>
        <v/>
      </c>
      <c r="F324" s="121" t="s">
        <v>1053</v>
      </c>
      <c r="G324" s="121" t="str">
        <f>'Inventory Takeoff'!C328</f>
        <v>Not Used</v>
      </c>
    </row>
    <row r="325" spans="1:7">
      <c r="A325" s="121">
        <f>'Inventory Takeoff'!B329</f>
        <v>324</v>
      </c>
      <c r="B325" s="121">
        <f>'Inventory Takeoff'!H329</f>
        <v>0</v>
      </c>
      <c r="C325" s="121" t="s">
        <v>109</v>
      </c>
      <c r="D325" s="121" t="s">
        <v>1054</v>
      </c>
      <c r="E325" s="271" t="str">
        <f>IF('Inventory Takeoff'!J329="","",'Inventory Takeoff'!J329)</f>
        <v/>
      </c>
      <c r="F325" s="121" t="s">
        <v>1053</v>
      </c>
      <c r="G325" s="121" t="str">
        <f>'Inventory Takeoff'!C329</f>
        <v>Not Used</v>
      </c>
    </row>
    <row r="326" spans="1:7">
      <c r="A326" s="121">
        <f>'Inventory Takeoff'!B330</f>
        <v>325</v>
      </c>
      <c r="B326" s="121">
        <f>'Inventory Takeoff'!H330</f>
        <v>0</v>
      </c>
      <c r="C326" s="121" t="s">
        <v>109</v>
      </c>
      <c r="D326" s="121" t="s">
        <v>1054</v>
      </c>
      <c r="E326" s="271" t="str">
        <f>IF('Inventory Takeoff'!J330="","",'Inventory Takeoff'!J330)</f>
        <v/>
      </c>
      <c r="F326" s="121" t="s">
        <v>1053</v>
      </c>
      <c r="G326" s="121" t="str">
        <f>'Inventory Takeoff'!C330</f>
        <v>Not Used</v>
      </c>
    </row>
    <row r="327" spans="1:7">
      <c r="A327" s="121">
        <f>'Inventory Takeoff'!B331</f>
        <v>326</v>
      </c>
      <c r="B327" s="121">
        <f>'Inventory Takeoff'!H331</f>
        <v>0</v>
      </c>
      <c r="C327" s="121" t="s">
        <v>109</v>
      </c>
      <c r="D327" s="121" t="s">
        <v>1054</v>
      </c>
      <c r="E327" s="271" t="str">
        <f>IF('Inventory Takeoff'!J331="","",'Inventory Takeoff'!J331)</f>
        <v/>
      </c>
      <c r="F327" s="121" t="s">
        <v>1053</v>
      </c>
      <c r="G327" s="121" t="str">
        <f>'Inventory Takeoff'!C331</f>
        <v>Not Used</v>
      </c>
    </row>
    <row r="328" spans="1:7">
      <c r="A328" s="121">
        <f>'Inventory Takeoff'!B332</f>
        <v>327</v>
      </c>
      <c r="B328" s="121">
        <f>'Inventory Takeoff'!H332</f>
        <v>0</v>
      </c>
      <c r="C328" s="121" t="s">
        <v>109</v>
      </c>
      <c r="D328" s="121" t="s">
        <v>1054</v>
      </c>
      <c r="E328" s="271" t="str">
        <f>IF('Inventory Takeoff'!J332="","",'Inventory Takeoff'!J332)</f>
        <v/>
      </c>
      <c r="F328" s="121" t="s">
        <v>1053</v>
      </c>
      <c r="G328" s="121" t="str">
        <f>'Inventory Takeoff'!C332</f>
        <v>Not Used</v>
      </c>
    </row>
    <row r="329" spans="1:7">
      <c r="A329" s="121">
        <f>'Inventory Takeoff'!B333</f>
        <v>328</v>
      </c>
      <c r="B329" s="121">
        <f>'Inventory Takeoff'!H333</f>
        <v>0</v>
      </c>
      <c r="C329" s="121" t="s">
        <v>109</v>
      </c>
      <c r="D329" s="121" t="s">
        <v>1054</v>
      </c>
      <c r="E329" s="271" t="str">
        <f>IF('Inventory Takeoff'!J333="","",'Inventory Takeoff'!J333)</f>
        <v/>
      </c>
      <c r="F329" s="121" t="s">
        <v>1053</v>
      </c>
      <c r="G329" s="121" t="str">
        <f>'Inventory Takeoff'!C333</f>
        <v>Not Used</v>
      </c>
    </row>
    <row r="330" spans="1:7">
      <c r="A330" s="121">
        <f>'Inventory Takeoff'!B334</f>
        <v>329</v>
      </c>
      <c r="B330" s="121">
        <f>'Inventory Takeoff'!H334</f>
        <v>0</v>
      </c>
      <c r="C330" s="121" t="s">
        <v>109</v>
      </c>
      <c r="D330" s="121" t="s">
        <v>1054</v>
      </c>
      <c r="E330" s="271" t="str">
        <f>IF('Inventory Takeoff'!J334="","",'Inventory Takeoff'!J334)</f>
        <v/>
      </c>
      <c r="F330" s="121" t="s">
        <v>1053</v>
      </c>
      <c r="G330" s="121" t="str">
        <f>'Inventory Takeoff'!C334</f>
        <v>Not Used</v>
      </c>
    </row>
    <row r="331" spans="1:7">
      <c r="A331" s="121">
        <f>'Inventory Takeoff'!B335</f>
        <v>330</v>
      </c>
      <c r="B331" s="121">
        <f>'Inventory Takeoff'!H335</f>
        <v>0</v>
      </c>
      <c r="C331" s="121" t="s">
        <v>109</v>
      </c>
      <c r="D331" s="121" t="s">
        <v>1054</v>
      </c>
      <c r="E331" s="271" t="str">
        <f>IF('Inventory Takeoff'!J335="","",'Inventory Takeoff'!J335)</f>
        <v/>
      </c>
      <c r="F331" s="121" t="s">
        <v>1053</v>
      </c>
      <c r="G331" s="121" t="str">
        <f>'Inventory Takeoff'!C335</f>
        <v>Not Used</v>
      </c>
    </row>
    <row r="332" spans="1:7">
      <c r="A332" s="121">
        <f>'Inventory Takeoff'!B336</f>
        <v>331</v>
      </c>
      <c r="B332" s="121">
        <f>'Inventory Takeoff'!H336</f>
        <v>0</v>
      </c>
      <c r="C332" s="121" t="s">
        <v>109</v>
      </c>
      <c r="D332" s="121" t="s">
        <v>1054</v>
      </c>
      <c r="E332" s="271" t="str">
        <f>IF('Inventory Takeoff'!J336="","",'Inventory Takeoff'!J336)</f>
        <v/>
      </c>
      <c r="F332" s="121" t="s">
        <v>1053</v>
      </c>
      <c r="G332" s="121" t="str">
        <f>'Inventory Takeoff'!C336</f>
        <v>Not Used</v>
      </c>
    </row>
    <row r="333" spans="1:7">
      <c r="A333" s="121">
        <f>'Inventory Takeoff'!B337</f>
        <v>332</v>
      </c>
      <c r="B333" s="121">
        <f>'Inventory Takeoff'!H337</f>
        <v>0</v>
      </c>
      <c r="C333" s="121" t="s">
        <v>109</v>
      </c>
      <c r="D333" s="121" t="s">
        <v>1054</v>
      </c>
      <c r="E333" s="271" t="str">
        <f>IF('Inventory Takeoff'!J337="","",'Inventory Takeoff'!J337)</f>
        <v/>
      </c>
      <c r="F333" s="121" t="s">
        <v>1053</v>
      </c>
      <c r="G333" s="121" t="str">
        <f>'Inventory Takeoff'!C337</f>
        <v>Not Used</v>
      </c>
    </row>
    <row r="334" spans="1:7">
      <c r="A334" s="121">
        <f>'Inventory Takeoff'!B338</f>
        <v>333</v>
      </c>
      <c r="B334" s="121">
        <f>'Inventory Takeoff'!H338</f>
        <v>0</v>
      </c>
      <c r="C334" s="121" t="s">
        <v>109</v>
      </c>
      <c r="D334" s="121" t="s">
        <v>1054</v>
      </c>
      <c r="E334" s="271" t="str">
        <f>IF('Inventory Takeoff'!J338="","",'Inventory Takeoff'!J338)</f>
        <v/>
      </c>
      <c r="F334" s="121" t="s">
        <v>1053</v>
      </c>
      <c r="G334" s="121" t="str">
        <f>'Inventory Takeoff'!C338</f>
        <v>Not Used</v>
      </c>
    </row>
    <row r="335" spans="1:7">
      <c r="A335" s="121">
        <f>'Inventory Takeoff'!B339</f>
        <v>334</v>
      </c>
      <c r="B335" s="121">
        <f>'Inventory Takeoff'!H339</f>
        <v>0</v>
      </c>
      <c r="C335" s="121" t="s">
        <v>109</v>
      </c>
      <c r="D335" s="121" t="s">
        <v>1054</v>
      </c>
      <c r="E335" s="271" t="str">
        <f>IF('Inventory Takeoff'!J339="","",'Inventory Takeoff'!J339)</f>
        <v/>
      </c>
      <c r="F335" s="121" t="s">
        <v>1053</v>
      </c>
      <c r="G335" s="121" t="str">
        <f>'Inventory Takeoff'!C339</f>
        <v>Not Used</v>
      </c>
    </row>
    <row r="336" spans="1:7">
      <c r="A336" s="121">
        <f>'Inventory Takeoff'!B340</f>
        <v>335</v>
      </c>
      <c r="B336" s="121">
        <f>'Inventory Takeoff'!H340</f>
        <v>0</v>
      </c>
      <c r="C336" s="121" t="s">
        <v>109</v>
      </c>
      <c r="D336" s="121" t="s">
        <v>1054</v>
      </c>
      <c r="E336" s="271" t="str">
        <f>IF('Inventory Takeoff'!J340="","",'Inventory Takeoff'!J340)</f>
        <v/>
      </c>
      <c r="F336" s="121" t="s">
        <v>1053</v>
      </c>
      <c r="G336" s="121" t="str">
        <f>'Inventory Takeoff'!C340</f>
        <v>Not Used</v>
      </c>
    </row>
    <row r="337" spans="1:7">
      <c r="A337" s="121">
        <f>'Inventory Takeoff'!B341</f>
        <v>336</v>
      </c>
      <c r="B337" s="121">
        <f>'Inventory Takeoff'!H341</f>
        <v>0</v>
      </c>
      <c r="C337" s="121" t="s">
        <v>109</v>
      </c>
      <c r="D337" s="121" t="s">
        <v>1054</v>
      </c>
      <c r="E337" s="271" t="str">
        <f>IF('Inventory Takeoff'!J341="","",'Inventory Takeoff'!J341)</f>
        <v/>
      </c>
      <c r="F337" s="121" t="s">
        <v>1053</v>
      </c>
      <c r="G337" s="121" t="str">
        <f>'Inventory Takeoff'!C341</f>
        <v>Not Used</v>
      </c>
    </row>
    <row r="338" spans="1:7">
      <c r="A338" s="121">
        <f>'Inventory Takeoff'!B342</f>
        <v>337</v>
      </c>
      <c r="B338" s="121">
        <f>'Inventory Takeoff'!H342</f>
        <v>0</v>
      </c>
      <c r="C338" s="121" t="s">
        <v>109</v>
      </c>
      <c r="D338" s="121" t="s">
        <v>1054</v>
      </c>
      <c r="E338" s="271" t="str">
        <f>IF('Inventory Takeoff'!J342="","",'Inventory Takeoff'!J342)</f>
        <v/>
      </c>
      <c r="F338" s="121" t="s">
        <v>1053</v>
      </c>
      <c r="G338" s="121" t="str">
        <f>'Inventory Takeoff'!C342</f>
        <v>Not Used</v>
      </c>
    </row>
    <row r="339" spans="1:7">
      <c r="A339" s="121">
        <f>'Inventory Takeoff'!B343</f>
        <v>338</v>
      </c>
      <c r="B339" s="121">
        <f>'Inventory Takeoff'!H343</f>
        <v>0</v>
      </c>
      <c r="C339" s="121" t="s">
        <v>109</v>
      </c>
      <c r="D339" s="121" t="s">
        <v>1054</v>
      </c>
      <c r="E339" s="271" t="str">
        <f>IF('Inventory Takeoff'!J343="","",'Inventory Takeoff'!J343)</f>
        <v/>
      </c>
      <c r="F339" s="121" t="s">
        <v>1053</v>
      </c>
      <c r="G339" s="121" t="str">
        <f>'Inventory Takeoff'!C343</f>
        <v>Not Used</v>
      </c>
    </row>
    <row r="340" spans="1:7">
      <c r="A340" s="121">
        <f>'Inventory Takeoff'!B344</f>
        <v>339</v>
      </c>
      <c r="B340" s="121">
        <f>'Inventory Takeoff'!H344</f>
        <v>0</v>
      </c>
      <c r="C340" s="121" t="s">
        <v>109</v>
      </c>
      <c r="D340" s="121" t="s">
        <v>1054</v>
      </c>
      <c r="E340" s="271" t="str">
        <f>IF('Inventory Takeoff'!J344="","",'Inventory Takeoff'!J344)</f>
        <v/>
      </c>
      <c r="F340" s="121" t="s">
        <v>1053</v>
      </c>
      <c r="G340" s="121" t="str">
        <f>'Inventory Takeoff'!C344</f>
        <v>Not Used</v>
      </c>
    </row>
    <row r="341" spans="1:7">
      <c r="A341" s="121">
        <f>'Inventory Takeoff'!B345</f>
        <v>340</v>
      </c>
      <c r="B341" s="121">
        <f>'Inventory Takeoff'!H345</f>
        <v>0</v>
      </c>
      <c r="C341" s="121" t="s">
        <v>109</v>
      </c>
      <c r="D341" s="121" t="s">
        <v>1054</v>
      </c>
      <c r="E341" s="271" t="str">
        <f>IF('Inventory Takeoff'!J345="","",'Inventory Takeoff'!J345)</f>
        <v/>
      </c>
      <c r="F341" s="121" t="s">
        <v>1053</v>
      </c>
      <c r="G341" s="121" t="str">
        <f>'Inventory Takeoff'!C345</f>
        <v>Not Used</v>
      </c>
    </row>
    <row r="342" spans="1:7">
      <c r="A342" s="121">
        <f>'Inventory Takeoff'!B346</f>
        <v>341</v>
      </c>
      <c r="B342" s="121">
        <f>'Inventory Takeoff'!H346</f>
        <v>0</v>
      </c>
      <c r="C342" s="121" t="s">
        <v>109</v>
      </c>
      <c r="D342" s="121" t="s">
        <v>1054</v>
      </c>
      <c r="E342" s="271" t="str">
        <f>IF('Inventory Takeoff'!J346="","",'Inventory Takeoff'!J346)</f>
        <v/>
      </c>
      <c r="F342" s="121" t="s">
        <v>1053</v>
      </c>
      <c r="G342" s="121" t="str">
        <f>'Inventory Takeoff'!C346</f>
        <v>Not Used</v>
      </c>
    </row>
    <row r="343" spans="1:7">
      <c r="A343" s="121">
        <f>'Inventory Takeoff'!B347</f>
        <v>342</v>
      </c>
      <c r="B343" s="121">
        <f>'Inventory Takeoff'!H347</f>
        <v>0</v>
      </c>
      <c r="C343" s="121" t="s">
        <v>109</v>
      </c>
      <c r="D343" s="121" t="s">
        <v>1054</v>
      </c>
      <c r="E343" s="271" t="str">
        <f>IF('Inventory Takeoff'!J347="","",'Inventory Takeoff'!J347)</f>
        <v/>
      </c>
      <c r="F343" s="121" t="s">
        <v>1053</v>
      </c>
      <c r="G343" s="121" t="str">
        <f>'Inventory Takeoff'!C347</f>
        <v>Not Used</v>
      </c>
    </row>
    <row r="344" spans="1:7">
      <c r="A344" s="121">
        <f>'Inventory Takeoff'!B348</f>
        <v>343</v>
      </c>
      <c r="B344" s="121">
        <f>'Inventory Takeoff'!H348</f>
        <v>0</v>
      </c>
      <c r="C344" s="121" t="s">
        <v>109</v>
      </c>
      <c r="D344" s="121" t="s">
        <v>1054</v>
      </c>
      <c r="E344" s="271" t="str">
        <f>IF('Inventory Takeoff'!J348="","",'Inventory Takeoff'!J348)</f>
        <v/>
      </c>
      <c r="F344" s="121" t="s">
        <v>1053</v>
      </c>
      <c r="G344" s="121" t="str">
        <f>'Inventory Takeoff'!C348</f>
        <v>Not Used</v>
      </c>
    </row>
    <row r="345" spans="1:7">
      <c r="A345" s="121">
        <f>'Inventory Takeoff'!B349</f>
        <v>344</v>
      </c>
      <c r="B345" s="121">
        <f>'Inventory Takeoff'!H349</f>
        <v>0</v>
      </c>
      <c r="C345" s="121" t="s">
        <v>109</v>
      </c>
      <c r="D345" s="121" t="s">
        <v>1054</v>
      </c>
      <c r="E345" s="271" t="str">
        <f>IF('Inventory Takeoff'!J349="","",'Inventory Takeoff'!J349)</f>
        <v/>
      </c>
      <c r="F345" s="121" t="s">
        <v>1053</v>
      </c>
      <c r="G345" s="121" t="str">
        <f>'Inventory Takeoff'!C349</f>
        <v>Not Used</v>
      </c>
    </row>
    <row r="346" spans="1:7">
      <c r="A346" s="121">
        <f>'Inventory Takeoff'!B350</f>
        <v>345</v>
      </c>
      <c r="B346" s="121">
        <f>'Inventory Takeoff'!H350</f>
        <v>0</v>
      </c>
      <c r="C346" s="121" t="s">
        <v>109</v>
      </c>
      <c r="D346" s="121" t="s">
        <v>1054</v>
      </c>
      <c r="E346" s="271" t="str">
        <f>IF('Inventory Takeoff'!J350="","",'Inventory Takeoff'!J350)</f>
        <v/>
      </c>
      <c r="F346" s="121" t="s">
        <v>1053</v>
      </c>
      <c r="G346" s="121" t="str">
        <f>'Inventory Takeoff'!C350</f>
        <v>Not Used</v>
      </c>
    </row>
    <row r="347" spans="1:7">
      <c r="A347" s="121">
        <f>'Inventory Takeoff'!B351</f>
        <v>346</v>
      </c>
      <c r="B347" s="121">
        <f>'Inventory Takeoff'!H351</f>
        <v>0</v>
      </c>
      <c r="C347" s="121" t="s">
        <v>109</v>
      </c>
      <c r="D347" s="121" t="s">
        <v>1054</v>
      </c>
      <c r="E347" s="271" t="str">
        <f>IF('Inventory Takeoff'!J351="","",'Inventory Takeoff'!J351)</f>
        <v/>
      </c>
      <c r="F347" s="121" t="s">
        <v>1053</v>
      </c>
      <c r="G347" s="121" t="str">
        <f>'Inventory Takeoff'!C351</f>
        <v>Not Used</v>
      </c>
    </row>
    <row r="348" spans="1:7">
      <c r="A348" s="121">
        <f>'Inventory Takeoff'!B352</f>
        <v>347</v>
      </c>
      <c r="B348" s="121">
        <f>'Inventory Takeoff'!H352</f>
        <v>0</v>
      </c>
      <c r="C348" s="121" t="s">
        <v>109</v>
      </c>
      <c r="D348" s="121" t="s">
        <v>1054</v>
      </c>
      <c r="E348" s="271" t="str">
        <f>IF('Inventory Takeoff'!J352="","",'Inventory Takeoff'!J352)</f>
        <v/>
      </c>
      <c r="F348" s="121" t="s">
        <v>1053</v>
      </c>
      <c r="G348" s="121" t="str">
        <f>'Inventory Takeoff'!C352</f>
        <v>Not Used</v>
      </c>
    </row>
    <row r="349" spans="1:7">
      <c r="A349" s="121">
        <f>'Inventory Takeoff'!B353</f>
        <v>348</v>
      </c>
      <c r="B349" s="121">
        <f>'Inventory Takeoff'!H353</f>
        <v>0</v>
      </c>
      <c r="C349" s="121" t="s">
        <v>109</v>
      </c>
      <c r="D349" s="121" t="s">
        <v>1054</v>
      </c>
      <c r="E349" s="271" t="str">
        <f>IF('Inventory Takeoff'!J353="","",'Inventory Takeoff'!J353)</f>
        <v/>
      </c>
      <c r="F349" s="121" t="s">
        <v>1053</v>
      </c>
      <c r="G349" s="121" t="str">
        <f>'Inventory Takeoff'!C353</f>
        <v>Not Used</v>
      </c>
    </row>
    <row r="350" spans="1:7">
      <c r="A350" s="121">
        <f>'Inventory Takeoff'!B354</f>
        <v>349</v>
      </c>
      <c r="B350" s="121">
        <f>'Inventory Takeoff'!H354</f>
        <v>0</v>
      </c>
      <c r="C350" s="121" t="s">
        <v>109</v>
      </c>
      <c r="D350" s="121" t="s">
        <v>1054</v>
      </c>
      <c r="E350" s="271" t="str">
        <f>IF('Inventory Takeoff'!J354="","",'Inventory Takeoff'!J354)</f>
        <v/>
      </c>
      <c r="F350" s="121" t="s">
        <v>1053</v>
      </c>
      <c r="G350" s="121" t="str">
        <f>'Inventory Takeoff'!C354</f>
        <v>Not Used</v>
      </c>
    </row>
    <row r="351" spans="1:7">
      <c r="A351" s="121">
        <f>'Inventory Takeoff'!B355</f>
        <v>350</v>
      </c>
      <c r="B351" s="121">
        <f>'Inventory Takeoff'!H355</f>
        <v>4.26</v>
      </c>
      <c r="C351" s="121" t="s">
        <v>109</v>
      </c>
      <c r="D351" s="121" t="s">
        <v>1052</v>
      </c>
      <c r="E351" s="271">
        <f>IF('Inventory Takeoff'!J355="","",'Inventory Takeoff'!J355)</f>
        <v>44628</v>
      </c>
      <c r="F351" s="121" t="s">
        <v>1053</v>
      </c>
      <c r="G351" s="121" t="str">
        <f>'Inventory Takeoff'!C355</f>
        <v>Angle SS 1x1 x  1/8</v>
      </c>
    </row>
    <row r="352" spans="1:7">
      <c r="A352" s="121">
        <f>'Inventory Takeoff'!B356</f>
        <v>351</v>
      </c>
      <c r="B352" s="121">
        <f>'Inventory Takeoff'!H356</f>
        <v>6.55</v>
      </c>
      <c r="C352" s="121" t="s">
        <v>109</v>
      </c>
      <c r="D352" s="121" t="s">
        <v>1052</v>
      </c>
      <c r="E352" s="271">
        <f>IF('Inventory Takeoff'!J356="","",'Inventory Takeoff'!J356)</f>
        <v>44628</v>
      </c>
      <c r="F352" s="121" t="s">
        <v>1053</v>
      </c>
      <c r="G352" s="121" t="str">
        <f>'Inventory Takeoff'!C356</f>
        <v>Angle SS 1.5x1.5 x  1/8</v>
      </c>
    </row>
    <row r="353" spans="1:7">
      <c r="A353" s="121">
        <f>'Inventory Takeoff'!B357</f>
        <v>352</v>
      </c>
      <c r="B353" s="121">
        <f>'Inventory Takeoff'!H357</f>
        <v>9.59</v>
      </c>
      <c r="C353" s="121" t="s">
        <v>109</v>
      </c>
      <c r="D353" s="121" t="s">
        <v>1052</v>
      </c>
      <c r="E353" s="271">
        <f>IF('Inventory Takeoff'!J357="","",'Inventory Takeoff'!J357)</f>
        <v>44628</v>
      </c>
      <c r="F353" s="121" t="s">
        <v>1053</v>
      </c>
      <c r="G353" s="121" t="str">
        <f>'Inventory Takeoff'!C357</f>
        <v>Angle SS 1.5x1.5 x 3/16</v>
      </c>
    </row>
    <row r="354" spans="1:7">
      <c r="A354" s="121">
        <f>'Inventory Takeoff'!B358</f>
        <v>353</v>
      </c>
      <c r="B354" s="121">
        <f>'Inventory Takeoff'!H358</f>
        <v>7.48</v>
      </c>
      <c r="C354" s="121" t="s">
        <v>109</v>
      </c>
      <c r="D354" s="121" t="s">
        <v>1052</v>
      </c>
      <c r="E354" s="271">
        <f>IF('Inventory Takeoff'!J358="","",'Inventory Takeoff'!J358)</f>
        <v>44628</v>
      </c>
      <c r="F354" s="121" t="s">
        <v>1053</v>
      </c>
      <c r="G354" s="121" t="str">
        <f>'Inventory Takeoff'!C358</f>
        <v>Angle SS 2x2 x 1/8</v>
      </c>
    </row>
    <row r="355" spans="1:7">
      <c r="A355" s="121">
        <f>'Inventory Takeoff'!B359</f>
        <v>354</v>
      </c>
      <c r="B355" s="121">
        <f>'Inventory Takeoff'!H359</f>
        <v>12.14</v>
      </c>
      <c r="C355" s="121" t="s">
        <v>109</v>
      </c>
      <c r="D355" s="121" t="s">
        <v>1052</v>
      </c>
      <c r="E355" s="271">
        <f>IF('Inventory Takeoff'!J359="","",'Inventory Takeoff'!J359)</f>
        <v>44628</v>
      </c>
      <c r="F355" s="121" t="s">
        <v>1053</v>
      </c>
      <c r="G355" s="121" t="str">
        <f>'Inventory Takeoff'!C359</f>
        <v>Angle SS 2x2 x 3/16</v>
      </c>
    </row>
    <row r="356" spans="1:7">
      <c r="A356" s="121">
        <f>'Inventory Takeoff'!B360</f>
        <v>355</v>
      </c>
      <c r="B356" s="121">
        <f>'Inventory Takeoff'!H360</f>
        <v>16.990000000000002</v>
      </c>
      <c r="C356" s="121" t="s">
        <v>109</v>
      </c>
      <c r="D356" s="121" t="s">
        <v>1052</v>
      </c>
      <c r="E356" s="271">
        <f>IF('Inventory Takeoff'!J360="","",'Inventory Takeoff'!J360)</f>
        <v>44628</v>
      </c>
      <c r="F356" s="121" t="s">
        <v>1053</v>
      </c>
      <c r="G356" s="121" t="str">
        <f>'Inventory Takeoff'!C360</f>
        <v>Angle SS 2x2 x 1/4</v>
      </c>
    </row>
    <row r="357" spans="1:7">
      <c r="A357" s="121">
        <f>'Inventory Takeoff'!B361</f>
        <v>356</v>
      </c>
      <c r="B357" s="121">
        <f>'Inventory Takeoff'!H361</f>
        <v>19.75</v>
      </c>
      <c r="C357" s="121" t="s">
        <v>109</v>
      </c>
      <c r="D357" s="121" t="s">
        <v>1052</v>
      </c>
      <c r="E357" s="271">
        <f>IF('Inventory Takeoff'!J361="","",'Inventory Takeoff'!J361)</f>
        <v>44628</v>
      </c>
      <c r="F357" s="121" t="s">
        <v>1053</v>
      </c>
      <c r="G357" s="121" t="str">
        <f>'Inventory Takeoff'!C361</f>
        <v>Angle SS 3x3 x 3/16</v>
      </c>
    </row>
    <row r="358" spans="1:7">
      <c r="A358" s="121">
        <f>'Inventory Takeoff'!B362</f>
        <v>357</v>
      </c>
      <c r="B358" s="121">
        <f>'Inventory Takeoff'!H362</f>
        <v>26.1</v>
      </c>
      <c r="C358" s="121" t="s">
        <v>109</v>
      </c>
      <c r="D358" s="121" t="s">
        <v>1052</v>
      </c>
      <c r="E358" s="271">
        <f>IF('Inventory Takeoff'!J362="","",'Inventory Takeoff'!J362)</f>
        <v>44628</v>
      </c>
      <c r="F358" s="121" t="s">
        <v>1053</v>
      </c>
      <c r="G358" s="121" t="str">
        <f>'Inventory Takeoff'!C362</f>
        <v>Angle SS 3x3 x 1/4</v>
      </c>
    </row>
    <row r="359" spans="1:7">
      <c r="A359" s="121">
        <f>'Inventory Takeoff'!B363</f>
        <v>358</v>
      </c>
      <c r="B359" s="121">
        <f>'Inventory Takeoff'!H363</f>
        <v>35.14</v>
      </c>
      <c r="C359" s="121" t="s">
        <v>109</v>
      </c>
      <c r="D359" s="121" t="s">
        <v>1052</v>
      </c>
      <c r="E359" s="271">
        <f>IF('Inventory Takeoff'!J363="","",'Inventory Takeoff'!J363)</f>
        <v>44628</v>
      </c>
      <c r="F359" s="121" t="s">
        <v>1053</v>
      </c>
      <c r="G359" s="121" t="str">
        <f>'Inventory Takeoff'!C363</f>
        <v>Angle SS 4x4 x 1/4</v>
      </c>
    </row>
    <row r="360" spans="1:7">
      <c r="A360" s="121">
        <f>'Inventory Takeoff'!B364</f>
        <v>359</v>
      </c>
      <c r="B360" s="121">
        <f>'Inventory Takeoff'!H364</f>
        <v>79.34</v>
      </c>
      <c r="C360" s="121" t="s">
        <v>109</v>
      </c>
      <c r="D360" s="121" t="s">
        <v>1052</v>
      </c>
      <c r="E360" s="271">
        <f>IF('Inventory Takeoff'!J364="","",'Inventory Takeoff'!J364)</f>
        <v>44628</v>
      </c>
      <c r="F360" s="121" t="s">
        <v>1053</v>
      </c>
      <c r="G360" s="121" t="str">
        <f>'Inventory Takeoff'!C364</f>
        <v>Angle SS 6x6 x 3/8</v>
      </c>
    </row>
    <row r="361" spans="1:7">
      <c r="A361" s="121">
        <f>'Inventory Takeoff'!B365</f>
        <v>360</v>
      </c>
      <c r="B361" s="121">
        <f>'Inventory Takeoff'!H365</f>
        <v>1.37</v>
      </c>
      <c r="C361" s="121" t="s">
        <v>109</v>
      </c>
      <c r="D361" s="121" t="s">
        <v>1052</v>
      </c>
      <c r="E361" s="271">
        <f>IF('Inventory Takeoff'!J365="","",'Inventory Takeoff'!J365)</f>
        <v>44629</v>
      </c>
      <c r="F361" s="121" t="s">
        <v>1053</v>
      </c>
      <c r="G361" s="121" t="str">
        <f>'Inventory Takeoff'!C365</f>
        <v>Angle Alum 1x1 x  1/8</v>
      </c>
    </row>
    <row r="362" spans="1:7">
      <c r="A362" s="121">
        <f>'Inventory Takeoff'!B366</f>
        <v>361</v>
      </c>
      <c r="B362" s="121">
        <f>'Inventory Takeoff'!H366</f>
        <v>2.0799999999999996</v>
      </c>
      <c r="C362" s="121" t="s">
        <v>109</v>
      </c>
      <c r="D362" s="121" t="s">
        <v>1052</v>
      </c>
      <c r="E362" s="271">
        <f>IF('Inventory Takeoff'!J366="","",'Inventory Takeoff'!J366)</f>
        <v>44629</v>
      </c>
      <c r="F362" s="121" t="s">
        <v>1053</v>
      </c>
      <c r="G362" s="121" t="str">
        <f>'Inventory Takeoff'!C366</f>
        <v>Angle Alum 1.5x1.5 x  1/8</v>
      </c>
    </row>
    <row r="363" spans="1:7">
      <c r="A363" s="121">
        <f>'Inventory Takeoff'!B367</f>
        <v>362</v>
      </c>
      <c r="B363" s="121">
        <f>'Inventory Takeoff'!H367</f>
        <v>3.03</v>
      </c>
      <c r="C363" s="121" t="s">
        <v>109</v>
      </c>
      <c r="D363" s="121" t="s">
        <v>1052</v>
      </c>
      <c r="E363" s="271">
        <f>IF('Inventory Takeoff'!J367="","",'Inventory Takeoff'!J367)</f>
        <v>44629</v>
      </c>
      <c r="F363" s="121" t="s">
        <v>1053</v>
      </c>
      <c r="G363" s="121" t="str">
        <f>'Inventory Takeoff'!C367</f>
        <v>Angle Alum 1.5x1.5 x 3/16</v>
      </c>
    </row>
    <row r="364" spans="1:7">
      <c r="A364" s="121">
        <f>'Inventory Takeoff'!B368</f>
        <v>363</v>
      </c>
      <c r="B364" s="121">
        <f>'Inventory Takeoff'!H368</f>
        <v>2.78</v>
      </c>
      <c r="C364" s="121" t="s">
        <v>109</v>
      </c>
      <c r="D364" s="121" t="s">
        <v>1052</v>
      </c>
      <c r="E364" s="271">
        <f>IF('Inventory Takeoff'!J368="","",'Inventory Takeoff'!J368)</f>
        <v>44629</v>
      </c>
      <c r="F364" s="121" t="s">
        <v>1053</v>
      </c>
      <c r="G364" s="121" t="str">
        <f>'Inventory Takeoff'!C368</f>
        <v>Angle Alum 2x2 x 1/8</v>
      </c>
    </row>
    <row r="365" spans="1:7">
      <c r="A365" s="121">
        <f>'Inventory Takeoff'!B369</f>
        <v>364</v>
      </c>
      <c r="B365" s="121">
        <f>'Inventory Takeoff'!H369</f>
        <v>4.1499999999999995</v>
      </c>
      <c r="C365" s="121" t="s">
        <v>109</v>
      </c>
      <c r="D365" s="121" t="s">
        <v>1052</v>
      </c>
      <c r="E365" s="271">
        <f>IF('Inventory Takeoff'!J369="","",'Inventory Takeoff'!J369)</f>
        <v>44629</v>
      </c>
      <c r="F365" s="121" t="s">
        <v>1053</v>
      </c>
      <c r="G365" s="121" t="str">
        <f>'Inventory Takeoff'!C369</f>
        <v>Angle Alum 2x2 x 3/16</v>
      </c>
    </row>
    <row r="366" spans="1:7">
      <c r="A366" s="121">
        <f>'Inventory Takeoff'!B370</f>
        <v>365</v>
      </c>
      <c r="B366" s="121">
        <f>'Inventory Takeoff'!H370</f>
        <v>5.42</v>
      </c>
      <c r="C366" s="121" t="s">
        <v>109</v>
      </c>
      <c r="D366" s="121" t="s">
        <v>1052</v>
      </c>
      <c r="E366" s="271">
        <f>IF('Inventory Takeoff'!J370="","",'Inventory Takeoff'!J370)</f>
        <v>44629</v>
      </c>
      <c r="F366" s="121" t="s">
        <v>1053</v>
      </c>
      <c r="G366" s="121" t="str">
        <f>'Inventory Takeoff'!C370</f>
        <v>Angle Alum 2x2 x 1/4</v>
      </c>
    </row>
    <row r="367" spans="1:7">
      <c r="A367" s="121">
        <f>'Inventory Takeoff'!B371</f>
        <v>366</v>
      </c>
      <c r="B367" s="121">
        <f>'Inventory Takeoff'!H371</f>
        <v>6.12</v>
      </c>
      <c r="C367" s="121" t="s">
        <v>109</v>
      </c>
      <c r="D367" s="121" t="s">
        <v>1052</v>
      </c>
      <c r="E367" s="271">
        <f>IF('Inventory Takeoff'!J371="","",'Inventory Takeoff'!J371)</f>
        <v>44629</v>
      </c>
      <c r="F367" s="121" t="s">
        <v>1053</v>
      </c>
      <c r="G367" s="121" t="str">
        <f>'Inventory Takeoff'!C371</f>
        <v>Angle Alum 3x3 x 3/16</v>
      </c>
    </row>
    <row r="368" spans="1:7">
      <c r="A368" s="121">
        <f>'Inventory Takeoff'!B372</f>
        <v>367</v>
      </c>
      <c r="B368" s="121">
        <f>'Inventory Takeoff'!H372</f>
        <v>8.1999999999999993</v>
      </c>
      <c r="C368" s="121" t="s">
        <v>109</v>
      </c>
      <c r="D368" s="121" t="s">
        <v>1052</v>
      </c>
      <c r="E368" s="271">
        <f>IF('Inventory Takeoff'!J372="","",'Inventory Takeoff'!J372)</f>
        <v>44629</v>
      </c>
      <c r="F368" s="121" t="s">
        <v>1053</v>
      </c>
      <c r="G368" s="121" t="str">
        <f>'Inventory Takeoff'!C372</f>
        <v>Angle Alum 3x3 x 1/4</v>
      </c>
    </row>
    <row r="369" spans="1:7">
      <c r="A369" s="121">
        <f>'Inventory Takeoff'!B373</f>
        <v>368</v>
      </c>
      <c r="B369" s="121">
        <f>'Inventory Takeoff'!H373</f>
        <v>11.129999999999999</v>
      </c>
      <c r="C369" s="121" t="s">
        <v>109</v>
      </c>
      <c r="D369" s="121" t="s">
        <v>1052</v>
      </c>
      <c r="E369" s="271">
        <f>IF('Inventory Takeoff'!J373="","",'Inventory Takeoff'!J373)</f>
        <v>44629</v>
      </c>
      <c r="F369" s="121" t="s">
        <v>1053</v>
      </c>
      <c r="G369" s="121" t="str">
        <f>'Inventory Takeoff'!C373</f>
        <v>Angle Alum 4x4 x 1/4</v>
      </c>
    </row>
    <row r="370" spans="1:7">
      <c r="A370" s="121">
        <f>'Inventory Takeoff'!B374</f>
        <v>369</v>
      </c>
      <c r="B370" s="121">
        <f>'Inventory Takeoff'!H374</f>
        <v>24.930000000000003</v>
      </c>
      <c r="C370" s="121" t="s">
        <v>109</v>
      </c>
      <c r="D370" s="121" t="s">
        <v>1052</v>
      </c>
      <c r="E370" s="271">
        <f>IF('Inventory Takeoff'!J374="","",'Inventory Takeoff'!J374)</f>
        <v>44629</v>
      </c>
      <c r="F370" s="121" t="s">
        <v>1053</v>
      </c>
      <c r="G370" s="121" t="str">
        <f>'Inventory Takeoff'!C374</f>
        <v>Angle Alum 6x6 x 3/8</v>
      </c>
    </row>
    <row r="371" spans="1:7">
      <c r="A371" s="121">
        <f>'Inventory Takeoff'!B375</f>
        <v>370</v>
      </c>
      <c r="B371" s="121">
        <f>'Inventory Takeoff'!H375</f>
        <v>2.6999999999999997</v>
      </c>
      <c r="C371" s="121" t="s">
        <v>109</v>
      </c>
      <c r="D371" s="121" t="s">
        <v>1052</v>
      </c>
      <c r="E371" s="271">
        <f>IF('Inventory Takeoff'!J375="","",'Inventory Takeoff'!J375)</f>
        <v>44629</v>
      </c>
      <c r="F371" s="121" t="s">
        <v>1053</v>
      </c>
      <c r="G371" s="121" t="str">
        <f>'Inventory Takeoff'!C375</f>
        <v>Tube 1 x 1 x  1/8</v>
      </c>
    </row>
    <row r="372" spans="1:7">
      <c r="A372" s="121">
        <f>'Inventory Takeoff'!B376</f>
        <v>371</v>
      </c>
      <c r="B372" s="121">
        <f>'Inventory Takeoff'!H376</f>
        <v>4.1399999999999997</v>
      </c>
      <c r="C372" s="121" t="s">
        <v>109</v>
      </c>
      <c r="D372" s="121" t="s">
        <v>1052</v>
      </c>
      <c r="E372" s="271">
        <f>IF('Inventory Takeoff'!J376="","",'Inventory Takeoff'!J376)</f>
        <v>44629</v>
      </c>
      <c r="F372" s="121" t="s">
        <v>1053</v>
      </c>
      <c r="G372" s="121" t="str">
        <f>'Inventory Takeoff'!C376</f>
        <v>Tube 1.5 x 1.5 x  1/8</v>
      </c>
    </row>
    <row r="373" spans="1:7">
      <c r="A373" s="121">
        <f>'Inventory Takeoff'!B377</f>
        <v>372</v>
      </c>
      <c r="B373" s="121">
        <f>'Inventory Takeoff'!H377</f>
        <v>6.63</v>
      </c>
      <c r="C373" s="121" t="s">
        <v>109</v>
      </c>
      <c r="D373" s="121" t="s">
        <v>1052</v>
      </c>
      <c r="E373" s="271">
        <f>IF('Inventory Takeoff'!J377="","",'Inventory Takeoff'!J377)</f>
        <v>44629</v>
      </c>
      <c r="F373" s="121" t="s">
        <v>1053</v>
      </c>
      <c r="G373" s="121" t="str">
        <f>'Inventory Takeoff'!C377</f>
        <v>Tube 1.5 x 1.5 x 3/16</v>
      </c>
    </row>
    <row r="374" spans="1:7">
      <c r="A374" s="121">
        <f>'Inventory Takeoff'!B378</f>
        <v>373</v>
      </c>
      <c r="B374" s="121">
        <f>'Inventory Takeoff'!H378</f>
        <v>5.55</v>
      </c>
      <c r="C374" s="121" t="s">
        <v>109</v>
      </c>
      <c r="D374" s="121" t="s">
        <v>1052</v>
      </c>
      <c r="E374" s="271">
        <f>IF('Inventory Takeoff'!J378="","",'Inventory Takeoff'!J378)</f>
        <v>44629</v>
      </c>
      <c r="F374" s="121" t="s">
        <v>1053</v>
      </c>
      <c r="G374" s="121" t="str">
        <f>'Inventory Takeoff'!C378</f>
        <v>Tube 2 x 2 x 1/8</v>
      </c>
    </row>
    <row r="375" spans="1:7">
      <c r="A375" s="121">
        <f>'Inventory Takeoff'!B379</f>
        <v>374</v>
      </c>
      <c r="B375" s="121">
        <f>'Inventory Takeoff'!H379</f>
        <v>7.85</v>
      </c>
      <c r="C375" s="121" t="s">
        <v>109</v>
      </c>
      <c r="D375" s="121" t="s">
        <v>1052</v>
      </c>
      <c r="E375" s="271">
        <f>IF('Inventory Takeoff'!J379="","",'Inventory Takeoff'!J379)</f>
        <v>44629</v>
      </c>
      <c r="F375" s="121" t="s">
        <v>1053</v>
      </c>
      <c r="G375" s="121" t="str">
        <f>'Inventory Takeoff'!C379</f>
        <v>Tube 2 x 2 x 3/16</v>
      </c>
    </row>
    <row r="376" spans="1:7">
      <c r="A376" s="121">
        <f>'Inventory Takeoff'!B380</f>
        <v>375</v>
      </c>
      <c r="B376" s="121">
        <f>'Inventory Takeoff'!H380</f>
        <v>9.4600000000000009</v>
      </c>
      <c r="C376" s="121" t="s">
        <v>109</v>
      </c>
      <c r="D376" s="121" t="s">
        <v>1052</v>
      </c>
      <c r="E376" s="271">
        <f>IF('Inventory Takeoff'!J380="","",'Inventory Takeoff'!J380)</f>
        <v>44629</v>
      </c>
      <c r="F376" s="121" t="s">
        <v>1053</v>
      </c>
      <c r="G376" s="121" t="str">
        <f>'Inventory Takeoff'!C380</f>
        <v>Tube 2 x 2 x 1/4</v>
      </c>
    </row>
    <row r="377" spans="1:7">
      <c r="A377" s="121">
        <f>'Inventory Takeoff'!B381</f>
        <v>376</v>
      </c>
      <c r="B377" s="121">
        <f>'Inventory Takeoff'!H381</f>
        <v>12.02</v>
      </c>
      <c r="C377" s="121" t="s">
        <v>109</v>
      </c>
      <c r="D377" s="121" t="s">
        <v>1052</v>
      </c>
      <c r="E377" s="271">
        <f>IF('Inventory Takeoff'!J381="","",'Inventory Takeoff'!J381)</f>
        <v>44629</v>
      </c>
      <c r="F377" s="121" t="s">
        <v>1053</v>
      </c>
      <c r="G377" s="121" t="str">
        <f>'Inventory Takeoff'!C381</f>
        <v>Tube 3 x 3 x 3/16</v>
      </c>
    </row>
    <row r="378" spans="1:7">
      <c r="A378" s="121">
        <f>'Inventory Takeoff'!B382</f>
        <v>377</v>
      </c>
      <c r="B378" s="121">
        <f>'Inventory Takeoff'!H382</f>
        <v>15.4</v>
      </c>
      <c r="C378" s="121" t="s">
        <v>109</v>
      </c>
      <c r="D378" s="121" t="s">
        <v>1052</v>
      </c>
      <c r="E378" s="271">
        <f>IF('Inventory Takeoff'!J382="","",'Inventory Takeoff'!J382)</f>
        <v>44629</v>
      </c>
      <c r="F378" s="121" t="s">
        <v>1053</v>
      </c>
      <c r="G378" s="121" t="str">
        <f>'Inventory Takeoff'!C382</f>
        <v>Tube 3 x 3 x 1/4</v>
      </c>
    </row>
    <row r="379" spans="1:7">
      <c r="A379" s="121">
        <f>'Inventory Takeoff'!B383</f>
        <v>378</v>
      </c>
      <c r="B379" s="121">
        <f>'Inventory Takeoff'!H383</f>
        <v>16.48</v>
      </c>
      <c r="C379" s="121" t="s">
        <v>109</v>
      </c>
      <c r="D379" s="121" t="s">
        <v>1052</v>
      </c>
      <c r="E379" s="271">
        <f>IF('Inventory Takeoff'!J383="","",'Inventory Takeoff'!J383)</f>
        <v>44629</v>
      </c>
      <c r="F379" s="121" t="s">
        <v>1053</v>
      </c>
      <c r="G379" s="121" t="str">
        <f>'Inventory Takeoff'!C383</f>
        <v>Tube 4 x 4 x 3/16</v>
      </c>
    </row>
    <row r="380" spans="1:7">
      <c r="A380" s="121">
        <f>'Inventory Takeoff'!B384</f>
        <v>379</v>
      </c>
      <c r="B380" s="121">
        <f>'Inventory Takeoff'!H384</f>
        <v>21.360000000000003</v>
      </c>
      <c r="C380" s="121" t="s">
        <v>109</v>
      </c>
      <c r="D380" s="121" t="s">
        <v>1052</v>
      </c>
      <c r="E380" s="271">
        <f>IF('Inventory Takeoff'!J384="","",'Inventory Takeoff'!J384)</f>
        <v>44629</v>
      </c>
      <c r="F380" s="121" t="s">
        <v>1053</v>
      </c>
      <c r="G380" s="121" t="str">
        <f>'Inventory Takeoff'!C384</f>
        <v>Tube 4 x 4 x 1/4</v>
      </c>
    </row>
    <row r="381" spans="1:7">
      <c r="A381" s="121">
        <f>'Inventory Takeoff'!B385</f>
        <v>380</v>
      </c>
      <c r="B381" s="121">
        <f>'Inventory Takeoff'!H385</f>
        <v>13.879999999999999</v>
      </c>
      <c r="C381" s="121" t="s">
        <v>109</v>
      </c>
      <c r="D381" s="121" t="s">
        <v>1052</v>
      </c>
      <c r="E381" s="271">
        <f>IF('Inventory Takeoff'!J385="","",'Inventory Takeoff'!J385)</f>
        <v>44629</v>
      </c>
      <c r="F381" s="121" t="s">
        <v>1053</v>
      </c>
      <c r="G381" s="121" t="str">
        <f>'Inventory Takeoff'!C385</f>
        <v>Tube 4 x 2 x 3/16</v>
      </c>
    </row>
    <row r="382" spans="1:7">
      <c r="A382" s="121">
        <f>'Inventory Takeoff'!B386</f>
        <v>381</v>
      </c>
      <c r="B382" s="121">
        <f>'Inventory Takeoff'!H386</f>
        <v>46.559999999999995</v>
      </c>
      <c r="C382" s="121" t="s">
        <v>109</v>
      </c>
      <c r="D382" s="121" t="s">
        <v>1052</v>
      </c>
      <c r="E382" s="271">
        <f>IF('Inventory Takeoff'!J386="","",'Inventory Takeoff'!J386)</f>
        <v>44629</v>
      </c>
      <c r="F382" s="121" t="s">
        <v>1053</v>
      </c>
      <c r="G382" s="121" t="str">
        <f>'Inventory Takeoff'!C386</f>
        <v>Tube 6 x 6 x 3/8</v>
      </c>
    </row>
    <row r="383" spans="1:7">
      <c r="A383" s="121">
        <f>'Inventory Takeoff'!B387</f>
        <v>382</v>
      </c>
      <c r="B383" s="121">
        <f>'Inventory Takeoff'!H387</f>
        <v>10.45</v>
      </c>
      <c r="C383" s="121" t="s">
        <v>109</v>
      </c>
      <c r="D383" s="121" t="s">
        <v>1052</v>
      </c>
      <c r="E383" s="271">
        <f>IF('Inventory Takeoff'!J387="","",'Inventory Takeoff'!J387)</f>
        <v>44628</v>
      </c>
      <c r="F383" s="121" t="s">
        <v>1053</v>
      </c>
      <c r="G383" s="121" t="str">
        <f>'Inventory Takeoff'!C387</f>
        <v>Tube SS 1 x 1 x  1/8</v>
      </c>
    </row>
    <row r="384" spans="1:7">
      <c r="A384" s="121">
        <f>'Inventory Takeoff'!B388</f>
        <v>383</v>
      </c>
      <c r="B384" s="121">
        <f>'Inventory Takeoff'!H388</f>
        <v>16.05</v>
      </c>
      <c r="C384" s="121" t="s">
        <v>109</v>
      </c>
      <c r="D384" s="121" t="s">
        <v>1052</v>
      </c>
      <c r="E384" s="271">
        <f>IF('Inventory Takeoff'!J388="","",'Inventory Takeoff'!J388)</f>
        <v>44628</v>
      </c>
      <c r="F384" s="121" t="s">
        <v>1053</v>
      </c>
      <c r="G384" s="121" t="str">
        <f>'Inventory Takeoff'!C388</f>
        <v>Tube SS 1.5 x 1.5 x  1/8</v>
      </c>
    </row>
    <row r="385" spans="1:7">
      <c r="A385" s="121">
        <f>'Inventory Takeoff'!B389</f>
        <v>384</v>
      </c>
      <c r="B385" s="121">
        <f>'Inventory Takeoff'!H389</f>
        <v>25.470000000000002</v>
      </c>
      <c r="C385" s="121" t="s">
        <v>109</v>
      </c>
      <c r="D385" s="121" t="s">
        <v>1052</v>
      </c>
      <c r="E385" s="271">
        <f>IF('Inventory Takeoff'!J389="","",'Inventory Takeoff'!J389)</f>
        <v>44628</v>
      </c>
      <c r="F385" s="121" t="s">
        <v>1053</v>
      </c>
      <c r="G385" s="121" t="str">
        <f>'Inventory Takeoff'!C389</f>
        <v>Tube SS 1.5 x 1.5 x 3/16</v>
      </c>
    </row>
    <row r="386" spans="1:7">
      <c r="A386" s="121">
        <f>'Inventory Takeoff'!B390</f>
        <v>385</v>
      </c>
      <c r="B386" s="121">
        <f>'Inventory Takeoff'!H390</f>
        <v>21.950000000000003</v>
      </c>
      <c r="C386" s="121" t="s">
        <v>109</v>
      </c>
      <c r="D386" s="121" t="s">
        <v>1052</v>
      </c>
      <c r="E386" s="271">
        <f>IF('Inventory Takeoff'!J390="","",'Inventory Takeoff'!J390)</f>
        <v>44628</v>
      </c>
      <c r="F386" s="121" t="s">
        <v>1053</v>
      </c>
      <c r="G386" s="121" t="str">
        <f>'Inventory Takeoff'!C390</f>
        <v>Tube SS 2 x 2 x 1/8</v>
      </c>
    </row>
    <row r="387" spans="1:7">
      <c r="A387" s="121">
        <f>'Inventory Takeoff'!B391</f>
        <v>386</v>
      </c>
      <c r="B387" s="121">
        <f>'Inventory Takeoff'!H391</f>
        <v>30.85</v>
      </c>
      <c r="C387" s="121" t="s">
        <v>109</v>
      </c>
      <c r="D387" s="121" t="s">
        <v>1052</v>
      </c>
      <c r="E387" s="271">
        <f>IF('Inventory Takeoff'!J391="","",'Inventory Takeoff'!J391)</f>
        <v>44628</v>
      </c>
      <c r="F387" s="121" t="s">
        <v>1053</v>
      </c>
      <c r="G387" s="121" t="str">
        <f>'Inventory Takeoff'!C391</f>
        <v>Tube SS 2 x 2 x 3/16</v>
      </c>
    </row>
    <row r="388" spans="1:7">
      <c r="A388" s="121">
        <f>'Inventory Takeoff'!B392</f>
        <v>387</v>
      </c>
      <c r="B388" s="121">
        <f>'Inventory Takeoff'!H392</f>
        <v>38.629999999999995</v>
      </c>
      <c r="C388" s="121" t="s">
        <v>109</v>
      </c>
      <c r="D388" s="121" t="s">
        <v>1052</v>
      </c>
      <c r="E388" s="271">
        <f>IF('Inventory Takeoff'!J392="","",'Inventory Takeoff'!J392)</f>
        <v>44628</v>
      </c>
      <c r="F388" s="121" t="s">
        <v>1053</v>
      </c>
      <c r="G388" s="121" t="str">
        <f>'Inventory Takeoff'!C392</f>
        <v>Tube SS 2 x 2 x 1/4</v>
      </c>
    </row>
    <row r="389" spans="1:7">
      <c r="A389" s="121">
        <f>'Inventory Takeoff'!B393</f>
        <v>388</v>
      </c>
      <c r="B389" s="121">
        <f>'Inventory Takeoff'!H393</f>
        <v>49.04</v>
      </c>
      <c r="C389" s="121" t="s">
        <v>109</v>
      </c>
      <c r="D389" s="121" t="s">
        <v>1052</v>
      </c>
      <c r="E389" s="271">
        <f>IF('Inventory Takeoff'!J393="","",'Inventory Takeoff'!J393)</f>
        <v>44628</v>
      </c>
      <c r="F389" s="121" t="s">
        <v>1053</v>
      </c>
      <c r="G389" s="121" t="str">
        <f>'Inventory Takeoff'!C393</f>
        <v>Tube SS 3 x 3 x 3/16</v>
      </c>
    </row>
    <row r="390" spans="1:7">
      <c r="A390" s="121">
        <f>'Inventory Takeoff'!B394</f>
        <v>389</v>
      </c>
      <c r="B390" s="121">
        <f>'Inventory Takeoff'!H394</f>
        <v>62.32</v>
      </c>
      <c r="C390" s="121" t="s">
        <v>109</v>
      </c>
      <c r="D390" s="121" t="s">
        <v>1052</v>
      </c>
      <c r="E390" s="271">
        <f>IF('Inventory Takeoff'!J394="","",'Inventory Takeoff'!J394)</f>
        <v>44628</v>
      </c>
      <c r="F390" s="121" t="s">
        <v>1053</v>
      </c>
      <c r="G390" s="121" t="str">
        <f>'Inventory Takeoff'!C394</f>
        <v>Tube SS 3 x 3 x 1/4</v>
      </c>
    </row>
    <row r="391" spans="1:7">
      <c r="A391" s="121">
        <f>'Inventory Takeoff'!B395</f>
        <v>390</v>
      </c>
      <c r="B391" s="121">
        <f>'Inventory Takeoff'!H395</f>
        <v>66.63000000000001</v>
      </c>
      <c r="C391" s="121" t="s">
        <v>109</v>
      </c>
      <c r="D391" s="121" t="s">
        <v>1052</v>
      </c>
      <c r="E391" s="271">
        <f>IF('Inventory Takeoff'!J395="","",'Inventory Takeoff'!J395)</f>
        <v>44628</v>
      </c>
      <c r="F391" s="121" t="s">
        <v>1053</v>
      </c>
      <c r="G391" s="121" t="str">
        <f>'Inventory Takeoff'!C395</f>
        <v>Tube SS 4 x 4 x 3/16</v>
      </c>
    </row>
    <row r="392" spans="1:7">
      <c r="A392" s="121">
        <f>'Inventory Takeoff'!B396</f>
        <v>391</v>
      </c>
      <c r="B392" s="121">
        <f>'Inventory Takeoff'!H396</f>
        <v>86.37</v>
      </c>
      <c r="C392" s="121" t="s">
        <v>109</v>
      </c>
      <c r="D392" s="121" t="s">
        <v>1052</v>
      </c>
      <c r="E392" s="271">
        <f>IF('Inventory Takeoff'!J396="","",'Inventory Takeoff'!J396)</f>
        <v>44628</v>
      </c>
      <c r="F392" s="121" t="s">
        <v>1053</v>
      </c>
      <c r="G392" s="121" t="str">
        <f>'Inventory Takeoff'!C396</f>
        <v>Tube SS 4 x 4 x 1/4</v>
      </c>
    </row>
    <row r="393" spans="1:7">
      <c r="A393" s="121">
        <f>'Inventory Takeoff'!B397</f>
        <v>392</v>
      </c>
      <c r="B393" s="121">
        <f>'Inventory Takeoff'!H397</f>
        <v>49.79</v>
      </c>
      <c r="C393" s="121" t="s">
        <v>109</v>
      </c>
      <c r="D393" s="121" t="s">
        <v>1052</v>
      </c>
      <c r="E393" s="271">
        <f>IF('Inventory Takeoff'!J397="","",'Inventory Takeoff'!J397)</f>
        <v>44628</v>
      </c>
      <c r="F393" s="121" t="s">
        <v>1053</v>
      </c>
      <c r="G393" s="121" t="str">
        <f>'Inventory Takeoff'!C397</f>
        <v>Tube SS 4 x 2 x 3/16</v>
      </c>
    </row>
    <row r="394" spans="1:7">
      <c r="A394" s="121">
        <f>'Inventory Takeoff'!B398</f>
        <v>393</v>
      </c>
      <c r="B394" s="121">
        <f>'Inventory Takeoff'!H398</f>
        <v>194.37</v>
      </c>
      <c r="C394" s="121" t="s">
        <v>109</v>
      </c>
      <c r="D394" s="121" t="s">
        <v>1052</v>
      </c>
      <c r="E394" s="271">
        <f>IF('Inventory Takeoff'!J398="","",'Inventory Takeoff'!J398)</f>
        <v>44628</v>
      </c>
      <c r="F394" s="121" t="s">
        <v>1053</v>
      </c>
      <c r="G394" s="121" t="str">
        <f>'Inventory Takeoff'!C398</f>
        <v>Tube SS 6 x 6 x 3/8</v>
      </c>
    </row>
    <row r="395" spans="1:7">
      <c r="A395" s="121">
        <f>'Inventory Takeoff'!B399</f>
        <v>394</v>
      </c>
      <c r="B395" s="121">
        <f>'Inventory Takeoff'!H399</f>
        <v>2.5499999999999998</v>
      </c>
      <c r="C395" s="121" t="s">
        <v>109</v>
      </c>
      <c r="D395" s="121" t="s">
        <v>1052</v>
      </c>
      <c r="E395" s="271">
        <f>IF('Inventory Takeoff'!J399="","",'Inventory Takeoff'!J399)</f>
        <v>44629</v>
      </c>
      <c r="F395" s="121" t="s">
        <v>1053</v>
      </c>
      <c r="G395" s="121" t="str">
        <f>'Inventory Takeoff'!C399</f>
        <v>Tube Alum 1x1 x  1/8</v>
      </c>
    </row>
    <row r="396" spans="1:7">
      <c r="A396" s="121">
        <f>'Inventory Takeoff'!B400</f>
        <v>395</v>
      </c>
      <c r="B396" s="121">
        <f>'Inventory Takeoff'!H400</f>
        <v>4</v>
      </c>
      <c r="C396" s="121" t="s">
        <v>109</v>
      </c>
      <c r="D396" s="121" t="s">
        <v>1052</v>
      </c>
      <c r="E396" s="271">
        <f>IF('Inventory Takeoff'!J400="","",'Inventory Takeoff'!J400)</f>
        <v>44629</v>
      </c>
      <c r="F396" s="121" t="s">
        <v>1053</v>
      </c>
      <c r="G396" s="121" t="str">
        <f>'Inventory Takeoff'!C400</f>
        <v>Tube Alum 1.5x1.5 x  1/8</v>
      </c>
    </row>
    <row r="397" spans="1:7">
      <c r="A397" s="121">
        <f>'Inventory Takeoff'!B401</f>
        <v>396</v>
      </c>
      <c r="B397" s="121">
        <f>'Inventory Takeoff'!H401</f>
        <v>5.71</v>
      </c>
      <c r="C397" s="121" t="s">
        <v>109</v>
      </c>
      <c r="D397" s="121" t="s">
        <v>1052</v>
      </c>
      <c r="E397" s="271">
        <f>IF('Inventory Takeoff'!J401="","",'Inventory Takeoff'!J401)</f>
        <v>44629</v>
      </c>
      <c r="F397" s="121" t="s">
        <v>1053</v>
      </c>
      <c r="G397" s="121" t="str">
        <f>'Inventory Takeoff'!C401</f>
        <v>Tube Alum 1.5x1.5 x 3/16</v>
      </c>
    </row>
    <row r="398" spans="1:7">
      <c r="A398" s="121">
        <f>'Inventory Takeoff'!B402</f>
        <v>397</v>
      </c>
      <c r="B398" s="121">
        <f>'Inventory Takeoff'!H402</f>
        <v>5.45</v>
      </c>
      <c r="C398" s="121" t="s">
        <v>109</v>
      </c>
      <c r="D398" s="121" t="s">
        <v>1052</v>
      </c>
      <c r="E398" s="271">
        <f>IF('Inventory Takeoff'!J402="","",'Inventory Takeoff'!J402)</f>
        <v>44629</v>
      </c>
      <c r="F398" s="121" t="s">
        <v>1053</v>
      </c>
      <c r="G398" s="121" t="str">
        <f>'Inventory Takeoff'!C402</f>
        <v>Tube Alum 2x2 x 1/8</v>
      </c>
    </row>
    <row r="399" spans="1:7">
      <c r="A399" s="121">
        <f>'Inventory Takeoff'!B403</f>
        <v>398</v>
      </c>
      <c r="B399" s="121">
        <f>'Inventory Takeoff'!H403</f>
        <v>7.95</v>
      </c>
      <c r="C399" s="121" t="s">
        <v>109</v>
      </c>
      <c r="D399" s="121" t="s">
        <v>1052</v>
      </c>
      <c r="E399" s="271">
        <f>IF('Inventory Takeoff'!J403="","",'Inventory Takeoff'!J403)</f>
        <v>44629</v>
      </c>
      <c r="F399" s="121" t="s">
        <v>1053</v>
      </c>
      <c r="G399" s="121" t="str">
        <f>'Inventory Takeoff'!C403</f>
        <v>Tube Alum 2x2 x 3/16</v>
      </c>
    </row>
    <row r="400" spans="1:7">
      <c r="A400" s="121">
        <f>'Inventory Takeoff'!B404</f>
        <v>399</v>
      </c>
      <c r="B400" s="121">
        <f>'Inventory Takeoff'!H404</f>
        <v>10.17</v>
      </c>
      <c r="C400" s="121" t="s">
        <v>109</v>
      </c>
      <c r="D400" s="121" t="s">
        <v>1052</v>
      </c>
      <c r="E400" s="271">
        <f>IF('Inventory Takeoff'!J404="","",'Inventory Takeoff'!J404)</f>
        <v>44629</v>
      </c>
      <c r="F400" s="121" t="s">
        <v>1053</v>
      </c>
      <c r="G400" s="121" t="str">
        <f>'Inventory Takeoff'!C404</f>
        <v>Tube Alum 2x2 x 1/4</v>
      </c>
    </row>
    <row r="401" spans="1:7">
      <c r="A401" s="121">
        <f>'Inventory Takeoff'!B405</f>
        <v>400</v>
      </c>
      <c r="B401" s="121">
        <f>'Inventory Takeoff'!H405</f>
        <v>12.25</v>
      </c>
      <c r="C401" s="121" t="s">
        <v>109</v>
      </c>
      <c r="D401" s="121" t="s">
        <v>1052</v>
      </c>
      <c r="E401" s="271">
        <f>IF('Inventory Takeoff'!J405="","",'Inventory Takeoff'!J405)</f>
        <v>44629</v>
      </c>
      <c r="F401" s="121" t="s">
        <v>1053</v>
      </c>
      <c r="G401" s="121" t="str">
        <f>'Inventory Takeoff'!C405</f>
        <v>Tube Alum 3x3 x 3/16</v>
      </c>
    </row>
    <row r="402" spans="1:7">
      <c r="A402" s="121">
        <f>'Inventory Takeoff'!B406</f>
        <v>401</v>
      </c>
      <c r="B402" s="121">
        <f>'Inventory Takeoff'!H406</f>
        <v>15.98</v>
      </c>
      <c r="C402" s="121" t="s">
        <v>109</v>
      </c>
      <c r="D402" s="121" t="s">
        <v>1052</v>
      </c>
      <c r="E402" s="271">
        <f>IF('Inventory Takeoff'!J406="","",'Inventory Takeoff'!J406)</f>
        <v>44629</v>
      </c>
      <c r="F402" s="121" t="s">
        <v>1053</v>
      </c>
      <c r="G402" s="121" t="str">
        <f>'Inventory Takeoff'!C406</f>
        <v>Tube Alum 3x3 x 1/4</v>
      </c>
    </row>
    <row r="403" spans="1:7">
      <c r="A403" s="121">
        <f>'Inventory Takeoff'!B407</f>
        <v>402</v>
      </c>
      <c r="B403" s="121">
        <f>'Inventory Takeoff'!H407</f>
        <v>21.78</v>
      </c>
      <c r="C403" s="121" t="s">
        <v>109</v>
      </c>
      <c r="D403" s="121" t="s">
        <v>1052</v>
      </c>
      <c r="E403" s="271">
        <f>IF('Inventory Takeoff'!J407="","",'Inventory Takeoff'!J407)</f>
        <v>44629</v>
      </c>
      <c r="F403" s="121" t="s">
        <v>1053</v>
      </c>
      <c r="G403" s="121" t="str">
        <f>'Inventory Takeoff'!C407</f>
        <v>Tube Alum 4x4 x 1/4</v>
      </c>
    </row>
    <row r="404" spans="1:7">
      <c r="A404" s="121">
        <f>'Inventory Takeoff'!B408</f>
        <v>403</v>
      </c>
      <c r="B404" s="121">
        <f>'Inventory Takeoff'!H408</f>
        <v>25.39</v>
      </c>
      <c r="C404" s="121" t="s">
        <v>109</v>
      </c>
      <c r="D404" s="121" t="s">
        <v>1052</v>
      </c>
      <c r="E404" s="271">
        <f>IF('Inventory Takeoff'!J408="","",'Inventory Takeoff'!J408)</f>
        <v>44629</v>
      </c>
      <c r="F404" s="121" t="s">
        <v>1053</v>
      </c>
      <c r="G404" s="121" t="str">
        <f>'Inventory Takeoff'!C408</f>
        <v>Tube Alum 6x6 x 3/8</v>
      </c>
    </row>
    <row r="405" spans="1:7">
      <c r="A405" s="121">
        <f>'Inventory Takeoff'!B409</f>
        <v>404</v>
      </c>
      <c r="B405" s="121">
        <f>'Inventory Takeoff'!H409</f>
        <v>0</v>
      </c>
      <c r="C405" s="121" t="s">
        <v>109</v>
      </c>
      <c r="D405" s="121" t="s">
        <v>1054</v>
      </c>
      <c r="E405" s="271" t="str">
        <f>IF('Inventory Takeoff'!J409="","",'Inventory Takeoff'!J409)</f>
        <v/>
      </c>
      <c r="F405" s="121" t="s">
        <v>1053</v>
      </c>
      <c r="G405" s="121" t="str">
        <f>'Inventory Takeoff'!C409</f>
        <v>Not Used</v>
      </c>
    </row>
    <row r="406" spans="1:7">
      <c r="A406" s="121">
        <f>'Inventory Takeoff'!B410</f>
        <v>405</v>
      </c>
      <c r="B406" s="121">
        <f>'Inventory Takeoff'!H410</f>
        <v>0</v>
      </c>
      <c r="C406" s="121" t="s">
        <v>109</v>
      </c>
      <c r="D406" s="121" t="s">
        <v>1054</v>
      </c>
      <c r="E406" s="271" t="str">
        <f>IF('Inventory Takeoff'!J410="","",'Inventory Takeoff'!J410)</f>
        <v/>
      </c>
      <c r="F406" s="121" t="s">
        <v>1053</v>
      </c>
      <c r="G406" s="121" t="str">
        <f>'Inventory Takeoff'!C410</f>
        <v>Not Used</v>
      </c>
    </row>
    <row r="407" spans="1:7">
      <c r="A407" s="121">
        <f>'Inventory Takeoff'!B411</f>
        <v>406</v>
      </c>
      <c r="B407" s="121">
        <f>'Inventory Takeoff'!H411</f>
        <v>0</v>
      </c>
      <c r="C407" s="121" t="s">
        <v>109</v>
      </c>
      <c r="D407" s="121" t="s">
        <v>1054</v>
      </c>
      <c r="E407" s="271" t="str">
        <f>IF('Inventory Takeoff'!J411="","",'Inventory Takeoff'!J411)</f>
        <v/>
      </c>
      <c r="F407" s="121" t="s">
        <v>1053</v>
      </c>
      <c r="G407" s="121" t="str">
        <f>'Inventory Takeoff'!C411</f>
        <v>Not Used</v>
      </c>
    </row>
    <row r="408" spans="1:7">
      <c r="A408" s="121">
        <f>'Inventory Takeoff'!B412</f>
        <v>407</v>
      </c>
      <c r="B408" s="121">
        <f>'Inventory Takeoff'!H412</f>
        <v>0</v>
      </c>
      <c r="C408" s="121" t="s">
        <v>109</v>
      </c>
      <c r="D408" s="121" t="s">
        <v>1054</v>
      </c>
      <c r="E408" s="271" t="str">
        <f>IF('Inventory Takeoff'!J412="","",'Inventory Takeoff'!J412)</f>
        <v/>
      </c>
      <c r="F408" s="121" t="s">
        <v>1053</v>
      </c>
      <c r="G408" s="121" t="str">
        <f>'Inventory Takeoff'!C412</f>
        <v>Not Used</v>
      </c>
    </row>
    <row r="409" spans="1:7">
      <c r="A409" s="121">
        <f>'Inventory Takeoff'!B413</f>
        <v>408</v>
      </c>
      <c r="B409" s="121">
        <f>'Inventory Takeoff'!H413</f>
        <v>0</v>
      </c>
      <c r="C409" s="121" t="s">
        <v>109</v>
      </c>
      <c r="D409" s="121" t="s">
        <v>1054</v>
      </c>
      <c r="E409" s="271" t="str">
        <f>IF('Inventory Takeoff'!J413="","",'Inventory Takeoff'!J413)</f>
        <v/>
      </c>
      <c r="F409" s="121" t="s">
        <v>1053</v>
      </c>
      <c r="G409" s="121" t="str">
        <f>'Inventory Takeoff'!C413</f>
        <v>Not Used</v>
      </c>
    </row>
    <row r="410" spans="1:7">
      <c r="A410" s="121">
        <f>'Inventory Takeoff'!B414</f>
        <v>409</v>
      </c>
      <c r="B410" s="121">
        <f>'Inventory Takeoff'!H414</f>
        <v>0</v>
      </c>
      <c r="C410" s="121" t="s">
        <v>109</v>
      </c>
      <c r="D410" s="121" t="s">
        <v>1054</v>
      </c>
      <c r="E410" s="271" t="str">
        <f>IF('Inventory Takeoff'!J414="","",'Inventory Takeoff'!J414)</f>
        <v/>
      </c>
      <c r="F410" s="121" t="s">
        <v>1053</v>
      </c>
      <c r="G410" s="121" t="str">
        <f>'Inventory Takeoff'!C414</f>
        <v>Not Used</v>
      </c>
    </row>
    <row r="411" spans="1:7">
      <c r="A411" s="121">
        <f>'Inventory Takeoff'!B415</f>
        <v>410</v>
      </c>
      <c r="B411" s="121">
        <f>'Inventory Takeoff'!H415</f>
        <v>0</v>
      </c>
      <c r="C411" s="121" t="s">
        <v>109</v>
      </c>
      <c r="D411" s="121" t="s">
        <v>1054</v>
      </c>
      <c r="E411" s="271" t="str">
        <f>IF('Inventory Takeoff'!J415="","",'Inventory Takeoff'!J415)</f>
        <v/>
      </c>
      <c r="F411" s="121" t="s">
        <v>1053</v>
      </c>
      <c r="G411" s="121" t="str">
        <f>'Inventory Takeoff'!C415</f>
        <v>Not Used</v>
      </c>
    </row>
    <row r="412" spans="1:7">
      <c r="A412" s="121">
        <f>'Inventory Takeoff'!B416</f>
        <v>411</v>
      </c>
      <c r="B412" s="121">
        <f>'Inventory Takeoff'!H416</f>
        <v>0</v>
      </c>
      <c r="C412" s="121" t="s">
        <v>109</v>
      </c>
      <c r="D412" s="121" t="s">
        <v>1054</v>
      </c>
      <c r="E412" s="271" t="str">
        <f>IF('Inventory Takeoff'!J416="","",'Inventory Takeoff'!J416)</f>
        <v/>
      </c>
      <c r="F412" s="121" t="s">
        <v>1053</v>
      </c>
      <c r="G412" s="121" t="str">
        <f>'Inventory Takeoff'!C416</f>
        <v>Not Used</v>
      </c>
    </row>
    <row r="413" spans="1:7">
      <c r="A413" s="121">
        <f>'Inventory Takeoff'!B417</f>
        <v>412</v>
      </c>
      <c r="B413" s="121">
        <f>'Inventory Takeoff'!H417</f>
        <v>0</v>
      </c>
      <c r="C413" s="121" t="s">
        <v>109</v>
      </c>
      <c r="D413" s="121" t="s">
        <v>1054</v>
      </c>
      <c r="E413" s="271" t="str">
        <f>IF('Inventory Takeoff'!J417="","",'Inventory Takeoff'!J417)</f>
        <v/>
      </c>
      <c r="F413" s="121" t="s">
        <v>1053</v>
      </c>
      <c r="G413" s="121" t="str">
        <f>'Inventory Takeoff'!C417</f>
        <v>Not Used</v>
      </c>
    </row>
    <row r="414" spans="1:7">
      <c r="A414" s="121">
        <f>'Inventory Takeoff'!B418</f>
        <v>413</v>
      </c>
      <c r="B414" s="121">
        <f>'Inventory Takeoff'!H418</f>
        <v>0</v>
      </c>
      <c r="C414" s="121" t="s">
        <v>109</v>
      </c>
      <c r="D414" s="121" t="s">
        <v>1054</v>
      </c>
      <c r="E414" s="271" t="str">
        <f>IF('Inventory Takeoff'!J418="","",'Inventory Takeoff'!J418)</f>
        <v/>
      </c>
      <c r="F414" s="121" t="s">
        <v>1053</v>
      </c>
      <c r="G414" s="121" t="str">
        <f>'Inventory Takeoff'!C418</f>
        <v>Not Used</v>
      </c>
    </row>
    <row r="415" spans="1:7">
      <c r="A415" s="121">
        <f>'Inventory Takeoff'!B419</f>
        <v>414</v>
      </c>
      <c r="B415" s="121">
        <f>'Inventory Takeoff'!H419</f>
        <v>4.1099999999999994</v>
      </c>
      <c r="C415" s="121" t="s">
        <v>109</v>
      </c>
      <c r="D415" s="121" t="s">
        <v>1052</v>
      </c>
      <c r="E415" s="271">
        <f>IF('Inventory Takeoff'!J419="","",'Inventory Takeoff'!J419)</f>
        <v>46066</v>
      </c>
      <c r="F415" s="121" t="s">
        <v>1053</v>
      </c>
      <c r="G415" s="121" t="str">
        <f>'Inventory Takeoff'!C419</f>
        <v>4" Flex GKM</v>
      </c>
    </row>
    <row r="416" spans="1:7">
      <c r="A416" s="121">
        <f>'Inventory Takeoff'!B420</f>
        <v>415</v>
      </c>
      <c r="B416" s="121">
        <f>'Inventory Takeoff'!H420</f>
        <v>4.5999999999999996</v>
      </c>
      <c r="C416" s="121" t="s">
        <v>109</v>
      </c>
      <c r="D416" s="121" t="s">
        <v>1052</v>
      </c>
      <c r="E416" s="271">
        <f>IF('Inventory Takeoff'!J420="","",'Inventory Takeoff'!J420)</f>
        <v>44949</v>
      </c>
      <c r="F416" s="121" t="s">
        <v>1053</v>
      </c>
      <c r="G416" s="121" t="str">
        <f>'Inventory Takeoff'!C420</f>
        <v>5" Flex GKM</v>
      </c>
    </row>
    <row r="417" spans="1:7">
      <c r="A417" s="121">
        <f>'Inventory Takeoff'!B421</f>
        <v>416</v>
      </c>
      <c r="B417" s="121">
        <f>'Inventory Takeoff'!H421</f>
        <v>4.9799999999999995</v>
      </c>
      <c r="C417" s="121" t="s">
        <v>109</v>
      </c>
      <c r="D417" s="121" t="s">
        <v>1052</v>
      </c>
      <c r="E417" s="271">
        <f>IF('Inventory Takeoff'!J421="","",'Inventory Takeoff'!J421)</f>
        <v>46066</v>
      </c>
      <c r="F417" s="121" t="s">
        <v>1053</v>
      </c>
      <c r="G417" s="121" t="str">
        <f>'Inventory Takeoff'!C421</f>
        <v>6" Flex GKM</v>
      </c>
    </row>
    <row r="418" spans="1:7">
      <c r="A418" s="121">
        <f>'Inventory Takeoff'!B422</f>
        <v>417</v>
      </c>
      <c r="B418" s="121">
        <f>'Inventory Takeoff'!H422</f>
        <v>5.5699999999999994</v>
      </c>
      <c r="C418" s="121" t="s">
        <v>109</v>
      </c>
      <c r="D418" s="121" t="s">
        <v>1052</v>
      </c>
      <c r="E418" s="271">
        <f>IF('Inventory Takeoff'!J422="","",'Inventory Takeoff'!J422)</f>
        <v>46066</v>
      </c>
      <c r="F418" s="121" t="s">
        <v>1053</v>
      </c>
      <c r="G418" s="121" t="str">
        <f>'Inventory Takeoff'!C422</f>
        <v>7" Flex GKM</v>
      </c>
    </row>
    <row r="419" spans="1:7">
      <c r="A419" s="121">
        <f>'Inventory Takeoff'!B423</f>
        <v>418</v>
      </c>
      <c r="B419" s="121">
        <f>'Inventory Takeoff'!H423</f>
        <v>6.02</v>
      </c>
      <c r="C419" s="121" t="s">
        <v>109</v>
      </c>
      <c r="D419" s="121" t="s">
        <v>1052</v>
      </c>
      <c r="E419" s="271">
        <f>IF('Inventory Takeoff'!J423="","",'Inventory Takeoff'!J423)</f>
        <v>46066</v>
      </c>
      <c r="F419" s="121" t="s">
        <v>1053</v>
      </c>
      <c r="G419" s="121" t="str">
        <f>'Inventory Takeoff'!C423</f>
        <v>8" Flex GKM</v>
      </c>
    </row>
    <row r="420" spans="1:7">
      <c r="A420" s="121">
        <f>'Inventory Takeoff'!B424</f>
        <v>419</v>
      </c>
      <c r="B420" s="121">
        <f>'Inventory Takeoff'!H424</f>
        <v>6.77</v>
      </c>
      <c r="C420" s="121" t="s">
        <v>109</v>
      </c>
      <c r="D420" s="121" t="s">
        <v>1052</v>
      </c>
      <c r="E420" s="271">
        <f>IF('Inventory Takeoff'!J424="","",'Inventory Takeoff'!J424)</f>
        <v>46066</v>
      </c>
      <c r="F420" s="121" t="s">
        <v>1053</v>
      </c>
      <c r="G420" s="121" t="str">
        <f>'Inventory Takeoff'!C424</f>
        <v>9" Flex GKM</v>
      </c>
    </row>
    <row r="421" spans="1:7">
      <c r="A421" s="121">
        <f>'Inventory Takeoff'!B425</f>
        <v>420</v>
      </c>
      <c r="B421" s="121">
        <f>'Inventory Takeoff'!H425</f>
        <v>7.08</v>
      </c>
      <c r="C421" s="121" t="s">
        <v>109</v>
      </c>
      <c r="D421" s="121" t="s">
        <v>1052</v>
      </c>
      <c r="E421" s="271">
        <f>IF('Inventory Takeoff'!J425="","",'Inventory Takeoff'!J425)</f>
        <v>46066</v>
      </c>
      <c r="F421" s="121" t="s">
        <v>1053</v>
      </c>
      <c r="G421" s="121" t="str">
        <f>'Inventory Takeoff'!C425</f>
        <v>10" Flex GKM</v>
      </c>
    </row>
    <row r="422" spans="1:7">
      <c r="A422" s="121">
        <f>'Inventory Takeoff'!B426</f>
        <v>421</v>
      </c>
      <c r="B422" s="121">
        <f>'Inventory Takeoff'!H426</f>
        <v>8.27</v>
      </c>
      <c r="C422" s="121" t="s">
        <v>109</v>
      </c>
      <c r="D422" s="121" t="s">
        <v>1052</v>
      </c>
      <c r="E422" s="271">
        <f>IF('Inventory Takeoff'!J426="","",'Inventory Takeoff'!J426)</f>
        <v>46066</v>
      </c>
      <c r="F422" s="121" t="s">
        <v>1053</v>
      </c>
      <c r="G422" s="121" t="str">
        <f>'Inventory Takeoff'!C426</f>
        <v>12" Flex GKM</v>
      </c>
    </row>
    <row r="423" spans="1:7">
      <c r="A423" s="121">
        <f>'Inventory Takeoff'!B427</f>
        <v>422</v>
      </c>
      <c r="B423" s="121">
        <f>'Inventory Takeoff'!H427</f>
        <v>9.73</v>
      </c>
      <c r="C423" s="121" t="s">
        <v>109</v>
      </c>
      <c r="D423" s="121" t="s">
        <v>1052</v>
      </c>
      <c r="E423" s="271">
        <f>IF('Inventory Takeoff'!J427="","",'Inventory Takeoff'!J427)</f>
        <v>46066</v>
      </c>
      <c r="F423" s="121" t="s">
        <v>1053</v>
      </c>
      <c r="G423" s="121" t="str">
        <f>'Inventory Takeoff'!C427</f>
        <v>14" Flex GKM</v>
      </c>
    </row>
    <row r="424" spans="1:7">
      <c r="A424" s="121">
        <f>'Inventory Takeoff'!B428</f>
        <v>423</v>
      </c>
      <c r="B424" s="121">
        <f>'Inventory Takeoff'!H428</f>
        <v>11.32</v>
      </c>
      <c r="C424" s="121" t="s">
        <v>109</v>
      </c>
      <c r="D424" s="121" t="s">
        <v>1052</v>
      </c>
      <c r="E424" s="271">
        <f>IF('Inventory Takeoff'!J428="","",'Inventory Takeoff'!J428)</f>
        <v>46066</v>
      </c>
      <c r="F424" s="121" t="s">
        <v>1053</v>
      </c>
      <c r="G424" s="121" t="str">
        <f>'Inventory Takeoff'!C428</f>
        <v>16" Flex GKM</v>
      </c>
    </row>
    <row r="425" spans="1:7">
      <c r="A425" s="121">
        <f>'Inventory Takeoff'!B429</f>
        <v>424</v>
      </c>
      <c r="B425" s="121">
        <f>'Inventory Takeoff'!H429</f>
        <v>13.4</v>
      </c>
      <c r="C425" s="121" t="s">
        <v>109</v>
      </c>
      <c r="D425" s="121" t="s">
        <v>1052</v>
      </c>
      <c r="E425" s="271">
        <f>IF('Inventory Takeoff'!J429="","",'Inventory Takeoff'!J429)</f>
        <v>46066</v>
      </c>
      <c r="F425" s="121" t="s">
        <v>1053</v>
      </c>
      <c r="G425" s="121" t="str">
        <f>'Inventory Takeoff'!C429</f>
        <v>18" Flex GKM</v>
      </c>
    </row>
    <row r="426" spans="1:7">
      <c r="A426" s="121">
        <f>'Inventory Takeoff'!B430</f>
        <v>425</v>
      </c>
      <c r="B426" s="121">
        <f>'Inventory Takeoff'!H430</f>
        <v>5.3599999999999994</v>
      </c>
      <c r="C426" s="121" t="s">
        <v>109</v>
      </c>
      <c r="D426" s="121" t="s">
        <v>1052</v>
      </c>
      <c r="E426" s="271">
        <f>IF('Inventory Takeoff'!J430="","",'Inventory Takeoff'!J430)</f>
        <v>44949</v>
      </c>
      <c r="F426" s="121" t="s">
        <v>1053</v>
      </c>
      <c r="G426" s="121" t="str">
        <f>'Inventory Takeoff'!C430</f>
        <v>4" Flex MKE</v>
      </c>
    </row>
    <row r="427" spans="1:7">
      <c r="A427" s="121">
        <f>'Inventory Takeoff'!B431</f>
        <v>426</v>
      </c>
      <c r="B427" s="121">
        <f>'Inventory Takeoff'!H431</f>
        <v>4.88</v>
      </c>
      <c r="C427" s="121" t="s">
        <v>109</v>
      </c>
      <c r="D427" s="121" t="s">
        <v>1052</v>
      </c>
      <c r="E427" s="271">
        <f>IF('Inventory Takeoff'!J431="","",'Inventory Takeoff'!J431)</f>
        <v>44949</v>
      </c>
      <c r="F427" s="121" t="s">
        <v>1053</v>
      </c>
      <c r="G427" s="121" t="str">
        <f>'Inventory Takeoff'!C431</f>
        <v>5" Flex MKE</v>
      </c>
    </row>
    <row r="428" spans="1:7">
      <c r="A428" s="121">
        <f>'Inventory Takeoff'!B432</f>
        <v>427</v>
      </c>
      <c r="B428" s="121">
        <f>'Inventory Takeoff'!H432</f>
        <v>5.27</v>
      </c>
      <c r="C428" s="121" t="s">
        <v>109</v>
      </c>
      <c r="D428" s="121" t="s">
        <v>1052</v>
      </c>
      <c r="E428" s="271">
        <f>IF('Inventory Takeoff'!J432="","",'Inventory Takeoff'!J432)</f>
        <v>46066</v>
      </c>
      <c r="F428" s="121" t="s">
        <v>1053</v>
      </c>
      <c r="G428" s="121" t="str">
        <f>'Inventory Takeoff'!C432</f>
        <v>6" Flex MKE</v>
      </c>
    </row>
    <row r="429" spans="1:7">
      <c r="A429" s="121">
        <f>'Inventory Takeoff'!B433</f>
        <v>428</v>
      </c>
      <c r="B429" s="121">
        <f>'Inventory Takeoff'!H433</f>
        <v>6.9799999999999995</v>
      </c>
      <c r="C429" s="121" t="s">
        <v>109</v>
      </c>
      <c r="D429" s="121" t="s">
        <v>1052</v>
      </c>
      <c r="E429" s="271">
        <f>IF('Inventory Takeoff'!J433="","",'Inventory Takeoff'!J433)</f>
        <v>44949</v>
      </c>
      <c r="F429" s="121" t="s">
        <v>1053</v>
      </c>
      <c r="G429" s="121" t="str">
        <f>'Inventory Takeoff'!C433</f>
        <v>7" Flex MKE</v>
      </c>
    </row>
    <row r="430" spans="1:7">
      <c r="A430" s="121">
        <f>'Inventory Takeoff'!B434</f>
        <v>429</v>
      </c>
      <c r="B430" s="121">
        <f>'Inventory Takeoff'!H434</f>
        <v>6.38</v>
      </c>
      <c r="C430" s="121" t="s">
        <v>109</v>
      </c>
      <c r="D430" s="121" t="s">
        <v>1052</v>
      </c>
      <c r="E430" s="271">
        <f>IF('Inventory Takeoff'!J434="","",'Inventory Takeoff'!J434)</f>
        <v>46066</v>
      </c>
      <c r="F430" s="121" t="s">
        <v>1053</v>
      </c>
      <c r="G430" s="121" t="str">
        <f>'Inventory Takeoff'!C434</f>
        <v>8" Flex MKE</v>
      </c>
    </row>
    <row r="431" spans="1:7">
      <c r="A431" s="121">
        <f>'Inventory Takeoff'!B435</f>
        <v>430</v>
      </c>
      <c r="B431" s="121">
        <f>'Inventory Takeoff'!H435</f>
        <v>7.45</v>
      </c>
      <c r="C431" s="121" t="s">
        <v>109</v>
      </c>
      <c r="D431" s="121" t="s">
        <v>1052</v>
      </c>
      <c r="E431" s="271">
        <f>IF('Inventory Takeoff'!J435="","",'Inventory Takeoff'!J435)</f>
        <v>46066</v>
      </c>
      <c r="F431" s="121" t="s">
        <v>1053</v>
      </c>
      <c r="G431" s="121" t="str">
        <f>'Inventory Takeoff'!C435</f>
        <v>10" Flex MKE</v>
      </c>
    </row>
    <row r="432" spans="1:7">
      <c r="A432" s="121">
        <f>'Inventory Takeoff'!B436</f>
        <v>431</v>
      </c>
      <c r="B432" s="121">
        <f>'Inventory Takeoff'!H436</f>
        <v>8.82</v>
      </c>
      <c r="C432" s="121" t="s">
        <v>109</v>
      </c>
      <c r="D432" s="121" t="s">
        <v>1052</v>
      </c>
      <c r="E432" s="271">
        <f>IF('Inventory Takeoff'!J436="","",'Inventory Takeoff'!J436)</f>
        <v>46066</v>
      </c>
      <c r="F432" s="121" t="s">
        <v>1053</v>
      </c>
      <c r="G432" s="121" t="str">
        <f>'Inventory Takeoff'!C436</f>
        <v>12" Flex MKE</v>
      </c>
    </row>
    <row r="433" spans="1:7">
      <c r="A433" s="121">
        <f>'Inventory Takeoff'!B437</f>
        <v>432</v>
      </c>
      <c r="B433" s="121">
        <f>'Inventory Takeoff'!H437</f>
        <v>10.629999999999999</v>
      </c>
      <c r="C433" s="121" t="s">
        <v>109</v>
      </c>
      <c r="D433" s="121" t="s">
        <v>1052</v>
      </c>
      <c r="E433" s="271">
        <f>IF('Inventory Takeoff'!J437="","",'Inventory Takeoff'!J437)</f>
        <v>46066</v>
      </c>
      <c r="F433" s="121" t="s">
        <v>1053</v>
      </c>
      <c r="G433" s="121" t="str">
        <f>'Inventory Takeoff'!C437</f>
        <v>14" Flex MKE</v>
      </c>
    </row>
    <row r="434" spans="1:7">
      <c r="A434" s="121">
        <f>'Inventory Takeoff'!B438</f>
        <v>433</v>
      </c>
      <c r="B434" s="121">
        <f>'Inventory Takeoff'!H438</f>
        <v>12.69</v>
      </c>
      <c r="C434" s="121" t="s">
        <v>109</v>
      </c>
      <c r="D434" s="121" t="s">
        <v>1052</v>
      </c>
      <c r="E434" s="271">
        <f>IF('Inventory Takeoff'!J438="","",'Inventory Takeoff'!J438)</f>
        <v>46066</v>
      </c>
      <c r="F434" s="121" t="s">
        <v>1053</v>
      </c>
      <c r="G434" s="121" t="str">
        <f>'Inventory Takeoff'!C438</f>
        <v>16" Flex MKE</v>
      </c>
    </row>
    <row r="435" spans="1:7">
      <c r="A435" s="121">
        <f>'Inventory Takeoff'!B439</f>
        <v>434</v>
      </c>
      <c r="B435" s="121">
        <f>'Inventory Takeoff'!H439</f>
        <v>15.65</v>
      </c>
      <c r="C435" s="121" t="s">
        <v>109</v>
      </c>
      <c r="D435" s="121" t="s">
        <v>1052</v>
      </c>
      <c r="E435" s="271">
        <f>IF('Inventory Takeoff'!J439="","",'Inventory Takeoff'!J439)</f>
        <v>46066</v>
      </c>
      <c r="F435" s="121" t="s">
        <v>1053</v>
      </c>
      <c r="G435" s="121" t="str">
        <f>'Inventory Takeoff'!C439</f>
        <v>18" Flex MKE</v>
      </c>
    </row>
    <row r="436" spans="1:7">
      <c r="A436" s="121">
        <f>'Inventory Takeoff'!B440</f>
        <v>435</v>
      </c>
      <c r="B436" s="121">
        <f>'Inventory Takeoff'!H440</f>
        <v>0</v>
      </c>
      <c r="C436" s="121" t="s">
        <v>109</v>
      </c>
      <c r="D436" s="121" t="s">
        <v>1054</v>
      </c>
      <c r="E436" s="271" t="str">
        <f>IF('Inventory Takeoff'!J440="","",'Inventory Takeoff'!J440)</f>
        <v/>
      </c>
      <c r="F436" s="121" t="s">
        <v>1053</v>
      </c>
      <c r="G436" s="121" t="str">
        <f>'Inventory Takeoff'!C440</f>
        <v>Not Used</v>
      </c>
    </row>
    <row r="437" spans="1:7">
      <c r="A437" s="121">
        <f>'Inventory Takeoff'!B441</f>
        <v>436</v>
      </c>
      <c r="B437" s="121">
        <f>'Inventory Takeoff'!H441</f>
        <v>0</v>
      </c>
      <c r="C437" s="121" t="s">
        <v>109</v>
      </c>
      <c r="D437" s="121" t="s">
        <v>1054</v>
      </c>
      <c r="E437" s="271" t="str">
        <f>IF('Inventory Takeoff'!J441="","",'Inventory Takeoff'!J441)</f>
        <v/>
      </c>
      <c r="F437" s="121" t="s">
        <v>1053</v>
      </c>
      <c r="G437" s="121" t="str">
        <f>'Inventory Takeoff'!C441</f>
        <v>Not Used</v>
      </c>
    </row>
    <row r="438" spans="1:7">
      <c r="A438" s="121">
        <f>'Inventory Takeoff'!B442</f>
        <v>437</v>
      </c>
      <c r="B438" s="121">
        <f>'Inventory Takeoff'!H442</f>
        <v>0</v>
      </c>
      <c r="C438" s="121" t="s">
        <v>109</v>
      </c>
      <c r="D438" s="121" t="s">
        <v>1054</v>
      </c>
      <c r="E438" s="271" t="str">
        <f>IF('Inventory Takeoff'!J442="","",'Inventory Takeoff'!J442)</f>
        <v/>
      </c>
      <c r="F438" s="121" t="s">
        <v>1053</v>
      </c>
      <c r="G438" s="121" t="str">
        <f>'Inventory Takeoff'!C442</f>
        <v>Not Used</v>
      </c>
    </row>
    <row r="439" spans="1:7">
      <c r="A439" s="121">
        <f>'Inventory Takeoff'!B443</f>
        <v>438</v>
      </c>
      <c r="B439" s="121">
        <f>'Inventory Takeoff'!H443</f>
        <v>0</v>
      </c>
      <c r="C439" s="121" t="s">
        <v>109</v>
      </c>
      <c r="D439" s="121" t="s">
        <v>1054</v>
      </c>
      <c r="E439" s="271" t="str">
        <f>IF('Inventory Takeoff'!J443="","",'Inventory Takeoff'!J443)</f>
        <v/>
      </c>
      <c r="F439" s="121" t="s">
        <v>1053</v>
      </c>
      <c r="G439" s="121" t="str">
        <f>'Inventory Takeoff'!C443</f>
        <v>Not Used</v>
      </c>
    </row>
    <row r="440" spans="1:7">
      <c r="A440" s="121">
        <f>'Inventory Takeoff'!B444</f>
        <v>439</v>
      </c>
      <c r="B440" s="121">
        <f>'Inventory Takeoff'!H444</f>
        <v>0</v>
      </c>
      <c r="C440" s="121" t="s">
        <v>109</v>
      </c>
      <c r="D440" s="121" t="s">
        <v>1054</v>
      </c>
      <c r="E440" s="271" t="str">
        <f>IF('Inventory Takeoff'!J444="","",'Inventory Takeoff'!J444)</f>
        <v/>
      </c>
      <c r="F440" s="121" t="s">
        <v>1053</v>
      </c>
      <c r="G440" s="121" t="str">
        <f>'Inventory Takeoff'!C444</f>
        <v>Not Used</v>
      </c>
    </row>
    <row r="441" spans="1:7">
      <c r="A441" s="121">
        <f>'Inventory Takeoff'!B445</f>
        <v>440</v>
      </c>
      <c r="B441" s="121">
        <f>'Inventory Takeoff'!H445</f>
        <v>0</v>
      </c>
      <c r="C441" s="121" t="s">
        <v>109</v>
      </c>
      <c r="D441" s="121" t="s">
        <v>1054</v>
      </c>
      <c r="E441" s="271" t="str">
        <f>IF('Inventory Takeoff'!J445="","",'Inventory Takeoff'!J445)</f>
        <v/>
      </c>
      <c r="F441" s="121" t="s">
        <v>1053</v>
      </c>
      <c r="G441" s="121" t="str">
        <f>'Inventory Takeoff'!C445</f>
        <v>Not Used</v>
      </c>
    </row>
    <row r="442" spans="1:7">
      <c r="A442" s="121">
        <f>'Inventory Takeoff'!B446</f>
        <v>441</v>
      </c>
      <c r="B442" s="121">
        <f>'Inventory Takeoff'!H446</f>
        <v>29.1</v>
      </c>
      <c r="C442" s="121" t="s">
        <v>109</v>
      </c>
      <c r="D442" s="121" t="s">
        <v>1054</v>
      </c>
      <c r="E442" s="271" t="str">
        <f>IF('Inventory Takeoff'!J446="","",'Inventory Takeoff'!J446)</f>
        <v/>
      </c>
      <c r="F442" s="121" t="s">
        <v>1053</v>
      </c>
      <c r="G442" s="121" t="str">
        <f>'Inventory Takeoff'!C446</f>
        <v>Flushell 1/2 Box</v>
      </c>
    </row>
    <row r="443" spans="1:7">
      <c r="A443" s="121">
        <f>'Inventory Takeoff'!B447</f>
        <v>442</v>
      </c>
      <c r="B443" s="121">
        <f>'Inventory Takeoff'!H447</f>
        <v>0.59</v>
      </c>
      <c r="C443" s="121" t="s">
        <v>109</v>
      </c>
      <c r="D443" s="121" t="s">
        <v>1054</v>
      </c>
      <c r="E443" s="271" t="str">
        <f>IF('Inventory Takeoff'!J447="","",'Inventory Takeoff'!J447)</f>
        <v/>
      </c>
      <c r="F443" s="121" t="s">
        <v>1053</v>
      </c>
      <c r="G443" s="121" t="str">
        <f>'Inventory Takeoff'!C447</f>
        <v>Flushell 1/2 each</v>
      </c>
    </row>
    <row r="444" spans="1:7">
      <c r="A444" s="121">
        <f>'Inventory Takeoff'!B448</f>
        <v>443</v>
      </c>
      <c r="B444" s="121">
        <f>'Inventory Takeoff'!H448</f>
        <v>15.82</v>
      </c>
      <c r="C444" s="121" t="s">
        <v>109</v>
      </c>
      <c r="D444" s="121" t="s">
        <v>1054</v>
      </c>
      <c r="E444" s="271" t="str">
        <f>IF('Inventory Takeoff'!J448="","",'Inventory Takeoff'!J448)</f>
        <v/>
      </c>
      <c r="F444" s="121" t="s">
        <v>1053</v>
      </c>
      <c r="G444" s="121" t="str">
        <f>'Inventory Takeoff'!C448</f>
        <v>Flushell 3/8 Box</v>
      </c>
    </row>
    <row r="445" spans="1:7">
      <c r="A445" s="121">
        <f>'Inventory Takeoff'!B449</f>
        <v>444</v>
      </c>
      <c r="B445" s="121">
        <f>'Inventory Takeoff'!H449</f>
        <v>0.32</v>
      </c>
      <c r="C445" s="121" t="s">
        <v>109</v>
      </c>
      <c r="D445" s="121" t="s">
        <v>1054</v>
      </c>
      <c r="E445" s="271" t="str">
        <f>IF('Inventory Takeoff'!J449="","",'Inventory Takeoff'!J449)</f>
        <v/>
      </c>
      <c r="F445" s="121" t="s">
        <v>1053</v>
      </c>
      <c r="G445" s="121" t="str">
        <f>'Inventory Takeoff'!C449</f>
        <v>Flushell 3/8 each</v>
      </c>
    </row>
    <row r="446" spans="1:7">
      <c r="A446" s="121">
        <f>'Inventory Takeoff'!B450</f>
        <v>445</v>
      </c>
      <c r="B446" s="121">
        <f>'Inventory Takeoff'!H450</f>
        <v>0</v>
      </c>
      <c r="C446" s="121" t="s">
        <v>109</v>
      </c>
      <c r="D446" s="121" t="s">
        <v>1054</v>
      </c>
      <c r="E446" s="271" t="str">
        <f>IF('Inventory Takeoff'!J450="","",'Inventory Takeoff'!J450)</f>
        <v/>
      </c>
      <c r="F446" s="121" t="s">
        <v>1053</v>
      </c>
      <c r="G446" s="121" t="str">
        <f>'Inventory Takeoff'!C450</f>
        <v>Not Used</v>
      </c>
    </row>
    <row r="447" spans="1:7">
      <c r="A447" s="121">
        <f>'Inventory Takeoff'!B451</f>
        <v>446</v>
      </c>
      <c r="B447" s="121">
        <f>'Inventory Takeoff'!H451</f>
        <v>454.14</v>
      </c>
      <c r="C447" s="121" t="s">
        <v>109</v>
      </c>
      <c r="D447" s="121" t="s">
        <v>1054</v>
      </c>
      <c r="E447" s="271">
        <f>IF('Inventory Takeoff'!J451="","",'Inventory Takeoff'!J451)</f>
        <v>44949</v>
      </c>
      <c r="F447" s="121" t="s">
        <v>1053</v>
      </c>
      <c r="G447" s="121" t="str">
        <f>'Inventory Takeoff'!C451</f>
        <v>FSK Wrap</v>
      </c>
    </row>
    <row r="448" spans="1:7">
      <c r="A448" s="121">
        <f>'Inventory Takeoff'!B452</f>
        <v>447</v>
      </c>
      <c r="B448" s="121">
        <f>'Inventory Takeoff'!H452</f>
        <v>0</v>
      </c>
      <c r="C448" s="121" t="s">
        <v>109</v>
      </c>
      <c r="D448" s="121" t="s">
        <v>1054</v>
      </c>
      <c r="E448" s="271" t="str">
        <f>IF('Inventory Takeoff'!J452="","",'Inventory Takeoff'!J452)</f>
        <v/>
      </c>
      <c r="F448" s="121" t="s">
        <v>1053</v>
      </c>
      <c r="G448" s="121" t="str">
        <f>'Inventory Takeoff'!C452</f>
        <v>Not Used</v>
      </c>
    </row>
    <row r="449" spans="1:7">
      <c r="A449" s="121">
        <f>'Inventory Takeoff'!B453</f>
        <v>448</v>
      </c>
      <c r="B449" s="121">
        <f>'Inventory Takeoff'!H453</f>
        <v>23.78</v>
      </c>
      <c r="C449" s="121" t="s">
        <v>109</v>
      </c>
      <c r="D449" s="121" t="s">
        <v>1054</v>
      </c>
      <c r="E449" s="271">
        <f>IF('Inventory Takeoff'!J453="","",'Inventory Takeoff'!J453)</f>
        <v>44949</v>
      </c>
      <c r="F449" s="121" t="s">
        <v>1053</v>
      </c>
      <c r="G449" s="121" t="str">
        <f>'Inventory Takeoff'!C453</f>
        <v>FSK Tape</v>
      </c>
    </row>
    <row r="450" spans="1:7">
      <c r="A450" s="121">
        <f>'Inventory Takeoff'!B454</f>
        <v>449</v>
      </c>
      <c r="B450" s="121">
        <f>'Inventory Takeoff'!H454</f>
        <v>8.83</v>
      </c>
      <c r="C450" s="121" t="s">
        <v>109</v>
      </c>
      <c r="D450" s="121" t="s">
        <v>1054</v>
      </c>
      <c r="E450" s="271" t="str">
        <f>IF('Inventory Takeoff'!J454="","",'Inventory Takeoff'!J454)</f>
        <v/>
      </c>
      <c r="F450" s="121" t="s">
        <v>1053</v>
      </c>
      <c r="G450" s="121" t="str">
        <f>'Inventory Takeoff'!C454</f>
        <v>Gasket Open Cell</v>
      </c>
    </row>
    <row r="451" spans="1:7">
      <c r="A451" s="121">
        <f>'Inventory Takeoff'!B455</f>
        <v>450</v>
      </c>
      <c r="B451" s="121">
        <f>'Inventory Takeoff'!H455</f>
        <v>0.37</v>
      </c>
      <c r="C451" s="121" t="s">
        <v>109</v>
      </c>
      <c r="D451" s="121" t="s">
        <v>1052</v>
      </c>
      <c r="E451" s="271" t="str">
        <f>IF('Inventory Takeoff'!J455="","",'Inventory Takeoff'!J455)</f>
        <v/>
      </c>
      <c r="F451" s="121" t="s">
        <v>1053</v>
      </c>
      <c r="G451" s="121" t="str">
        <f>'Inventory Takeoff'!C455</f>
        <v>Gasket Open Cell</v>
      </c>
    </row>
    <row r="452" spans="1:7">
      <c r="A452" s="121">
        <f>'Inventory Takeoff'!B456</f>
        <v>451</v>
      </c>
      <c r="B452" s="121">
        <f>'Inventory Takeoff'!H456</f>
        <v>10.119999999999999</v>
      </c>
      <c r="C452" s="121" t="s">
        <v>109</v>
      </c>
      <c r="D452" s="121" t="s">
        <v>1054</v>
      </c>
      <c r="E452" s="271" t="str">
        <f>IF('Inventory Takeoff'!J456="","",'Inventory Takeoff'!J456)</f>
        <v/>
      </c>
      <c r="F452" s="121" t="s">
        <v>1053</v>
      </c>
      <c r="G452" s="121" t="str">
        <f>'Inventory Takeoff'!C456</f>
        <v>Closed Cell (Neop)</v>
      </c>
    </row>
    <row r="453" spans="1:7">
      <c r="A453" s="121">
        <f>'Inventory Takeoff'!B457</f>
        <v>452</v>
      </c>
      <c r="B453" s="121">
        <f>'Inventory Takeoff'!H457</f>
        <v>0.41000000000000003</v>
      </c>
      <c r="C453" s="121" t="s">
        <v>109</v>
      </c>
      <c r="D453" s="121" t="s">
        <v>1052</v>
      </c>
      <c r="E453" s="271" t="str">
        <f>IF('Inventory Takeoff'!J457="","",'Inventory Takeoff'!J457)</f>
        <v/>
      </c>
      <c r="F453" s="121" t="s">
        <v>1053</v>
      </c>
      <c r="G453" s="121" t="str">
        <f>'Inventory Takeoff'!C457</f>
        <v>Closed Cell (Neop)</v>
      </c>
    </row>
    <row r="454" spans="1:7">
      <c r="A454" s="121">
        <f>'Inventory Takeoff'!B458</f>
        <v>453</v>
      </c>
      <c r="B454" s="121">
        <f>'Inventory Takeoff'!H458</f>
        <v>0</v>
      </c>
      <c r="C454" s="121" t="s">
        <v>109</v>
      </c>
      <c r="D454" s="121" t="s">
        <v>1054</v>
      </c>
      <c r="E454" s="271" t="str">
        <f>IF('Inventory Takeoff'!J458="","",'Inventory Takeoff'!J458)</f>
        <v/>
      </c>
      <c r="F454" s="121" t="s">
        <v>1053</v>
      </c>
      <c r="G454" s="121" t="str">
        <f>'Inventory Takeoff'!C458</f>
        <v>Not Used</v>
      </c>
    </row>
    <row r="455" spans="1:7">
      <c r="A455" s="121">
        <f>'Inventory Takeoff'!B459</f>
        <v>454</v>
      </c>
      <c r="B455" s="121">
        <f>'Inventory Takeoff'!H459</f>
        <v>0</v>
      </c>
      <c r="C455" s="121" t="s">
        <v>109</v>
      </c>
      <c r="D455" s="121" t="s">
        <v>1054</v>
      </c>
      <c r="E455" s="271" t="str">
        <f>IF('Inventory Takeoff'!J459="","",'Inventory Takeoff'!J459)</f>
        <v/>
      </c>
      <c r="F455" s="121" t="s">
        <v>1053</v>
      </c>
      <c r="G455" s="121" t="str">
        <f>'Inventory Takeoff'!C459</f>
        <v>Not Used</v>
      </c>
    </row>
    <row r="456" spans="1:7">
      <c r="A456" s="121">
        <f>'Inventory Takeoff'!B460</f>
        <v>455</v>
      </c>
      <c r="B456" s="121">
        <f>'Inventory Takeoff'!H460</f>
        <v>0</v>
      </c>
      <c r="C456" s="121" t="s">
        <v>109</v>
      </c>
      <c r="D456" s="121" t="s">
        <v>1054</v>
      </c>
      <c r="E456" s="271" t="str">
        <f>IF('Inventory Takeoff'!J460="","",'Inventory Takeoff'!J460)</f>
        <v/>
      </c>
      <c r="F456" s="121" t="s">
        <v>1053</v>
      </c>
      <c r="G456" s="121" t="str">
        <f>'Inventory Takeoff'!C460</f>
        <v>Not Used</v>
      </c>
    </row>
    <row r="457" spans="1:7">
      <c r="A457" s="121">
        <f>'Inventory Takeoff'!B461</f>
        <v>456</v>
      </c>
      <c r="B457" s="121">
        <f>'Inventory Takeoff'!H461</f>
        <v>0</v>
      </c>
      <c r="C457" s="121" t="s">
        <v>109</v>
      </c>
      <c r="D457" s="121" t="s">
        <v>1054</v>
      </c>
      <c r="E457" s="271" t="str">
        <f>IF('Inventory Takeoff'!J461="","",'Inventory Takeoff'!J461)</f>
        <v/>
      </c>
      <c r="F457" s="121" t="s">
        <v>1053</v>
      </c>
      <c r="G457" s="121" t="str">
        <f>'Inventory Takeoff'!C461</f>
        <v>Not Used</v>
      </c>
    </row>
    <row r="458" spans="1:7">
      <c r="A458" s="121">
        <f>'Inventory Takeoff'!B462</f>
        <v>457</v>
      </c>
      <c r="B458" s="121">
        <f>'Inventory Takeoff'!H462</f>
        <v>0</v>
      </c>
      <c r="C458" s="121" t="s">
        <v>109</v>
      </c>
      <c r="D458" s="121" t="s">
        <v>1054</v>
      </c>
      <c r="E458" s="271" t="str">
        <f>IF('Inventory Takeoff'!J462="","",'Inventory Takeoff'!J462)</f>
        <v/>
      </c>
      <c r="F458" s="121" t="s">
        <v>1053</v>
      </c>
      <c r="G458" s="121" t="str">
        <f>'Inventory Takeoff'!C462</f>
        <v>Not Used</v>
      </c>
    </row>
    <row r="459" spans="1:7">
      <c r="A459" s="121">
        <f>'Inventory Takeoff'!B463</f>
        <v>458</v>
      </c>
      <c r="B459" s="121">
        <f>'Inventory Takeoff'!H463</f>
        <v>0</v>
      </c>
      <c r="C459" s="121" t="s">
        <v>109</v>
      </c>
      <c r="D459" s="121" t="s">
        <v>1054</v>
      </c>
      <c r="E459" s="271" t="str">
        <f>IF('Inventory Takeoff'!J463="","",'Inventory Takeoff'!J463)</f>
        <v/>
      </c>
      <c r="F459" s="121" t="s">
        <v>1053</v>
      </c>
      <c r="G459" s="121" t="str">
        <f>'Inventory Takeoff'!C463</f>
        <v>Not Used</v>
      </c>
    </row>
    <row r="460" spans="1:7">
      <c r="A460" s="121">
        <f>'Inventory Takeoff'!B464</f>
        <v>459</v>
      </c>
      <c r="B460" s="121">
        <f>'Inventory Takeoff'!H464</f>
        <v>0</v>
      </c>
      <c r="C460" s="121" t="s">
        <v>109</v>
      </c>
      <c r="D460" s="121" t="s">
        <v>1054</v>
      </c>
      <c r="E460" s="271" t="str">
        <f>IF('Inventory Takeoff'!J464="","",'Inventory Takeoff'!J464)</f>
        <v/>
      </c>
      <c r="F460" s="121" t="s">
        <v>1053</v>
      </c>
      <c r="G460" s="121" t="str">
        <f>'Inventory Takeoff'!C464</f>
        <v>Not Used</v>
      </c>
    </row>
    <row r="461" spans="1:7">
      <c r="A461" s="121">
        <f>'Inventory Takeoff'!B465</f>
        <v>460</v>
      </c>
      <c r="B461" s="121">
        <f>'Inventory Takeoff'!H465</f>
        <v>0</v>
      </c>
      <c r="C461" s="121" t="s">
        <v>109</v>
      </c>
      <c r="D461" s="121" t="s">
        <v>1054</v>
      </c>
      <c r="E461" s="271" t="str">
        <f>IF('Inventory Takeoff'!J465="","",'Inventory Takeoff'!J465)</f>
        <v/>
      </c>
      <c r="F461" s="121" t="s">
        <v>1053</v>
      </c>
      <c r="G461" s="121" t="str">
        <f>'Inventory Takeoff'!C465</f>
        <v>Not Used</v>
      </c>
    </row>
    <row r="462" spans="1:7">
      <c r="A462" s="121">
        <f>'Inventory Takeoff'!B466</f>
        <v>461</v>
      </c>
      <c r="B462" s="121">
        <f>'Inventory Takeoff'!H466</f>
        <v>0</v>
      </c>
      <c r="C462" s="121" t="s">
        <v>109</v>
      </c>
      <c r="D462" s="121" t="s">
        <v>1054</v>
      </c>
      <c r="E462" s="271" t="str">
        <f>IF('Inventory Takeoff'!J466="","",'Inventory Takeoff'!J466)</f>
        <v/>
      </c>
      <c r="F462" s="121" t="s">
        <v>1053</v>
      </c>
      <c r="G462" s="121" t="str">
        <f>'Inventory Takeoff'!C466</f>
        <v>Not Used</v>
      </c>
    </row>
    <row r="463" spans="1:7">
      <c r="A463" s="121">
        <f>'Inventory Takeoff'!B467</f>
        <v>462</v>
      </c>
      <c r="B463" s="121">
        <f>'Inventory Takeoff'!H467</f>
        <v>0</v>
      </c>
      <c r="C463" s="121" t="s">
        <v>109</v>
      </c>
      <c r="D463" s="121" t="s">
        <v>1054</v>
      </c>
      <c r="E463" s="271" t="str">
        <f>IF('Inventory Takeoff'!J467="","",'Inventory Takeoff'!J467)</f>
        <v/>
      </c>
      <c r="F463" s="121" t="s">
        <v>1053</v>
      </c>
      <c r="G463" s="121" t="str">
        <f>'Inventory Takeoff'!C467</f>
        <v>Not Used</v>
      </c>
    </row>
    <row r="464" spans="1:7">
      <c r="A464" s="121">
        <f>'Inventory Takeoff'!B468</f>
        <v>463</v>
      </c>
      <c r="B464" s="121">
        <f>'Inventory Takeoff'!H468</f>
        <v>0</v>
      </c>
      <c r="C464" s="121" t="s">
        <v>109</v>
      </c>
      <c r="D464" s="121" t="s">
        <v>1054</v>
      </c>
      <c r="E464" s="271" t="str">
        <f>IF('Inventory Takeoff'!J468="","",'Inventory Takeoff'!J468)</f>
        <v/>
      </c>
      <c r="F464" s="121" t="s">
        <v>1053</v>
      </c>
      <c r="G464" s="121" t="str">
        <f>'Inventory Takeoff'!C468</f>
        <v>Not Used</v>
      </c>
    </row>
    <row r="465" spans="1:7">
      <c r="A465" s="121">
        <f>'Inventory Takeoff'!B469</f>
        <v>464</v>
      </c>
      <c r="B465" s="121">
        <f>'Inventory Takeoff'!H469</f>
        <v>0</v>
      </c>
      <c r="C465" s="121" t="s">
        <v>109</v>
      </c>
      <c r="D465" s="121" t="s">
        <v>1054</v>
      </c>
      <c r="E465" s="271" t="str">
        <f>IF('Inventory Takeoff'!J469="","",'Inventory Takeoff'!J469)</f>
        <v/>
      </c>
      <c r="F465" s="121" t="s">
        <v>1053</v>
      </c>
      <c r="G465" s="121" t="str">
        <f>'Inventory Takeoff'!C469</f>
        <v>Not Used</v>
      </c>
    </row>
    <row r="466" spans="1:7">
      <c r="A466" s="121">
        <f>'Inventory Takeoff'!B470</f>
        <v>465</v>
      </c>
      <c r="B466" s="121">
        <f>'Inventory Takeoff'!H470</f>
        <v>0</v>
      </c>
      <c r="C466" s="121" t="s">
        <v>109</v>
      </c>
      <c r="D466" s="121" t="s">
        <v>1054</v>
      </c>
      <c r="E466" s="271" t="str">
        <f>IF('Inventory Takeoff'!J470="","",'Inventory Takeoff'!J470)</f>
        <v/>
      </c>
      <c r="F466" s="121" t="s">
        <v>1053</v>
      </c>
      <c r="G466" s="121" t="str">
        <f>'Inventory Takeoff'!C470</f>
        <v>Not Used</v>
      </c>
    </row>
    <row r="467" spans="1:7">
      <c r="A467" s="121">
        <f>'Inventory Takeoff'!B471</f>
        <v>466</v>
      </c>
      <c r="B467" s="121">
        <f>'Inventory Takeoff'!H471</f>
        <v>0</v>
      </c>
      <c r="C467" s="121" t="s">
        <v>109</v>
      </c>
      <c r="D467" s="121" t="s">
        <v>1054</v>
      </c>
      <c r="E467" s="271" t="str">
        <f>IF('Inventory Takeoff'!J471="","",'Inventory Takeoff'!J471)</f>
        <v/>
      </c>
      <c r="F467" s="121" t="s">
        <v>1053</v>
      </c>
      <c r="G467" s="121" t="str">
        <f>'Inventory Takeoff'!C471</f>
        <v>Not Used</v>
      </c>
    </row>
    <row r="468" spans="1:7">
      <c r="A468" s="121">
        <f>'Inventory Takeoff'!B472</f>
        <v>467</v>
      </c>
      <c r="B468" s="121">
        <f>'Inventory Takeoff'!H472</f>
        <v>0</v>
      </c>
      <c r="C468" s="121" t="s">
        <v>109</v>
      </c>
      <c r="D468" s="121" t="s">
        <v>1054</v>
      </c>
      <c r="E468" s="271" t="str">
        <f>IF('Inventory Takeoff'!J472="","",'Inventory Takeoff'!J472)</f>
        <v/>
      </c>
      <c r="F468" s="121" t="s">
        <v>1053</v>
      </c>
      <c r="G468" s="121" t="str">
        <f>'Inventory Takeoff'!C472</f>
        <v>Not Used</v>
      </c>
    </row>
    <row r="469" spans="1:7">
      <c r="A469" s="121">
        <f>'Inventory Takeoff'!B473</f>
        <v>468</v>
      </c>
      <c r="B469" s="121">
        <f>'Inventory Takeoff'!H473</f>
        <v>0</v>
      </c>
      <c r="C469" s="121" t="s">
        <v>109</v>
      </c>
      <c r="D469" s="121" t="s">
        <v>1054</v>
      </c>
      <c r="E469" s="271" t="str">
        <f>IF('Inventory Takeoff'!J473="","",'Inventory Takeoff'!J473)</f>
        <v/>
      </c>
      <c r="F469" s="121" t="s">
        <v>1053</v>
      </c>
      <c r="G469" s="121" t="str">
        <f>'Inventory Takeoff'!C473</f>
        <v>Not Used</v>
      </c>
    </row>
    <row r="470" spans="1:7">
      <c r="A470" s="121">
        <f>'Inventory Takeoff'!B474</f>
        <v>469</v>
      </c>
      <c r="B470" s="121">
        <f>'Inventory Takeoff'!H474</f>
        <v>0</v>
      </c>
      <c r="C470" s="121" t="s">
        <v>109</v>
      </c>
      <c r="D470" s="121" t="s">
        <v>1054</v>
      </c>
      <c r="E470" s="271" t="str">
        <f>IF('Inventory Takeoff'!J474="","",'Inventory Takeoff'!J474)</f>
        <v/>
      </c>
      <c r="F470" s="121" t="s">
        <v>1053</v>
      </c>
      <c r="G470" s="121" t="str">
        <f>'Inventory Takeoff'!C474</f>
        <v>Not Used</v>
      </c>
    </row>
    <row r="471" spans="1:7">
      <c r="A471" s="121">
        <f>'Inventory Takeoff'!B475</f>
        <v>470</v>
      </c>
      <c r="B471" s="121">
        <f>'Inventory Takeoff'!H475</f>
        <v>0</v>
      </c>
      <c r="C471" s="121" t="s">
        <v>109</v>
      </c>
      <c r="D471" s="121" t="s">
        <v>1054</v>
      </c>
      <c r="E471" s="271" t="str">
        <f>IF('Inventory Takeoff'!J475="","",'Inventory Takeoff'!J475)</f>
        <v/>
      </c>
      <c r="F471" s="121" t="s">
        <v>1053</v>
      </c>
      <c r="G471" s="121" t="str">
        <f>'Inventory Takeoff'!C475</f>
        <v>Not Used</v>
      </c>
    </row>
    <row r="472" spans="1:7">
      <c r="A472" s="121">
        <f>'Inventory Takeoff'!B476</f>
        <v>471</v>
      </c>
      <c r="B472" s="121">
        <f>'Inventory Takeoff'!H476</f>
        <v>0</v>
      </c>
      <c r="C472" s="121" t="s">
        <v>109</v>
      </c>
      <c r="D472" s="121" t="s">
        <v>1054</v>
      </c>
      <c r="E472" s="271" t="str">
        <f>IF('Inventory Takeoff'!J476="","",'Inventory Takeoff'!J476)</f>
        <v/>
      </c>
      <c r="F472" s="121" t="s">
        <v>1053</v>
      </c>
      <c r="G472" s="121" t="str">
        <f>'Inventory Takeoff'!C476</f>
        <v>Not Used</v>
      </c>
    </row>
    <row r="473" spans="1:7">
      <c r="A473" s="121">
        <f>'Inventory Takeoff'!B477</f>
        <v>472</v>
      </c>
      <c r="B473" s="121">
        <f>'Inventory Takeoff'!H477</f>
        <v>0</v>
      </c>
      <c r="C473" s="121" t="s">
        <v>109</v>
      </c>
      <c r="D473" s="121" t="s">
        <v>1054</v>
      </c>
      <c r="E473" s="271" t="str">
        <f>IF('Inventory Takeoff'!J477="","",'Inventory Takeoff'!J477)</f>
        <v/>
      </c>
      <c r="F473" s="121" t="s">
        <v>1053</v>
      </c>
      <c r="G473" s="121" t="str">
        <f>'Inventory Takeoff'!C477</f>
        <v>Not Used</v>
      </c>
    </row>
    <row r="474" spans="1:7">
      <c r="A474" s="121">
        <f>'Inventory Takeoff'!B478</f>
        <v>473</v>
      </c>
      <c r="B474" s="121">
        <f>'Inventory Takeoff'!H478</f>
        <v>0</v>
      </c>
      <c r="C474" s="121" t="s">
        <v>109</v>
      </c>
      <c r="D474" s="121" t="s">
        <v>1054</v>
      </c>
      <c r="E474" s="271" t="str">
        <f>IF('Inventory Takeoff'!J478="","",'Inventory Takeoff'!J478)</f>
        <v/>
      </c>
      <c r="F474" s="121" t="s">
        <v>1053</v>
      </c>
      <c r="G474" s="121" t="str">
        <f>'Inventory Takeoff'!C478</f>
        <v>Not Used</v>
      </c>
    </row>
    <row r="475" spans="1:7">
      <c r="A475" s="121">
        <f>'Inventory Takeoff'!B479</f>
        <v>474</v>
      </c>
      <c r="B475" s="121">
        <f>'Inventory Takeoff'!H479</f>
        <v>0</v>
      </c>
      <c r="C475" s="121" t="s">
        <v>109</v>
      </c>
      <c r="D475" s="121" t="s">
        <v>1054</v>
      </c>
      <c r="E475" s="271" t="str">
        <f>IF('Inventory Takeoff'!J479="","",'Inventory Takeoff'!J479)</f>
        <v/>
      </c>
      <c r="F475" s="121" t="s">
        <v>1053</v>
      </c>
      <c r="G475" s="121" t="str">
        <f>'Inventory Takeoff'!C479</f>
        <v>Not Used</v>
      </c>
    </row>
    <row r="476" spans="1:7">
      <c r="A476" s="121">
        <f>'Inventory Takeoff'!B480</f>
        <v>475</v>
      </c>
      <c r="B476" s="121">
        <f>'Inventory Takeoff'!H480</f>
        <v>0</v>
      </c>
      <c r="C476" s="121" t="s">
        <v>109</v>
      </c>
      <c r="D476" s="121" t="s">
        <v>1054</v>
      </c>
      <c r="E476" s="271" t="str">
        <f>IF('Inventory Takeoff'!J480="","",'Inventory Takeoff'!J480)</f>
        <v/>
      </c>
      <c r="F476" s="121" t="s">
        <v>1053</v>
      </c>
      <c r="G476" s="121" t="str">
        <f>'Inventory Takeoff'!C480</f>
        <v>Not Used</v>
      </c>
    </row>
    <row r="477" spans="1:7">
      <c r="A477" s="121">
        <f>'Inventory Takeoff'!B481</f>
        <v>476</v>
      </c>
      <c r="B477" s="121">
        <f>'Inventory Takeoff'!H481</f>
        <v>0</v>
      </c>
      <c r="C477" s="121" t="s">
        <v>109</v>
      </c>
      <c r="D477" s="121" t="s">
        <v>1054</v>
      </c>
      <c r="E477" s="271" t="str">
        <f>IF('Inventory Takeoff'!J481="","",'Inventory Takeoff'!J481)</f>
        <v/>
      </c>
      <c r="F477" s="121" t="s">
        <v>1053</v>
      </c>
      <c r="G477" s="121" t="str">
        <f>'Inventory Takeoff'!C481</f>
        <v>Not Used</v>
      </c>
    </row>
    <row r="478" spans="1:7">
      <c r="A478" s="121">
        <f>'Inventory Takeoff'!B482</f>
        <v>477</v>
      </c>
      <c r="B478" s="121">
        <f>'Inventory Takeoff'!H482</f>
        <v>0</v>
      </c>
      <c r="C478" s="121" t="s">
        <v>109</v>
      </c>
      <c r="D478" s="121" t="s">
        <v>1054</v>
      </c>
      <c r="E478" s="271" t="str">
        <f>IF('Inventory Takeoff'!J482="","",'Inventory Takeoff'!J482)</f>
        <v/>
      </c>
      <c r="F478" s="121" t="s">
        <v>1053</v>
      </c>
      <c r="G478" s="121" t="str">
        <f>'Inventory Takeoff'!C482</f>
        <v>Not Used</v>
      </c>
    </row>
    <row r="479" spans="1:7">
      <c r="A479" s="121">
        <f>'Inventory Takeoff'!B483</f>
        <v>478</v>
      </c>
      <c r="B479" s="121">
        <f>'Inventory Takeoff'!H483</f>
        <v>0</v>
      </c>
      <c r="C479" s="121" t="s">
        <v>109</v>
      </c>
      <c r="D479" s="121" t="s">
        <v>1054</v>
      </c>
      <c r="E479" s="271" t="str">
        <f>IF('Inventory Takeoff'!J483="","",'Inventory Takeoff'!J483)</f>
        <v/>
      </c>
      <c r="F479" s="121" t="s">
        <v>1053</v>
      </c>
      <c r="G479" s="121" t="str">
        <f>'Inventory Takeoff'!C483</f>
        <v>Not Used</v>
      </c>
    </row>
    <row r="480" spans="1:7">
      <c r="A480" s="121">
        <f>'Inventory Takeoff'!B484</f>
        <v>479</v>
      </c>
      <c r="B480" s="121">
        <f>'Inventory Takeoff'!H484</f>
        <v>0</v>
      </c>
      <c r="C480" s="121" t="s">
        <v>109</v>
      </c>
      <c r="D480" s="121" t="s">
        <v>1054</v>
      </c>
      <c r="E480" s="271" t="str">
        <f>IF('Inventory Takeoff'!J484="","",'Inventory Takeoff'!J484)</f>
        <v/>
      </c>
      <c r="F480" s="121" t="s">
        <v>1053</v>
      </c>
      <c r="G480" s="121" t="str">
        <f>'Inventory Takeoff'!C484</f>
        <v>Not Used</v>
      </c>
    </row>
    <row r="481" spans="1:7">
      <c r="A481" s="121">
        <f>'Inventory Takeoff'!B485</f>
        <v>480</v>
      </c>
      <c r="B481" s="121">
        <f>'Inventory Takeoff'!H485</f>
        <v>0</v>
      </c>
      <c r="C481" s="121" t="s">
        <v>109</v>
      </c>
      <c r="D481" s="121" t="s">
        <v>1054</v>
      </c>
      <c r="E481" s="271" t="str">
        <f>IF('Inventory Takeoff'!J485="","",'Inventory Takeoff'!J485)</f>
        <v/>
      </c>
      <c r="F481" s="121" t="s">
        <v>1053</v>
      </c>
      <c r="G481" s="121" t="str">
        <f>'Inventory Takeoff'!C485</f>
        <v>Not Used</v>
      </c>
    </row>
    <row r="482" spans="1:7">
      <c r="A482" s="121">
        <f>'Inventory Takeoff'!B486</f>
        <v>481</v>
      </c>
      <c r="B482" s="121">
        <f>'Inventory Takeoff'!H486</f>
        <v>0</v>
      </c>
      <c r="C482" s="121" t="s">
        <v>109</v>
      </c>
      <c r="D482" s="121" t="s">
        <v>1054</v>
      </c>
      <c r="E482" s="271" t="str">
        <f>IF('Inventory Takeoff'!J486="","",'Inventory Takeoff'!J486)</f>
        <v/>
      </c>
      <c r="F482" s="121" t="s">
        <v>1053</v>
      </c>
      <c r="G482" s="121" t="str">
        <f>'Inventory Takeoff'!C486</f>
        <v>Not Used</v>
      </c>
    </row>
    <row r="483" spans="1:7">
      <c r="A483" s="121">
        <f>'Inventory Takeoff'!B487</f>
        <v>482</v>
      </c>
      <c r="B483" s="121">
        <f>'Inventory Takeoff'!H487</f>
        <v>0</v>
      </c>
      <c r="C483" s="121" t="s">
        <v>109</v>
      </c>
      <c r="D483" s="121" t="s">
        <v>1054</v>
      </c>
      <c r="E483" s="271" t="str">
        <f>IF('Inventory Takeoff'!J487="","",'Inventory Takeoff'!J487)</f>
        <v/>
      </c>
      <c r="F483" s="121" t="s">
        <v>1053</v>
      </c>
      <c r="G483" s="121" t="str">
        <f>'Inventory Takeoff'!C487</f>
        <v>Not Used</v>
      </c>
    </row>
    <row r="484" spans="1:7">
      <c r="A484" s="121">
        <f>'Inventory Takeoff'!B488</f>
        <v>483</v>
      </c>
      <c r="B484" s="121">
        <f>'Inventory Takeoff'!H488</f>
        <v>0</v>
      </c>
      <c r="C484" s="121" t="s">
        <v>109</v>
      </c>
      <c r="D484" s="121" t="s">
        <v>1054</v>
      </c>
      <c r="E484" s="271" t="str">
        <f>IF('Inventory Takeoff'!J488="","",'Inventory Takeoff'!J488)</f>
        <v/>
      </c>
      <c r="F484" s="121" t="s">
        <v>1053</v>
      </c>
      <c r="G484" s="121" t="str">
        <f>'Inventory Takeoff'!C488</f>
        <v>Not Used</v>
      </c>
    </row>
    <row r="485" spans="1:7">
      <c r="A485" s="121">
        <f>'Inventory Takeoff'!B489</f>
        <v>484</v>
      </c>
      <c r="B485" s="121">
        <f>'Inventory Takeoff'!H489</f>
        <v>0</v>
      </c>
      <c r="C485" s="121" t="s">
        <v>109</v>
      </c>
      <c r="D485" s="121" t="s">
        <v>1054</v>
      </c>
      <c r="E485" s="271" t="str">
        <f>IF('Inventory Takeoff'!J489="","",'Inventory Takeoff'!J489)</f>
        <v/>
      </c>
      <c r="F485" s="121" t="s">
        <v>1053</v>
      </c>
      <c r="G485" s="121" t="str">
        <f>'Inventory Takeoff'!C489</f>
        <v>Not Used</v>
      </c>
    </row>
    <row r="486" spans="1:7">
      <c r="A486" s="121">
        <f>'Inventory Takeoff'!B490</f>
        <v>485</v>
      </c>
      <c r="B486" s="121">
        <f>'Inventory Takeoff'!H490</f>
        <v>0</v>
      </c>
      <c r="C486" s="121" t="s">
        <v>109</v>
      </c>
      <c r="D486" s="121" t="s">
        <v>1054</v>
      </c>
      <c r="E486" s="271" t="str">
        <f>IF('Inventory Takeoff'!J490="","",'Inventory Takeoff'!J490)</f>
        <v/>
      </c>
      <c r="F486" s="121" t="s">
        <v>1053</v>
      </c>
      <c r="G486" s="121" t="str">
        <f>'Inventory Takeoff'!C490</f>
        <v>Not Used</v>
      </c>
    </row>
    <row r="487" spans="1:7">
      <c r="A487" s="121">
        <f>'Inventory Takeoff'!B491</f>
        <v>486</v>
      </c>
      <c r="B487" s="121">
        <f>'Inventory Takeoff'!H491</f>
        <v>0</v>
      </c>
      <c r="C487" s="121" t="s">
        <v>109</v>
      </c>
      <c r="D487" s="121" t="s">
        <v>1054</v>
      </c>
      <c r="E487" s="271" t="str">
        <f>IF('Inventory Takeoff'!J491="","",'Inventory Takeoff'!J491)</f>
        <v/>
      </c>
      <c r="F487" s="121" t="s">
        <v>1053</v>
      </c>
      <c r="G487" s="121" t="str">
        <f>'Inventory Takeoff'!C491</f>
        <v>Not Used</v>
      </c>
    </row>
    <row r="488" spans="1:7">
      <c r="A488" s="121">
        <f>'Inventory Takeoff'!B492</f>
        <v>487</v>
      </c>
      <c r="B488" s="121">
        <f>'Inventory Takeoff'!H492</f>
        <v>0</v>
      </c>
      <c r="C488" s="121" t="s">
        <v>109</v>
      </c>
      <c r="D488" s="121" t="s">
        <v>1054</v>
      </c>
      <c r="E488" s="271" t="str">
        <f>IF('Inventory Takeoff'!J492="","",'Inventory Takeoff'!J492)</f>
        <v/>
      </c>
      <c r="F488" s="121" t="s">
        <v>1053</v>
      </c>
      <c r="G488" s="121" t="str">
        <f>'Inventory Takeoff'!C492</f>
        <v>Not Used</v>
      </c>
    </row>
    <row r="489" spans="1:7">
      <c r="A489" s="121">
        <f>'Inventory Takeoff'!B493</f>
        <v>488</v>
      </c>
      <c r="B489" s="121">
        <f>'Inventory Takeoff'!H493</f>
        <v>0</v>
      </c>
      <c r="C489" s="121" t="s">
        <v>109</v>
      </c>
      <c r="D489" s="121" t="s">
        <v>1054</v>
      </c>
      <c r="E489" s="271" t="str">
        <f>IF('Inventory Takeoff'!J493="","",'Inventory Takeoff'!J493)</f>
        <v/>
      </c>
      <c r="F489" s="121" t="s">
        <v>1053</v>
      </c>
      <c r="G489" s="121" t="str">
        <f>'Inventory Takeoff'!C493</f>
        <v>Not Used</v>
      </c>
    </row>
    <row r="490" spans="1:7">
      <c r="A490" s="121">
        <f>'Inventory Takeoff'!B494</f>
        <v>489</v>
      </c>
      <c r="B490" s="121">
        <f>'Inventory Takeoff'!H494</f>
        <v>0</v>
      </c>
      <c r="C490" s="121" t="s">
        <v>109</v>
      </c>
      <c r="D490" s="121" t="s">
        <v>1054</v>
      </c>
      <c r="E490" s="271" t="str">
        <f>IF('Inventory Takeoff'!J494="","",'Inventory Takeoff'!J494)</f>
        <v/>
      </c>
      <c r="F490" s="121" t="s">
        <v>1053</v>
      </c>
      <c r="G490" s="121" t="str">
        <f>'Inventory Takeoff'!C494</f>
        <v>Not Used</v>
      </c>
    </row>
    <row r="491" spans="1:7">
      <c r="A491" s="121">
        <f>'Inventory Takeoff'!B495</f>
        <v>490</v>
      </c>
      <c r="B491" s="121">
        <f>'Inventory Takeoff'!H495</f>
        <v>0</v>
      </c>
      <c r="C491" s="121" t="s">
        <v>109</v>
      </c>
      <c r="D491" s="121" t="s">
        <v>1054</v>
      </c>
      <c r="E491" s="271" t="str">
        <f>IF('Inventory Takeoff'!J495="","",'Inventory Takeoff'!J495)</f>
        <v/>
      </c>
      <c r="F491" s="121" t="s">
        <v>1053</v>
      </c>
      <c r="G491" s="121" t="str">
        <f>'Inventory Takeoff'!C495</f>
        <v>Not Used</v>
      </c>
    </row>
    <row r="492" spans="1:7">
      <c r="A492" s="121">
        <f>'Inventory Takeoff'!B496</f>
        <v>491</v>
      </c>
      <c r="B492" s="121">
        <f>'Inventory Takeoff'!H496</f>
        <v>0</v>
      </c>
      <c r="C492" s="121" t="s">
        <v>109</v>
      </c>
      <c r="D492" s="121" t="s">
        <v>1054</v>
      </c>
      <c r="E492" s="271" t="str">
        <f>IF('Inventory Takeoff'!J496="","",'Inventory Takeoff'!J496)</f>
        <v/>
      </c>
      <c r="F492" s="121" t="s">
        <v>1053</v>
      </c>
      <c r="G492" s="121" t="str">
        <f>'Inventory Takeoff'!C496</f>
        <v>Not Used</v>
      </c>
    </row>
    <row r="493" spans="1:7">
      <c r="A493" s="121">
        <f>'Inventory Takeoff'!B497</f>
        <v>492</v>
      </c>
      <c r="B493" s="121">
        <f>'Inventory Takeoff'!H497</f>
        <v>0</v>
      </c>
      <c r="C493" s="121" t="s">
        <v>109</v>
      </c>
      <c r="D493" s="121" t="s">
        <v>1054</v>
      </c>
      <c r="E493" s="271" t="str">
        <f>IF('Inventory Takeoff'!J497="","",'Inventory Takeoff'!J497)</f>
        <v/>
      </c>
      <c r="F493" s="121" t="s">
        <v>1053</v>
      </c>
      <c r="G493" s="121" t="str">
        <f>'Inventory Takeoff'!C497</f>
        <v>Not Used</v>
      </c>
    </row>
    <row r="494" spans="1:7">
      <c r="A494" s="121">
        <f>'Inventory Takeoff'!B498</f>
        <v>493</v>
      </c>
      <c r="B494" s="121">
        <f>'Inventory Takeoff'!H498</f>
        <v>0</v>
      </c>
      <c r="C494" s="121" t="s">
        <v>109</v>
      </c>
      <c r="D494" s="121" t="s">
        <v>1054</v>
      </c>
      <c r="E494" s="271" t="str">
        <f>IF('Inventory Takeoff'!J498="","",'Inventory Takeoff'!J498)</f>
        <v/>
      </c>
      <c r="F494" s="121" t="s">
        <v>1053</v>
      </c>
      <c r="G494" s="121" t="str">
        <f>'Inventory Takeoff'!C498</f>
        <v>Not Used</v>
      </c>
    </row>
    <row r="495" spans="1:7">
      <c r="A495" s="121">
        <f>'Inventory Takeoff'!B499</f>
        <v>494</v>
      </c>
      <c r="B495" s="121">
        <f>'Inventory Takeoff'!H499</f>
        <v>0</v>
      </c>
      <c r="C495" s="121" t="s">
        <v>109</v>
      </c>
      <c r="D495" s="121" t="s">
        <v>1054</v>
      </c>
      <c r="E495" s="271" t="str">
        <f>IF('Inventory Takeoff'!J499="","",'Inventory Takeoff'!J499)</f>
        <v/>
      </c>
      <c r="F495" s="121" t="s">
        <v>1053</v>
      </c>
      <c r="G495" s="121" t="str">
        <f>'Inventory Takeoff'!C499</f>
        <v>Not Used</v>
      </c>
    </row>
    <row r="496" spans="1:7">
      <c r="A496" s="121">
        <f>'Inventory Takeoff'!B500</f>
        <v>495</v>
      </c>
      <c r="B496" s="121">
        <f>'Inventory Takeoff'!H500</f>
        <v>0</v>
      </c>
      <c r="C496" s="121" t="s">
        <v>109</v>
      </c>
      <c r="D496" s="121" t="s">
        <v>1054</v>
      </c>
      <c r="E496" s="271" t="str">
        <f>IF('Inventory Takeoff'!J500="","",'Inventory Takeoff'!J500)</f>
        <v/>
      </c>
      <c r="F496" s="121" t="s">
        <v>1053</v>
      </c>
      <c r="G496" s="121" t="str">
        <f>'Inventory Takeoff'!C500</f>
        <v>Not Used</v>
      </c>
    </row>
    <row r="497" spans="1:7">
      <c r="A497" s="121">
        <f>'Inventory Takeoff'!B501</f>
        <v>496</v>
      </c>
      <c r="B497" s="121">
        <f>'Inventory Takeoff'!H501</f>
        <v>0</v>
      </c>
      <c r="C497" s="121" t="s">
        <v>109</v>
      </c>
      <c r="D497" s="121" t="s">
        <v>1054</v>
      </c>
      <c r="E497" s="271" t="str">
        <f>IF('Inventory Takeoff'!J501="","",'Inventory Takeoff'!J501)</f>
        <v/>
      </c>
      <c r="F497" s="121" t="s">
        <v>1053</v>
      </c>
      <c r="G497" s="121" t="str">
        <f>'Inventory Takeoff'!C501</f>
        <v>Not Used</v>
      </c>
    </row>
    <row r="498" spans="1:7">
      <c r="A498" s="121">
        <f>'Inventory Takeoff'!B502</f>
        <v>497</v>
      </c>
      <c r="B498" s="121">
        <f>'Inventory Takeoff'!H502</f>
        <v>0</v>
      </c>
      <c r="C498" s="121" t="s">
        <v>109</v>
      </c>
      <c r="D498" s="121" t="s">
        <v>1054</v>
      </c>
      <c r="E498" s="271" t="str">
        <f>IF('Inventory Takeoff'!J502="","",'Inventory Takeoff'!J502)</f>
        <v/>
      </c>
      <c r="F498" s="121" t="s">
        <v>1053</v>
      </c>
      <c r="G498" s="121" t="str">
        <f>'Inventory Takeoff'!C502</f>
        <v>Not Used</v>
      </c>
    </row>
    <row r="499" spans="1:7">
      <c r="A499" s="121">
        <f>'Inventory Takeoff'!B503</f>
        <v>498</v>
      </c>
      <c r="B499" s="121">
        <f>'Inventory Takeoff'!H503</f>
        <v>0</v>
      </c>
      <c r="C499" s="121" t="s">
        <v>109</v>
      </c>
      <c r="D499" s="121" t="s">
        <v>1054</v>
      </c>
      <c r="E499" s="271" t="str">
        <f>IF('Inventory Takeoff'!J503="","",'Inventory Takeoff'!J503)</f>
        <v/>
      </c>
      <c r="F499" s="121" t="s">
        <v>1053</v>
      </c>
      <c r="G499" s="121" t="str">
        <f>'Inventory Takeoff'!C503</f>
        <v>Not Used</v>
      </c>
    </row>
    <row r="500" spans="1:7">
      <c r="A500" s="121">
        <f>'Inventory Takeoff'!B504</f>
        <v>499</v>
      </c>
      <c r="B500" s="121">
        <f>'Inventory Takeoff'!H504</f>
        <v>0</v>
      </c>
      <c r="C500" s="121" t="s">
        <v>109</v>
      </c>
      <c r="D500" s="121" t="s">
        <v>1054</v>
      </c>
      <c r="E500" s="271" t="str">
        <f>IF('Inventory Takeoff'!J504="","",'Inventory Takeoff'!J504)</f>
        <v/>
      </c>
      <c r="F500" s="121" t="s">
        <v>1053</v>
      </c>
      <c r="G500" s="121" t="str">
        <f>'Inventory Takeoff'!C504</f>
        <v>Not Used</v>
      </c>
    </row>
    <row r="501" spans="1:7">
      <c r="A501" s="121">
        <f>'Inventory Takeoff'!B505</f>
        <v>500</v>
      </c>
      <c r="B501" s="121">
        <f>'Inventory Takeoff'!H505</f>
        <v>0</v>
      </c>
      <c r="C501" s="121" t="s">
        <v>109</v>
      </c>
      <c r="D501" s="121" t="s">
        <v>1054</v>
      </c>
      <c r="E501" s="271" t="str">
        <f>IF('Inventory Takeoff'!J505="","",'Inventory Takeoff'!J505)</f>
        <v/>
      </c>
      <c r="F501" s="121" t="s">
        <v>1053</v>
      </c>
      <c r="G501" s="121" t="str">
        <f>'Inventory Takeoff'!C505</f>
        <v>Not Used</v>
      </c>
    </row>
    <row r="502" spans="1:7">
      <c r="A502" s="121">
        <f>'Inventory Takeoff'!B506</f>
        <v>501</v>
      </c>
      <c r="B502" s="121">
        <f>'Inventory Takeoff'!H506</f>
        <v>0</v>
      </c>
      <c r="C502" s="121" t="s">
        <v>109</v>
      </c>
      <c r="D502" s="121" t="s">
        <v>1054</v>
      </c>
      <c r="E502" s="271" t="str">
        <f>IF('Inventory Takeoff'!J506="","",'Inventory Takeoff'!J506)</f>
        <v/>
      </c>
      <c r="F502" s="121" t="s">
        <v>1053</v>
      </c>
      <c r="G502" s="121" t="str">
        <f>'Inventory Takeoff'!C506</f>
        <v>Not Used</v>
      </c>
    </row>
    <row r="503" spans="1:7">
      <c r="A503" s="121">
        <f>'Inventory Takeoff'!B507</f>
        <v>502</v>
      </c>
      <c r="B503" s="121">
        <f>'Inventory Takeoff'!H507</f>
        <v>0</v>
      </c>
      <c r="C503" s="121" t="s">
        <v>109</v>
      </c>
      <c r="D503" s="121" t="s">
        <v>1054</v>
      </c>
      <c r="E503" s="271" t="str">
        <f>IF('Inventory Takeoff'!J507="","",'Inventory Takeoff'!J507)</f>
        <v/>
      </c>
      <c r="F503" s="121" t="s">
        <v>1053</v>
      </c>
      <c r="G503" s="121" t="str">
        <f>'Inventory Takeoff'!C507</f>
        <v>Not Used</v>
      </c>
    </row>
    <row r="504" spans="1:7">
      <c r="A504" s="121">
        <f>'Inventory Takeoff'!B508</f>
        <v>503</v>
      </c>
      <c r="B504" s="121">
        <f>'Inventory Takeoff'!H508</f>
        <v>0</v>
      </c>
      <c r="C504" s="121" t="s">
        <v>109</v>
      </c>
      <c r="D504" s="121" t="s">
        <v>1054</v>
      </c>
      <c r="E504" s="271" t="str">
        <f>IF('Inventory Takeoff'!J508="","",'Inventory Takeoff'!J508)</f>
        <v/>
      </c>
      <c r="F504" s="121" t="s">
        <v>1053</v>
      </c>
      <c r="G504" s="121" t="str">
        <f>'Inventory Takeoff'!C508</f>
        <v>Not Used</v>
      </c>
    </row>
    <row r="505" spans="1:7">
      <c r="A505" s="121">
        <f>'Inventory Takeoff'!B509</f>
        <v>504</v>
      </c>
      <c r="B505" s="121">
        <f>'Inventory Takeoff'!H509</f>
        <v>0</v>
      </c>
      <c r="C505" s="121" t="s">
        <v>109</v>
      </c>
      <c r="D505" s="121" t="s">
        <v>1054</v>
      </c>
      <c r="E505" s="271" t="str">
        <f>IF('Inventory Takeoff'!J509="","",'Inventory Takeoff'!J509)</f>
        <v/>
      </c>
      <c r="F505" s="121" t="s">
        <v>1053</v>
      </c>
      <c r="G505" s="121" t="str">
        <f>'Inventory Takeoff'!C509</f>
        <v>Not Used</v>
      </c>
    </row>
    <row r="506" spans="1:7">
      <c r="A506" s="121">
        <f>'Inventory Takeoff'!B510</f>
        <v>505</v>
      </c>
      <c r="B506" s="121">
        <f>'Inventory Takeoff'!H510</f>
        <v>0</v>
      </c>
      <c r="C506" s="121" t="s">
        <v>109</v>
      </c>
      <c r="D506" s="121" t="s">
        <v>1054</v>
      </c>
      <c r="E506" s="271" t="str">
        <f>IF('Inventory Takeoff'!J510="","",'Inventory Takeoff'!J510)</f>
        <v/>
      </c>
      <c r="F506" s="121" t="s">
        <v>1053</v>
      </c>
      <c r="G506" s="121" t="str">
        <f>'Inventory Takeoff'!C510</f>
        <v>Not Used</v>
      </c>
    </row>
    <row r="507" spans="1:7">
      <c r="A507" s="121">
        <f>'Inventory Takeoff'!B511</f>
        <v>506</v>
      </c>
      <c r="B507" s="121">
        <f>'Inventory Takeoff'!H511</f>
        <v>0</v>
      </c>
      <c r="C507" s="121" t="s">
        <v>109</v>
      </c>
      <c r="D507" s="121" t="s">
        <v>1054</v>
      </c>
      <c r="E507" s="271" t="str">
        <f>IF('Inventory Takeoff'!J511="","",'Inventory Takeoff'!J511)</f>
        <v/>
      </c>
      <c r="F507" s="121" t="s">
        <v>1053</v>
      </c>
      <c r="G507" s="121" t="str">
        <f>'Inventory Takeoff'!C511</f>
        <v>Not Used</v>
      </c>
    </row>
    <row r="508" spans="1:7">
      <c r="A508" s="121">
        <f>'Inventory Takeoff'!B512</f>
        <v>507</v>
      </c>
      <c r="B508" s="121">
        <f>'Inventory Takeoff'!H512</f>
        <v>0</v>
      </c>
      <c r="C508" s="121" t="s">
        <v>109</v>
      </c>
      <c r="D508" s="121" t="s">
        <v>1054</v>
      </c>
      <c r="E508" s="271" t="str">
        <f>IF('Inventory Takeoff'!J512="","",'Inventory Takeoff'!J512)</f>
        <v/>
      </c>
      <c r="F508" s="121" t="s">
        <v>1053</v>
      </c>
      <c r="G508" s="121" t="str">
        <f>'Inventory Takeoff'!C512</f>
        <v>Not Used</v>
      </c>
    </row>
    <row r="509" spans="1:7">
      <c r="A509" s="121">
        <f>'Inventory Takeoff'!B513</f>
        <v>508</v>
      </c>
      <c r="B509" s="121">
        <f>'Inventory Takeoff'!H513</f>
        <v>0</v>
      </c>
      <c r="C509" s="121" t="s">
        <v>109</v>
      </c>
      <c r="D509" s="121" t="s">
        <v>1054</v>
      </c>
      <c r="E509" s="271" t="str">
        <f>IF('Inventory Takeoff'!J513="","",'Inventory Takeoff'!J513)</f>
        <v/>
      </c>
      <c r="F509" s="121" t="s">
        <v>1053</v>
      </c>
      <c r="G509" s="121" t="str">
        <f>'Inventory Takeoff'!C513</f>
        <v>Not Used</v>
      </c>
    </row>
    <row r="510" spans="1:7">
      <c r="A510" s="121">
        <f>'Inventory Takeoff'!B514</f>
        <v>509</v>
      </c>
      <c r="B510" s="121">
        <f>'Inventory Takeoff'!H514</f>
        <v>0</v>
      </c>
      <c r="C510" s="121" t="s">
        <v>109</v>
      </c>
      <c r="D510" s="121" t="s">
        <v>1054</v>
      </c>
      <c r="E510" s="271" t="str">
        <f>IF('Inventory Takeoff'!J514="","",'Inventory Takeoff'!J514)</f>
        <v/>
      </c>
      <c r="F510" s="121" t="s">
        <v>1053</v>
      </c>
      <c r="G510" s="121" t="str">
        <f>'Inventory Takeoff'!C514</f>
        <v>Not Used</v>
      </c>
    </row>
    <row r="511" spans="1:7">
      <c r="A511" s="121">
        <f>'Inventory Takeoff'!B515</f>
        <v>510</v>
      </c>
      <c r="B511" s="121">
        <f>'Inventory Takeoff'!H515</f>
        <v>0</v>
      </c>
      <c r="C511" s="121" t="s">
        <v>109</v>
      </c>
      <c r="D511" s="121" t="s">
        <v>1054</v>
      </c>
      <c r="E511" s="271" t="str">
        <f>IF('Inventory Takeoff'!J515="","",'Inventory Takeoff'!J515)</f>
        <v/>
      </c>
      <c r="F511" s="121" t="s">
        <v>1053</v>
      </c>
      <c r="G511" s="121" t="str">
        <f>'Inventory Takeoff'!C515</f>
        <v>Not Used</v>
      </c>
    </row>
    <row r="512" spans="1:7">
      <c r="A512" s="121">
        <f>'Inventory Takeoff'!B516</f>
        <v>511</v>
      </c>
      <c r="B512" s="121">
        <f>'Inventory Takeoff'!H516</f>
        <v>0</v>
      </c>
      <c r="C512" s="121" t="s">
        <v>109</v>
      </c>
      <c r="D512" s="121" t="s">
        <v>1054</v>
      </c>
      <c r="E512" s="271" t="str">
        <f>IF('Inventory Takeoff'!J516="","",'Inventory Takeoff'!J516)</f>
        <v/>
      </c>
      <c r="F512" s="121" t="s">
        <v>1053</v>
      </c>
      <c r="G512" s="121" t="str">
        <f>'Inventory Takeoff'!C516</f>
        <v>Not Used</v>
      </c>
    </row>
    <row r="513" spans="1:7">
      <c r="A513" s="121">
        <f>'Inventory Takeoff'!B517</f>
        <v>512</v>
      </c>
      <c r="B513" s="121">
        <f>'Inventory Takeoff'!H517</f>
        <v>0</v>
      </c>
      <c r="C513" s="121" t="s">
        <v>109</v>
      </c>
      <c r="D513" s="121" t="s">
        <v>1054</v>
      </c>
      <c r="E513" s="271" t="str">
        <f>IF('Inventory Takeoff'!J517="","",'Inventory Takeoff'!J517)</f>
        <v/>
      </c>
      <c r="F513" s="121" t="s">
        <v>1053</v>
      </c>
      <c r="G513" s="121" t="str">
        <f>'Inventory Takeoff'!C517</f>
        <v>Not Used</v>
      </c>
    </row>
    <row r="514" spans="1:7">
      <c r="A514" s="121">
        <f>'Inventory Takeoff'!B518</f>
        <v>513</v>
      </c>
      <c r="B514" s="121">
        <f>'Inventory Takeoff'!H518</f>
        <v>0</v>
      </c>
      <c r="C514" s="121" t="s">
        <v>109</v>
      </c>
      <c r="D514" s="121" t="s">
        <v>1054</v>
      </c>
      <c r="E514" s="271" t="str">
        <f>IF('Inventory Takeoff'!J518="","",'Inventory Takeoff'!J518)</f>
        <v/>
      </c>
      <c r="F514" s="121" t="s">
        <v>1053</v>
      </c>
      <c r="G514" s="121" t="str">
        <f>'Inventory Takeoff'!C518</f>
        <v>Not Used</v>
      </c>
    </row>
    <row r="515" spans="1:7">
      <c r="A515" s="121">
        <f>'Inventory Takeoff'!B519</f>
        <v>514</v>
      </c>
      <c r="B515" s="121">
        <f>'Inventory Takeoff'!H519</f>
        <v>0</v>
      </c>
      <c r="C515" s="121" t="s">
        <v>109</v>
      </c>
      <c r="D515" s="121" t="s">
        <v>1054</v>
      </c>
      <c r="E515" s="271" t="str">
        <f>IF('Inventory Takeoff'!J519="","",'Inventory Takeoff'!J519)</f>
        <v/>
      </c>
      <c r="F515" s="121" t="s">
        <v>1053</v>
      </c>
      <c r="G515" s="121" t="str">
        <f>'Inventory Takeoff'!C519</f>
        <v>Not Used</v>
      </c>
    </row>
    <row r="516" spans="1:7">
      <c r="A516" s="121">
        <f>'Inventory Takeoff'!B520</f>
        <v>515</v>
      </c>
      <c r="B516" s="121">
        <f>'Inventory Takeoff'!H520</f>
        <v>0</v>
      </c>
      <c r="C516" s="121" t="s">
        <v>109</v>
      </c>
      <c r="D516" s="121" t="s">
        <v>1054</v>
      </c>
      <c r="E516" s="271" t="str">
        <f>IF('Inventory Takeoff'!J520="","",'Inventory Takeoff'!J520)</f>
        <v/>
      </c>
      <c r="F516" s="121" t="s">
        <v>1053</v>
      </c>
      <c r="G516" s="121" t="str">
        <f>'Inventory Takeoff'!C520</f>
        <v>Not Used</v>
      </c>
    </row>
    <row r="517" spans="1:7">
      <c r="A517" s="121">
        <f>'Inventory Takeoff'!B521</f>
        <v>516</v>
      </c>
      <c r="B517" s="121">
        <f>'Inventory Takeoff'!H521</f>
        <v>0</v>
      </c>
      <c r="C517" s="121" t="s">
        <v>109</v>
      </c>
      <c r="D517" s="121" t="s">
        <v>1054</v>
      </c>
      <c r="E517" s="271" t="str">
        <f>IF('Inventory Takeoff'!J521="","",'Inventory Takeoff'!J521)</f>
        <v/>
      </c>
      <c r="F517" s="121" t="s">
        <v>1053</v>
      </c>
      <c r="G517" s="121" t="str">
        <f>'Inventory Takeoff'!C521</f>
        <v>Not Used</v>
      </c>
    </row>
    <row r="518" spans="1:7">
      <c r="A518" s="121">
        <f>'Inventory Takeoff'!B522</f>
        <v>517</v>
      </c>
      <c r="B518" s="121">
        <f>'Inventory Takeoff'!H522</f>
        <v>0</v>
      </c>
      <c r="C518" s="121" t="s">
        <v>109</v>
      </c>
      <c r="D518" s="121" t="s">
        <v>1054</v>
      </c>
      <c r="E518" s="271" t="str">
        <f>IF('Inventory Takeoff'!J522="","",'Inventory Takeoff'!J522)</f>
        <v/>
      </c>
      <c r="F518" s="121" t="s">
        <v>1053</v>
      </c>
      <c r="G518" s="121" t="str">
        <f>'Inventory Takeoff'!C522</f>
        <v>Not Used</v>
      </c>
    </row>
    <row r="519" spans="1:7">
      <c r="A519" s="121">
        <f>'Inventory Takeoff'!B523</f>
        <v>518</v>
      </c>
      <c r="B519" s="121">
        <f>'Inventory Takeoff'!H523</f>
        <v>0</v>
      </c>
      <c r="C519" s="121" t="s">
        <v>109</v>
      </c>
      <c r="D519" s="121" t="s">
        <v>1054</v>
      </c>
      <c r="E519" s="271" t="str">
        <f>IF('Inventory Takeoff'!J523="","",'Inventory Takeoff'!J523)</f>
        <v/>
      </c>
      <c r="F519" s="121" t="s">
        <v>1053</v>
      </c>
      <c r="G519" s="121" t="str">
        <f>'Inventory Takeoff'!C523</f>
        <v>Not Used</v>
      </c>
    </row>
    <row r="520" spans="1:7">
      <c r="A520" s="121">
        <f>'Inventory Takeoff'!B524</f>
        <v>519</v>
      </c>
      <c r="B520" s="121">
        <f>'Inventory Takeoff'!H524</f>
        <v>0</v>
      </c>
      <c r="C520" s="121" t="s">
        <v>109</v>
      </c>
      <c r="D520" s="121" t="s">
        <v>1054</v>
      </c>
      <c r="E520" s="271" t="str">
        <f>IF('Inventory Takeoff'!J524="","",'Inventory Takeoff'!J524)</f>
        <v/>
      </c>
      <c r="F520" s="121" t="s">
        <v>1053</v>
      </c>
      <c r="G520" s="121" t="str">
        <f>'Inventory Takeoff'!C524</f>
        <v>Not Used</v>
      </c>
    </row>
    <row r="521" spans="1:7">
      <c r="A521" s="121">
        <f>'Inventory Takeoff'!B525</f>
        <v>520</v>
      </c>
      <c r="B521" s="121">
        <f>'Inventory Takeoff'!H525</f>
        <v>0</v>
      </c>
      <c r="C521" s="121" t="s">
        <v>109</v>
      </c>
      <c r="D521" s="121" t="s">
        <v>1054</v>
      </c>
      <c r="E521" s="271" t="str">
        <f>IF('Inventory Takeoff'!J525="","",'Inventory Takeoff'!J525)</f>
        <v/>
      </c>
      <c r="F521" s="121" t="s">
        <v>1053</v>
      </c>
      <c r="G521" s="121" t="str">
        <f>'Inventory Takeoff'!C525</f>
        <v>Not Used</v>
      </c>
    </row>
    <row r="522" spans="1:7">
      <c r="A522" s="121">
        <f>'Inventory Takeoff'!B526</f>
        <v>521</v>
      </c>
      <c r="B522" s="121">
        <f>'Inventory Takeoff'!H526</f>
        <v>0</v>
      </c>
      <c r="C522" s="121" t="s">
        <v>109</v>
      </c>
      <c r="D522" s="121" t="s">
        <v>1054</v>
      </c>
      <c r="E522" s="271" t="str">
        <f>IF('Inventory Takeoff'!J526="","",'Inventory Takeoff'!J526)</f>
        <v/>
      </c>
      <c r="F522" s="121" t="s">
        <v>1053</v>
      </c>
      <c r="G522" s="121" t="str">
        <f>'Inventory Takeoff'!C526</f>
        <v>Not Used</v>
      </c>
    </row>
    <row r="523" spans="1:7">
      <c r="A523" s="121">
        <f>'Inventory Takeoff'!B527</f>
        <v>522</v>
      </c>
      <c r="B523" s="121">
        <f>'Inventory Takeoff'!H527</f>
        <v>0</v>
      </c>
      <c r="C523" s="121" t="s">
        <v>109</v>
      </c>
      <c r="D523" s="121" t="s">
        <v>1054</v>
      </c>
      <c r="E523" s="271" t="str">
        <f>IF('Inventory Takeoff'!J527="","",'Inventory Takeoff'!J527)</f>
        <v/>
      </c>
      <c r="F523" s="121" t="s">
        <v>1053</v>
      </c>
      <c r="G523" s="121" t="str">
        <f>'Inventory Takeoff'!C527</f>
        <v>Not Used</v>
      </c>
    </row>
    <row r="524" spans="1:7">
      <c r="A524" s="121">
        <f>'Inventory Takeoff'!B528</f>
        <v>523</v>
      </c>
      <c r="B524" s="121">
        <f>'Inventory Takeoff'!H528</f>
        <v>0</v>
      </c>
      <c r="C524" s="121" t="s">
        <v>109</v>
      </c>
      <c r="D524" s="121" t="s">
        <v>1054</v>
      </c>
      <c r="E524" s="271" t="str">
        <f>IF('Inventory Takeoff'!J528="","",'Inventory Takeoff'!J528)</f>
        <v/>
      </c>
      <c r="F524" s="121" t="s">
        <v>1053</v>
      </c>
      <c r="G524" s="121" t="str">
        <f>'Inventory Takeoff'!C528</f>
        <v>Not Used</v>
      </c>
    </row>
    <row r="525" spans="1:7">
      <c r="A525" s="121">
        <f>'Inventory Takeoff'!B529</f>
        <v>524</v>
      </c>
      <c r="B525" s="121">
        <f>'Inventory Takeoff'!H529</f>
        <v>0</v>
      </c>
      <c r="C525" s="121" t="s">
        <v>109</v>
      </c>
      <c r="D525" s="121" t="s">
        <v>1054</v>
      </c>
      <c r="E525" s="271" t="str">
        <f>IF('Inventory Takeoff'!J529="","",'Inventory Takeoff'!J529)</f>
        <v/>
      </c>
      <c r="F525" s="121" t="s">
        <v>1053</v>
      </c>
      <c r="G525" s="121" t="str">
        <f>'Inventory Takeoff'!C529</f>
        <v>Not Used</v>
      </c>
    </row>
    <row r="526" spans="1:7">
      <c r="A526" s="121">
        <f>'Inventory Takeoff'!B530</f>
        <v>525</v>
      </c>
      <c r="B526" s="121">
        <f>'Inventory Takeoff'!H530</f>
        <v>0</v>
      </c>
      <c r="C526" s="121" t="s">
        <v>109</v>
      </c>
      <c r="D526" s="121" t="s">
        <v>1054</v>
      </c>
      <c r="E526" s="271" t="str">
        <f>IF('Inventory Takeoff'!J530="","",'Inventory Takeoff'!J530)</f>
        <v/>
      </c>
      <c r="F526" s="121" t="s">
        <v>1053</v>
      </c>
      <c r="G526" s="121" t="str">
        <f>'Inventory Takeoff'!C530</f>
        <v>Not Used</v>
      </c>
    </row>
    <row r="527" spans="1:7">
      <c r="A527" s="121">
        <f>'Inventory Takeoff'!B531</f>
        <v>526</v>
      </c>
      <c r="B527" s="121">
        <f>'Inventory Takeoff'!H531</f>
        <v>0</v>
      </c>
      <c r="C527" s="121" t="s">
        <v>109</v>
      </c>
      <c r="D527" s="121" t="s">
        <v>1054</v>
      </c>
      <c r="E527" s="271" t="str">
        <f>IF('Inventory Takeoff'!J531="","",'Inventory Takeoff'!J531)</f>
        <v/>
      </c>
      <c r="F527" s="121" t="s">
        <v>1053</v>
      </c>
      <c r="G527" s="121" t="str">
        <f>'Inventory Takeoff'!C531</f>
        <v>Not Used</v>
      </c>
    </row>
    <row r="528" spans="1:7">
      <c r="A528" s="121">
        <f>'Inventory Takeoff'!B532</f>
        <v>527</v>
      </c>
      <c r="B528" s="121">
        <f>'Inventory Takeoff'!H532</f>
        <v>0</v>
      </c>
      <c r="C528" s="121" t="s">
        <v>109</v>
      </c>
      <c r="D528" s="121" t="s">
        <v>1054</v>
      </c>
      <c r="E528" s="271" t="str">
        <f>IF('Inventory Takeoff'!J532="","",'Inventory Takeoff'!J532)</f>
        <v/>
      </c>
      <c r="F528" s="121" t="s">
        <v>1053</v>
      </c>
      <c r="G528" s="121" t="str">
        <f>'Inventory Takeoff'!C532</f>
        <v>Not Used</v>
      </c>
    </row>
    <row r="529" spans="1:7">
      <c r="A529" s="121">
        <f>'Inventory Takeoff'!B533</f>
        <v>528</v>
      </c>
      <c r="B529" s="121">
        <f>'Inventory Takeoff'!H533</f>
        <v>0</v>
      </c>
      <c r="C529" s="121" t="s">
        <v>109</v>
      </c>
      <c r="D529" s="121" t="s">
        <v>1054</v>
      </c>
      <c r="E529" s="271" t="str">
        <f>IF('Inventory Takeoff'!J533="","",'Inventory Takeoff'!J533)</f>
        <v/>
      </c>
      <c r="F529" s="121" t="s">
        <v>1053</v>
      </c>
      <c r="G529" s="121" t="str">
        <f>'Inventory Takeoff'!C533</f>
        <v>Not Used</v>
      </c>
    </row>
    <row r="530" spans="1:7">
      <c r="A530" s="121">
        <f>'Inventory Takeoff'!B534</f>
        <v>529</v>
      </c>
      <c r="B530" s="121">
        <f>'Inventory Takeoff'!H534</f>
        <v>0</v>
      </c>
      <c r="C530" s="121" t="s">
        <v>109</v>
      </c>
      <c r="D530" s="121" t="s">
        <v>1054</v>
      </c>
      <c r="E530" s="271" t="str">
        <f>IF('Inventory Takeoff'!J534="","",'Inventory Takeoff'!J534)</f>
        <v/>
      </c>
      <c r="F530" s="121" t="s">
        <v>1053</v>
      </c>
      <c r="G530" s="121" t="str">
        <f>'Inventory Takeoff'!C534</f>
        <v>Not Used</v>
      </c>
    </row>
    <row r="531" spans="1:7">
      <c r="A531" s="121">
        <f>'Inventory Takeoff'!B535</f>
        <v>530</v>
      </c>
      <c r="B531" s="121">
        <f>'Inventory Takeoff'!H535</f>
        <v>0</v>
      </c>
      <c r="C531" s="121" t="s">
        <v>109</v>
      </c>
      <c r="D531" s="121" t="s">
        <v>1054</v>
      </c>
      <c r="E531" s="271" t="str">
        <f>IF('Inventory Takeoff'!J535="","",'Inventory Takeoff'!J535)</f>
        <v/>
      </c>
      <c r="F531" s="121" t="s">
        <v>1053</v>
      </c>
      <c r="G531" s="121" t="str">
        <f>'Inventory Takeoff'!C535</f>
        <v>Not Used</v>
      </c>
    </row>
    <row r="532" spans="1:7">
      <c r="A532" s="121">
        <f>'Inventory Takeoff'!B536</f>
        <v>531</v>
      </c>
      <c r="B532" s="121">
        <f>'Inventory Takeoff'!H536</f>
        <v>0</v>
      </c>
      <c r="C532" s="121" t="s">
        <v>109</v>
      </c>
      <c r="D532" s="121" t="s">
        <v>1054</v>
      </c>
      <c r="E532" s="271" t="str">
        <f>IF('Inventory Takeoff'!J536="","",'Inventory Takeoff'!J536)</f>
        <v/>
      </c>
      <c r="F532" s="121" t="s">
        <v>1053</v>
      </c>
      <c r="G532" s="121" t="str">
        <f>'Inventory Takeoff'!C536</f>
        <v>Not Used</v>
      </c>
    </row>
    <row r="533" spans="1:7">
      <c r="A533" s="121">
        <f>'Inventory Takeoff'!B537</f>
        <v>532</v>
      </c>
      <c r="B533" s="121">
        <f>'Inventory Takeoff'!H537</f>
        <v>0</v>
      </c>
      <c r="C533" s="121" t="s">
        <v>109</v>
      </c>
      <c r="D533" s="121" t="s">
        <v>1054</v>
      </c>
      <c r="E533" s="271" t="str">
        <f>IF('Inventory Takeoff'!J537="","",'Inventory Takeoff'!J537)</f>
        <v/>
      </c>
      <c r="F533" s="121" t="s">
        <v>1053</v>
      </c>
      <c r="G533" s="121" t="str">
        <f>'Inventory Takeoff'!C537</f>
        <v>Not Used</v>
      </c>
    </row>
    <row r="534" spans="1:7">
      <c r="A534" s="121">
        <f>'Inventory Takeoff'!B538</f>
        <v>533</v>
      </c>
      <c r="B534" s="121">
        <f>'Inventory Takeoff'!H538</f>
        <v>0.81</v>
      </c>
      <c r="C534" s="121" t="s">
        <v>109</v>
      </c>
      <c r="D534" s="121" t="s">
        <v>1054</v>
      </c>
      <c r="E534" s="271" t="str">
        <f>IF('Inventory Takeoff'!J538="","",'Inventory Takeoff'!J538)</f>
        <v/>
      </c>
      <c r="F534" s="121" t="s">
        <v>1053</v>
      </c>
      <c r="G534" s="121" t="str">
        <f>'Inventory Takeoff'!C538</f>
        <v>Tee Bar - 2'</v>
      </c>
    </row>
    <row r="535" spans="1:7">
      <c r="A535" s="121">
        <f>'Inventory Takeoff'!B539</f>
        <v>534</v>
      </c>
      <c r="B535" s="121">
        <f>'Inventory Takeoff'!H539</f>
        <v>0</v>
      </c>
      <c r="C535" s="121" t="s">
        <v>109</v>
      </c>
      <c r="D535" s="121" t="s">
        <v>1054</v>
      </c>
      <c r="E535" s="271" t="str">
        <f>IF('Inventory Takeoff'!J539="","",'Inventory Takeoff'!J539)</f>
        <v/>
      </c>
      <c r="F535" s="121" t="s">
        <v>1053</v>
      </c>
      <c r="G535" s="121" t="str">
        <f>'Inventory Takeoff'!C539</f>
        <v>Not Used</v>
      </c>
    </row>
    <row r="536" spans="1:7">
      <c r="A536" s="121">
        <f>'Inventory Takeoff'!B540</f>
        <v>535</v>
      </c>
      <c r="B536" s="121">
        <f>'Inventory Takeoff'!H540</f>
        <v>121</v>
      </c>
      <c r="C536" s="121" t="s">
        <v>109</v>
      </c>
      <c r="D536" s="121" t="s">
        <v>1054</v>
      </c>
      <c r="E536" s="271" t="str">
        <f>IF('Inventory Takeoff'!J540="","",'Inventory Takeoff'!J540)</f>
        <v/>
      </c>
      <c r="F536" s="121" t="s">
        <v>1053</v>
      </c>
      <c r="G536" s="121" t="str">
        <f>'Inventory Takeoff'!C540</f>
        <v>Hanger Strap 18 Gauge</v>
      </c>
    </row>
    <row r="537" spans="1:7">
      <c r="A537" s="121">
        <f>'Inventory Takeoff'!B541</f>
        <v>536</v>
      </c>
      <c r="B537" s="121">
        <f>'Inventory Takeoff'!H541</f>
        <v>0.25</v>
      </c>
      <c r="C537" s="121" t="s">
        <v>109</v>
      </c>
      <c r="D537" s="121" t="s">
        <v>1052</v>
      </c>
      <c r="E537" s="271" t="str">
        <f>IF('Inventory Takeoff'!J541="","",'Inventory Takeoff'!J541)</f>
        <v/>
      </c>
      <c r="F537" s="121" t="s">
        <v>1053</v>
      </c>
      <c r="G537" s="121" t="str">
        <f>'Inventory Takeoff'!C541</f>
        <v>Hanger Strap 18 Gauge</v>
      </c>
    </row>
    <row r="538" spans="1:7">
      <c r="A538" s="121">
        <f>'Inventory Takeoff'!B542</f>
        <v>537</v>
      </c>
      <c r="B538" s="121">
        <f>'Inventory Takeoff'!H542</f>
        <v>121</v>
      </c>
      <c r="C538" s="121" t="s">
        <v>109</v>
      </c>
      <c r="D538" s="121" t="s">
        <v>1054</v>
      </c>
      <c r="E538" s="271" t="str">
        <f>IF('Inventory Takeoff'!J542="","",'Inventory Takeoff'!J542)</f>
        <v/>
      </c>
      <c r="F538" s="121" t="s">
        <v>1053</v>
      </c>
      <c r="G538" s="121" t="str">
        <f>'Inventory Takeoff'!C542</f>
        <v>Hanger Strap 22 Gauge</v>
      </c>
    </row>
    <row r="539" spans="1:7">
      <c r="A539" s="121">
        <f>'Inventory Takeoff'!B543</f>
        <v>538</v>
      </c>
      <c r="B539" s="121">
        <f>'Inventory Takeoff'!H543</f>
        <v>0.19</v>
      </c>
      <c r="C539" s="121" t="s">
        <v>109</v>
      </c>
      <c r="D539" s="121" t="s">
        <v>1052</v>
      </c>
      <c r="E539" s="271" t="str">
        <f>IF('Inventory Takeoff'!J543="","",'Inventory Takeoff'!J543)</f>
        <v/>
      </c>
      <c r="F539" s="121" t="s">
        <v>1053</v>
      </c>
      <c r="G539" s="121" t="str">
        <f>'Inventory Takeoff'!C543</f>
        <v>Hanger Strap 22 Gauge</v>
      </c>
    </row>
    <row r="540" spans="1:7">
      <c r="A540" s="121">
        <f>'Inventory Takeoff'!B544</f>
        <v>539</v>
      </c>
      <c r="B540" s="121">
        <f>'Inventory Takeoff'!H544</f>
        <v>0</v>
      </c>
      <c r="C540" s="121" t="s">
        <v>109</v>
      </c>
      <c r="D540" s="121" t="s">
        <v>1054</v>
      </c>
      <c r="E540" s="271" t="str">
        <f>IF('Inventory Takeoff'!J544="","",'Inventory Takeoff'!J544)</f>
        <v/>
      </c>
      <c r="F540" s="121" t="s">
        <v>1053</v>
      </c>
      <c r="G540" s="121" t="str">
        <f>'Inventory Takeoff'!C544</f>
        <v>Not Used</v>
      </c>
    </row>
    <row r="541" spans="1:7">
      <c r="A541" s="121">
        <f>'Inventory Takeoff'!B545</f>
        <v>540</v>
      </c>
      <c r="B541" s="121">
        <f>'Inventory Takeoff'!H545</f>
        <v>1.07</v>
      </c>
      <c r="C541" s="121" t="s">
        <v>109</v>
      </c>
      <c r="D541" s="121" t="s">
        <v>1054</v>
      </c>
      <c r="E541" s="271" t="str">
        <f>IF('Inventory Takeoff'!J545="","",'Inventory Takeoff'!J545)</f>
        <v/>
      </c>
      <c r="F541" s="121" t="s">
        <v>1053</v>
      </c>
      <c r="G541" s="121" t="str">
        <f>'Inventory Takeoff'!C545</f>
        <v>Hanger Eye Socket</v>
      </c>
    </row>
    <row r="542" spans="1:7">
      <c r="A542" s="121">
        <f>'Inventory Takeoff'!B546</f>
        <v>541</v>
      </c>
      <c r="B542" s="121">
        <f>'Inventory Takeoff'!H546</f>
        <v>0.63</v>
      </c>
      <c r="C542" s="121" t="s">
        <v>109</v>
      </c>
      <c r="D542" s="121" t="s">
        <v>1054</v>
      </c>
      <c r="E542" s="271" t="str">
        <f>IF('Inventory Takeoff'!J546="","",'Inventory Takeoff'!J546)</f>
        <v/>
      </c>
      <c r="F542" s="121" t="s">
        <v>1053</v>
      </c>
      <c r="G542" s="121" t="str">
        <f>'Inventory Takeoff'!C546</f>
        <v>Hanger Screw</v>
      </c>
    </row>
    <row r="543" spans="1:7">
      <c r="A543" s="121">
        <f>'Inventory Takeoff'!B547</f>
        <v>542</v>
      </c>
      <c r="B543" s="121">
        <f>'Inventory Takeoff'!H547</f>
        <v>0</v>
      </c>
      <c r="C543" s="121" t="s">
        <v>109</v>
      </c>
      <c r="D543" s="121" t="s">
        <v>1054</v>
      </c>
      <c r="E543" s="271" t="str">
        <f>IF('Inventory Takeoff'!J547="","",'Inventory Takeoff'!J547)</f>
        <v/>
      </c>
      <c r="F543" s="121" t="s">
        <v>1053</v>
      </c>
      <c r="G543" s="121" t="str">
        <f>'Inventory Takeoff'!C547</f>
        <v>Not Used</v>
      </c>
    </row>
    <row r="544" spans="1:7">
      <c r="A544" s="121">
        <f>'Inventory Takeoff'!B548</f>
        <v>543</v>
      </c>
      <c r="B544" s="121">
        <f>'Inventory Takeoff'!H548</f>
        <v>0.37</v>
      </c>
      <c r="C544" s="121" t="s">
        <v>109</v>
      </c>
      <c r="D544" s="121" t="s">
        <v>1054</v>
      </c>
      <c r="E544" s="271" t="str">
        <f>IF('Inventory Takeoff'!J548="","",'Inventory Takeoff'!J548)</f>
        <v/>
      </c>
      <c r="F544" s="121" t="s">
        <v>1053</v>
      </c>
      <c r="G544" s="121" t="str">
        <f>'Inventory Takeoff'!C548</f>
        <v>Rod Coupler</v>
      </c>
    </row>
    <row r="545" spans="1:7">
      <c r="A545" s="121">
        <f>'Inventory Takeoff'!B549</f>
        <v>544</v>
      </c>
      <c r="B545" s="121">
        <f>'Inventory Takeoff'!H549</f>
        <v>6.47</v>
      </c>
      <c r="C545" s="121" t="s">
        <v>109</v>
      </c>
      <c r="D545" s="121" t="s">
        <v>1054</v>
      </c>
      <c r="E545" s="271">
        <f>IF('Inventory Takeoff'!J549="","",'Inventory Takeoff'!J549)</f>
        <v>44949</v>
      </c>
      <c r="F545" s="121" t="s">
        <v>1053</v>
      </c>
      <c r="G545" s="121" t="str">
        <f>'Inventory Takeoff'!C549</f>
        <v>12" Wood Sawzall Blade</v>
      </c>
    </row>
    <row r="546" spans="1:7">
      <c r="A546" s="121">
        <f>'Inventory Takeoff'!B550</f>
        <v>545</v>
      </c>
      <c r="B546" s="121">
        <f>'Inventory Takeoff'!H550</f>
        <v>6.0699999999999994</v>
      </c>
      <c r="C546" s="121" t="s">
        <v>109</v>
      </c>
      <c r="D546" s="121" t="s">
        <v>1054</v>
      </c>
      <c r="E546" s="271">
        <f>IF('Inventory Takeoff'!J550="","",'Inventory Takeoff'!J550)</f>
        <v>44476</v>
      </c>
      <c r="F546" s="121" t="s">
        <v>1053</v>
      </c>
      <c r="G546" s="121" t="str">
        <f>'Inventory Takeoff'!C550</f>
        <v>12" Metal Sawzall Blade</v>
      </c>
    </row>
    <row r="547" spans="1:7">
      <c r="A547" s="121">
        <f>'Inventory Takeoff'!B551</f>
        <v>546</v>
      </c>
      <c r="B547" s="121">
        <f>'Inventory Takeoff'!H551</f>
        <v>26.57</v>
      </c>
      <c r="C547" s="121" t="s">
        <v>109</v>
      </c>
      <c r="D547" s="121" t="s">
        <v>1054</v>
      </c>
      <c r="E547" s="271" t="str">
        <f>IF('Inventory Takeoff'!J551="","",'Inventory Takeoff'!J551)</f>
        <v/>
      </c>
      <c r="F547" s="121" t="s">
        <v>1053</v>
      </c>
      <c r="G547" s="121" t="str">
        <f>'Inventory Takeoff'!C551</f>
        <v>Flex Hanger</v>
      </c>
    </row>
    <row r="548" spans="1:7">
      <c r="A548" s="121">
        <f>'Inventory Takeoff'!B552</f>
        <v>547</v>
      </c>
      <c r="B548" s="121">
        <f>'Inventory Takeoff'!H552</f>
        <v>0.25</v>
      </c>
      <c r="C548" s="121" t="s">
        <v>109</v>
      </c>
      <c r="D548" s="121" t="s">
        <v>1054</v>
      </c>
      <c r="E548" s="271" t="str">
        <f>IF('Inventory Takeoff'!J552="","",'Inventory Takeoff'!J552)</f>
        <v/>
      </c>
      <c r="F548" s="121" t="s">
        <v>1053</v>
      </c>
      <c r="G548" s="121" t="str">
        <f>'Inventory Takeoff'!C552</f>
        <v>Hanger 1/2 Eye Screw</v>
      </c>
    </row>
    <row r="549" spans="1:7">
      <c r="A549" s="121">
        <f>'Inventory Takeoff'!B553</f>
        <v>548</v>
      </c>
      <c r="B549" s="121">
        <f>'Inventory Takeoff'!H553</f>
        <v>50.43</v>
      </c>
      <c r="C549" s="121" t="s">
        <v>109</v>
      </c>
      <c r="D549" s="121" t="s">
        <v>1054</v>
      </c>
      <c r="E549" s="271">
        <f>IF('Inventory Takeoff'!J553="","",'Inventory Takeoff'!J553)</f>
        <v>44476</v>
      </c>
      <c r="F549" s="121" t="s">
        <v>1053</v>
      </c>
      <c r="G549" s="121" t="str">
        <f>'Inventory Takeoff'!C553</f>
        <v>50' Extension Cord</v>
      </c>
    </row>
    <row r="550" spans="1:7">
      <c r="A550" s="121">
        <f>'Inventory Takeoff'!B554</f>
        <v>549</v>
      </c>
      <c r="B550" s="121">
        <f>'Inventory Takeoff'!H554</f>
        <v>102.92</v>
      </c>
      <c r="C550" s="121" t="s">
        <v>109</v>
      </c>
      <c r="D550" s="121" t="s">
        <v>1054</v>
      </c>
      <c r="E550" s="271">
        <f>IF('Inventory Takeoff'!J554="","",'Inventory Takeoff'!J554)</f>
        <v>44476</v>
      </c>
      <c r="F550" s="121" t="s">
        <v>1053</v>
      </c>
      <c r="G550" s="121" t="str">
        <f>'Inventory Takeoff'!C554</f>
        <v>100' Extension Cord</v>
      </c>
    </row>
    <row r="551" spans="1:7">
      <c r="A551" s="121">
        <f>'Inventory Takeoff'!B555</f>
        <v>550</v>
      </c>
      <c r="B551" s="121">
        <f>'Inventory Takeoff'!H555</f>
        <v>0.37</v>
      </c>
      <c r="C551" s="121" t="s">
        <v>109</v>
      </c>
      <c r="D551" s="121" t="s">
        <v>1054</v>
      </c>
      <c r="E551" s="271" t="str">
        <f>IF('Inventory Takeoff'!J555="","",'Inventory Takeoff'!J555)</f>
        <v/>
      </c>
      <c r="F551" s="121" t="s">
        <v>1053</v>
      </c>
      <c r="G551" s="121" t="str">
        <f>'Inventory Takeoff'!C555</f>
        <v>Hanger 1/4 x 3 Toggle</v>
      </c>
    </row>
    <row r="552" spans="1:7">
      <c r="A552" s="121">
        <f>'Inventory Takeoff'!B556</f>
        <v>551</v>
      </c>
      <c r="B552" s="121">
        <f>'Inventory Takeoff'!H556</f>
        <v>12.6</v>
      </c>
      <c r="C552" s="121" t="s">
        <v>109</v>
      </c>
      <c r="D552" s="121" t="s">
        <v>1054</v>
      </c>
      <c r="E552" s="271" t="str">
        <f>IF('Inventory Takeoff'!J556="","",'Inventory Takeoff'!J556)</f>
        <v/>
      </c>
      <c r="F552" s="121" t="s">
        <v>1053</v>
      </c>
      <c r="G552" s="121" t="str">
        <f>'Inventory Takeoff'!C556</f>
        <v>AA Batteries - Pack of 24</v>
      </c>
    </row>
    <row r="553" spans="1:7">
      <c r="A553" s="121">
        <f>'Inventory Takeoff'!B557</f>
        <v>552</v>
      </c>
      <c r="B553" s="121">
        <f>'Inventory Takeoff'!H557</f>
        <v>12.6</v>
      </c>
      <c r="C553" s="121" t="s">
        <v>109</v>
      </c>
      <c r="D553" s="121" t="s">
        <v>1054</v>
      </c>
      <c r="E553" s="271" t="str">
        <f>IF('Inventory Takeoff'!J557="","",'Inventory Takeoff'!J557)</f>
        <v/>
      </c>
      <c r="F553" s="121" t="s">
        <v>1053</v>
      </c>
      <c r="G553" s="121" t="str">
        <f>'Inventory Takeoff'!C557</f>
        <v>AAA Batteries - Pack of 24</v>
      </c>
    </row>
    <row r="554" spans="1:7">
      <c r="A554" s="121">
        <f>'Inventory Takeoff'!B558</f>
        <v>553</v>
      </c>
      <c r="B554" s="121">
        <f>'Inventory Takeoff'!H558</f>
        <v>13.92</v>
      </c>
      <c r="C554" s="121" t="s">
        <v>109</v>
      </c>
      <c r="D554" s="121" t="s">
        <v>1054</v>
      </c>
      <c r="E554" s="271" t="str">
        <f>IF('Inventory Takeoff'!J558="","",'Inventory Takeoff'!J558)</f>
        <v/>
      </c>
      <c r="F554" s="121" t="s">
        <v>1053</v>
      </c>
      <c r="G554" s="121" t="str">
        <f>'Inventory Takeoff'!C558</f>
        <v>C Batteries - Pack of 12</v>
      </c>
    </row>
    <row r="555" spans="1:7">
      <c r="A555" s="121">
        <f>'Inventory Takeoff'!B559</f>
        <v>554</v>
      </c>
      <c r="B555" s="121">
        <f>'Inventory Takeoff'!H559</f>
        <v>2.57</v>
      </c>
      <c r="C555" s="121" t="s">
        <v>109</v>
      </c>
      <c r="D555" s="121" t="s">
        <v>1054</v>
      </c>
      <c r="E555" s="271" t="str">
        <f>IF('Inventory Takeoff'!J559="","",'Inventory Takeoff'!J559)</f>
        <v/>
      </c>
      <c r="F555" s="121" t="s">
        <v>1053</v>
      </c>
      <c r="G555" s="121" t="str">
        <f>'Inventory Takeoff'!C559</f>
        <v>Waffle Pad</v>
      </c>
    </row>
    <row r="556" spans="1:7">
      <c r="A556" s="121">
        <f>'Inventory Takeoff'!B560</f>
        <v>555</v>
      </c>
      <c r="B556" s="121">
        <f>'Inventory Takeoff'!H560</f>
        <v>20.239999999999998</v>
      </c>
      <c r="C556" s="121" t="s">
        <v>109</v>
      </c>
      <c r="D556" s="121" t="s">
        <v>1054</v>
      </c>
      <c r="E556" s="271" t="str">
        <f>IF('Inventory Takeoff'!J560="","",'Inventory Takeoff'!J560)</f>
        <v/>
      </c>
      <c r="F556" s="121" t="s">
        <v>1053</v>
      </c>
      <c r="G556" s="121" t="str">
        <f>'Inventory Takeoff'!C560</f>
        <v>D Batteries - Pack of 12</v>
      </c>
    </row>
    <row r="557" spans="1:7">
      <c r="A557" s="121">
        <f>'Inventory Takeoff'!B561</f>
        <v>556</v>
      </c>
      <c r="B557" s="121">
        <f>'Inventory Takeoff'!H561</f>
        <v>8.86</v>
      </c>
      <c r="C557" s="121" t="s">
        <v>109</v>
      </c>
      <c r="D557" s="121" t="s">
        <v>1054</v>
      </c>
      <c r="E557" s="271" t="str">
        <f>IF('Inventory Takeoff'!J561="","",'Inventory Takeoff'!J561)</f>
        <v/>
      </c>
      <c r="F557" s="121" t="s">
        <v>1053</v>
      </c>
      <c r="G557" s="121" t="str">
        <f>'Inventory Takeoff'!C561</f>
        <v>Blue Masking Tape</v>
      </c>
    </row>
    <row r="558" spans="1:7">
      <c r="A558" s="121">
        <f>'Inventory Takeoff'!B562</f>
        <v>557</v>
      </c>
      <c r="B558" s="121">
        <f>'Inventory Takeoff'!H562</f>
        <v>0.81</v>
      </c>
      <c r="C558" s="121" t="s">
        <v>109</v>
      </c>
      <c r="D558" s="121" t="s">
        <v>1052</v>
      </c>
      <c r="E558" s="271" t="str">
        <f>IF('Inventory Takeoff'!J562="","",'Inventory Takeoff'!J562)</f>
        <v/>
      </c>
      <c r="F558" s="121" t="s">
        <v>1053</v>
      </c>
      <c r="G558" s="121" t="str">
        <f>'Inventory Takeoff'!C562</f>
        <v>Nails 1 1/2 Roofing</v>
      </c>
    </row>
    <row r="559" spans="1:7">
      <c r="A559" s="121">
        <f>'Inventory Takeoff'!B563</f>
        <v>558</v>
      </c>
      <c r="B559" s="121">
        <f>'Inventory Takeoff'!H563</f>
        <v>0.91</v>
      </c>
      <c r="C559" s="121" t="s">
        <v>109</v>
      </c>
      <c r="D559" s="121" t="s">
        <v>1052</v>
      </c>
      <c r="E559" s="271" t="str">
        <f>IF('Inventory Takeoff'!J563="","",'Inventory Takeoff'!J563)</f>
        <v/>
      </c>
      <c r="F559" s="121" t="s">
        <v>1053</v>
      </c>
      <c r="G559" s="121" t="str">
        <f>'Inventory Takeoff'!C563</f>
        <v>Nails 8 Penny gallon</v>
      </c>
    </row>
    <row r="560" spans="1:7">
      <c r="A560" s="121">
        <f>'Inventory Takeoff'!B564</f>
        <v>559</v>
      </c>
      <c r="B560" s="121">
        <f>'Inventory Takeoff'!H564</f>
        <v>0.75</v>
      </c>
      <c r="C560" s="121" t="s">
        <v>109</v>
      </c>
      <c r="D560" s="121" t="s">
        <v>1052</v>
      </c>
      <c r="E560" s="271" t="str">
        <f>IF('Inventory Takeoff'!J564="","",'Inventory Takeoff'!J564)</f>
        <v/>
      </c>
      <c r="F560" s="121" t="s">
        <v>1053</v>
      </c>
      <c r="G560" s="121" t="str">
        <f>'Inventory Takeoff'!C564</f>
        <v>Nails 16 Penny gallon</v>
      </c>
    </row>
    <row r="561" spans="1:7">
      <c r="A561" s="121">
        <f>'Inventory Takeoff'!B565</f>
        <v>560</v>
      </c>
      <c r="B561" s="121">
        <f>'Inventory Takeoff'!H565</f>
        <v>0</v>
      </c>
      <c r="C561" s="121" t="s">
        <v>109</v>
      </c>
      <c r="D561" s="121" t="s">
        <v>1054</v>
      </c>
      <c r="E561" s="271" t="str">
        <f>IF('Inventory Takeoff'!J565="","",'Inventory Takeoff'!J565)</f>
        <v/>
      </c>
      <c r="F561" s="121" t="s">
        <v>1053</v>
      </c>
      <c r="G561" s="121" t="str">
        <f>'Inventory Takeoff'!C565</f>
        <v>Tool Charge</v>
      </c>
    </row>
    <row r="562" spans="1:7">
      <c r="A562" s="121">
        <f>'Inventory Takeoff'!B566</f>
        <v>561</v>
      </c>
      <c r="B562" s="121">
        <f>'Inventory Takeoff'!H566</f>
        <v>0.04</v>
      </c>
      <c r="C562" s="121" t="s">
        <v>109</v>
      </c>
      <c r="D562" s="121" t="s">
        <v>1054</v>
      </c>
      <c r="E562" s="271">
        <f>IF('Inventory Takeoff'!J566="","",'Inventory Takeoff'!J566)</f>
        <v>44949</v>
      </c>
      <c r="F562" s="121" t="s">
        <v>1053</v>
      </c>
      <c r="G562" s="121" t="str">
        <f>'Inventory Takeoff'!C566</f>
        <v>Nuts 1/4</v>
      </c>
    </row>
    <row r="563" spans="1:7">
      <c r="A563" s="121">
        <f>'Inventory Takeoff'!B567</f>
        <v>562</v>
      </c>
      <c r="B563" s="121">
        <f>'Inventory Takeoff'!H567</f>
        <v>0.05</v>
      </c>
      <c r="C563" s="121" t="s">
        <v>109</v>
      </c>
      <c r="D563" s="121" t="s">
        <v>1054</v>
      </c>
      <c r="E563" s="271">
        <f>IF('Inventory Takeoff'!J567="","",'Inventory Takeoff'!J567)</f>
        <v>44949</v>
      </c>
      <c r="F563" s="121" t="s">
        <v>1053</v>
      </c>
      <c r="G563" s="121" t="str">
        <f>'Inventory Takeoff'!C567</f>
        <v>Nuts 5/16</v>
      </c>
    </row>
    <row r="564" spans="1:7">
      <c r="A564" s="121">
        <f>'Inventory Takeoff'!B568</f>
        <v>563</v>
      </c>
      <c r="B564" s="121">
        <f>'Inventory Takeoff'!H568</f>
        <v>6.0000000000000005E-2</v>
      </c>
      <c r="C564" s="121" t="s">
        <v>109</v>
      </c>
      <c r="D564" s="121" t="s">
        <v>1054</v>
      </c>
      <c r="E564" s="271">
        <f>IF('Inventory Takeoff'!J568="","",'Inventory Takeoff'!J568)</f>
        <v>44949</v>
      </c>
      <c r="F564" s="121" t="s">
        <v>1053</v>
      </c>
      <c r="G564" s="121" t="str">
        <f>'Inventory Takeoff'!C568</f>
        <v>Nuts 3/8</v>
      </c>
    </row>
    <row r="565" spans="1:7">
      <c r="A565" s="121">
        <f>'Inventory Takeoff'!B569</f>
        <v>564</v>
      </c>
      <c r="B565" s="121">
        <f>'Inventory Takeoff'!H569</f>
        <v>0.16</v>
      </c>
      <c r="C565" s="121" t="s">
        <v>109</v>
      </c>
      <c r="D565" s="121" t="s">
        <v>1054</v>
      </c>
      <c r="E565" s="271">
        <f>IF('Inventory Takeoff'!J569="","",'Inventory Takeoff'!J569)</f>
        <v>44949</v>
      </c>
      <c r="F565" s="121" t="s">
        <v>1053</v>
      </c>
      <c r="G565" s="121" t="str">
        <f>'Inventory Takeoff'!C569</f>
        <v>Nuts 1/2</v>
      </c>
    </row>
    <row r="566" spans="1:7">
      <c r="A566" s="121">
        <f>'Inventory Takeoff'!B570</f>
        <v>565</v>
      </c>
      <c r="B566" s="121">
        <f>'Inventory Takeoff'!H570</f>
        <v>0.26</v>
      </c>
      <c r="C566" s="121" t="s">
        <v>109</v>
      </c>
      <c r="D566" s="121" t="s">
        <v>1054</v>
      </c>
      <c r="E566" s="271">
        <f>IF('Inventory Takeoff'!J570="","",'Inventory Takeoff'!J570)</f>
        <v>44949</v>
      </c>
      <c r="F566" s="121" t="s">
        <v>1053</v>
      </c>
      <c r="G566" s="121" t="str">
        <f>'Inventory Takeoff'!C570</f>
        <v>Nuts 5/8</v>
      </c>
    </row>
    <row r="567" spans="1:7">
      <c r="A567" s="121">
        <f>'Inventory Takeoff'!B571</f>
        <v>566</v>
      </c>
      <c r="B567" s="121">
        <f>'Inventory Takeoff'!H571</f>
        <v>0.4</v>
      </c>
      <c r="C567" s="121" t="s">
        <v>109</v>
      </c>
      <c r="D567" s="121" t="s">
        <v>1054</v>
      </c>
      <c r="E567" s="271">
        <f>IF('Inventory Takeoff'!J571="","",'Inventory Takeoff'!J571)</f>
        <v>44949</v>
      </c>
      <c r="F567" s="121" t="s">
        <v>1053</v>
      </c>
      <c r="G567" s="121" t="str">
        <f>'Inventory Takeoff'!C571</f>
        <v>Nuts 3/4</v>
      </c>
    </row>
    <row r="568" spans="1:7">
      <c r="A568" s="121">
        <f>'Inventory Takeoff'!B572</f>
        <v>567</v>
      </c>
      <c r="B568" s="121">
        <f>'Inventory Takeoff'!H572</f>
        <v>0.11</v>
      </c>
      <c r="C568" s="121" t="s">
        <v>109</v>
      </c>
      <c r="D568" s="121" t="s">
        <v>1054</v>
      </c>
      <c r="E568" s="271">
        <f>IF('Inventory Takeoff'!J572="","",'Inventory Takeoff'!J572)</f>
        <v>46066</v>
      </c>
      <c r="F568" s="121" t="s">
        <v>1053</v>
      </c>
      <c r="G568" s="121" t="str">
        <f>'Inventory Takeoff'!C572</f>
        <v>Nuts 1/4 Stainless Steel</v>
      </c>
    </row>
    <row r="569" spans="1:7">
      <c r="A569" s="121">
        <f>'Inventory Takeoff'!B573</f>
        <v>568</v>
      </c>
      <c r="B569" s="121">
        <f>'Inventory Takeoff'!H573</f>
        <v>0.15000000000000002</v>
      </c>
      <c r="C569" s="121" t="s">
        <v>109</v>
      </c>
      <c r="D569" s="121" t="s">
        <v>1054</v>
      </c>
      <c r="E569" s="271">
        <f>IF('Inventory Takeoff'!J573="","",'Inventory Takeoff'!J573)</f>
        <v>46066</v>
      </c>
      <c r="F569" s="121" t="s">
        <v>1053</v>
      </c>
      <c r="G569" s="121" t="str">
        <f>'Inventory Takeoff'!C573</f>
        <v>Nuts 5/16 Stainless Steel</v>
      </c>
    </row>
    <row r="570" spans="1:7">
      <c r="A570" s="121">
        <f>'Inventory Takeoff'!B574</f>
        <v>569</v>
      </c>
      <c r="B570" s="121">
        <f>'Inventory Takeoff'!H574</f>
        <v>0.2</v>
      </c>
      <c r="C570" s="121" t="s">
        <v>109</v>
      </c>
      <c r="D570" s="121" t="s">
        <v>1054</v>
      </c>
      <c r="E570" s="271">
        <f>IF('Inventory Takeoff'!J574="","",'Inventory Takeoff'!J574)</f>
        <v>46066</v>
      </c>
      <c r="F570" s="121" t="s">
        <v>1053</v>
      </c>
      <c r="G570" s="121" t="str">
        <f>'Inventory Takeoff'!C574</f>
        <v>Nuts 3/8 Stainless Steel</v>
      </c>
    </row>
    <row r="571" spans="1:7">
      <c r="A571" s="121">
        <f>'Inventory Takeoff'!B575</f>
        <v>570</v>
      </c>
      <c r="B571" s="121">
        <f>'Inventory Takeoff'!H575</f>
        <v>0.37</v>
      </c>
      <c r="C571" s="121" t="s">
        <v>109</v>
      </c>
      <c r="D571" s="121" t="s">
        <v>1054</v>
      </c>
      <c r="E571" s="271">
        <f>IF('Inventory Takeoff'!J575="","",'Inventory Takeoff'!J575)</f>
        <v>46066</v>
      </c>
      <c r="F571" s="121" t="s">
        <v>1053</v>
      </c>
      <c r="G571" s="121" t="str">
        <f>'Inventory Takeoff'!C575</f>
        <v>Nuts 1/2 Stainless Steel</v>
      </c>
    </row>
    <row r="572" spans="1:7">
      <c r="A572" s="121">
        <f>'Inventory Takeoff'!B576</f>
        <v>571</v>
      </c>
      <c r="B572" s="121">
        <f>'Inventory Takeoff'!H576</f>
        <v>7.46</v>
      </c>
      <c r="C572" s="121" t="s">
        <v>109</v>
      </c>
      <c r="D572" s="121" t="s">
        <v>1054</v>
      </c>
      <c r="E572" s="271">
        <f>IF('Inventory Takeoff'!J576="","",'Inventory Takeoff'!J576)</f>
        <v>44476</v>
      </c>
      <c r="F572" s="121" t="s">
        <v>1053</v>
      </c>
      <c r="G572" s="121" t="str">
        <f>'Inventory Takeoff'!C576</f>
        <v>Spray Paint</v>
      </c>
    </row>
    <row r="573" spans="1:7">
      <c r="A573" s="121">
        <f>'Inventory Takeoff'!B577</f>
        <v>572</v>
      </c>
      <c r="B573" s="121">
        <f>'Inventory Takeoff'!H577</f>
        <v>0</v>
      </c>
      <c r="C573" s="121" t="s">
        <v>109</v>
      </c>
      <c r="D573" s="121" t="s">
        <v>1054</v>
      </c>
      <c r="E573" s="271" t="str">
        <f>IF('Inventory Takeoff'!J577="","",'Inventory Takeoff'!J577)</f>
        <v/>
      </c>
      <c r="F573" s="121" t="s">
        <v>1053</v>
      </c>
      <c r="G573" s="121" t="str">
        <f>'Inventory Takeoff'!C577</f>
        <v>Not Used</v>
      </c>
    </row>
    <row r="574" spans="1:7">
      <c r="A574" s="121">
        <f>'Inventory Takeoff'!B578</f>
        <v>573</v>
      </c>
      <c r="B574" s="121">
        <f>'Inventory Takeoff'!H578</f>
        <v>6.05</v>
      </c>
      <c r="C574" s="121" t="s">
        <v>109</v>
      </c>
      <c r="D574" s="121" t="s">
        <v>1054</v>
      </c>
      <c r="E574" s="271" t="str">
        <f>IF('Inventory Takeoff'!J578="","",'Inventory Takeoff'!J578)</f>
        <v/>
      </c>
      <c r="F574" s="121" t="s">
        <v>1053</v>
      </c>
      <c r="G574" s="121" t="str">
        <f>'Inventory Takeoff'!C578</f>
        <v>Goof Off</v>
      </c>
    </row>
    <row r="575" spans="1:7">
      <c r="A575" s="121">
        <f>'Inventory Takeoff'!B579</f>
        <v>574</v>
      </c>
      <c r="B575" s="121">
        <f>'Inventory Takeoff'!H579</f>
        <v>0</v>
      </c>
      <c r="C575" s="121" t="s">
        <v>109</v>
      </c>
      <c r="D575" s="121" t="s">
        <v>1054</v>
      </c>
      <c r="E575" s="271" t="str">
        <f>IF('Inventory Takeoff'!J579="","",'Inventory Takeoff'!J579)</f>
        <v/>
      </c>
      <c r="F575" s="121" t="s">
        <v>1053</v>
      </c>
      <c r="G575" s="121" t="str">
        <f>'Inventory Takeoff'!C579</f>
        <v>Not Used</v>
      </c>
    </row>
    <row r="576" spans="1:7">
      <c r="A576" s="121">
        <f>'Inventory Takeoff'!B580</f>
        <v>575</v>
      </c>
      <c r="B576" s="121">
        <f>'Inventory Takeoff'!H580</f>
        <v>0.48</v>
      </c>
      <c r="C576" s="121" t="s">
        <v>109</v>
      </c>
      <c r="D576" s="121" t="s">
        <v>1054</v>
      </c>
      <c r="E576" s="271">
        <f>IF('Inventory Takeoff'!J580="","",'Inventory Takeoff'!J580)</f>
        <v>46066</v>
      </c>
      <c r="F576" s="121" t="s">
        <v>1053</v>
      </c>
      <c r="G576" s="121" t="str">
        <f>'Inventory Takeoff'!C580</f>
        <v>Panduit Straps</v>
      </c>
    </row>
    <row r="577" spans="1:7">
      <c r="A577" s="121">
        <f>'Inventory Takeoff'!B581</f>
        <v>576</v>
      </c>
      <c r="B577" s="121">
        <f>'Inventory Takeoff'!H581</f>
        <v>0.68</v>
      </c>
      <c r="C577" s="121" t="s">
        <v>109</v>
      </c>
      <c r="D577" s="121" t="s">
        <v>1052</v>
      </c>
      <c r="E577" s="271" t="str">
        <f>IF('Inventory Takeoff'!J581="","",'Inventory Takeoff'!J581)</f>
        <v/>
      </c>
      <c r="F577" s="121" t="s">
        <v>1053</v>
      </c>
      <c r="G577" s="121" t="str">
        <f>'Inventory Takeoff'!C581</f>
        <v>Piano Hinge 1"</v>
      </c>
    </row>
    <row r="578" spans="1:7">
      <c r="A578" s="121">
        <f>'Inventory Takeoff'!B582</f>
        <v>577</v>
      </c>
      <c r="B578" s="121">
        <f>'Inventory Takeoff'!H582</f>
        <v>1.67</v>
      </c>
      <c r="C578" s="121" t="s">
        <v>109</v>
      </c>
      <c r="D578" s="121" t="s">
        <v>1052</v>
      </c>
      <c r="E578" s="271" t="str">
        <f>IF('Inventory Takeoff'!J582="","",'Inventory Takeoff'!J582)</f>
        <v/>
      </c>
      <c r="F578" s="121" t="s">
        <v>1053</v>
      </c>
      <c r="G578" s="121" t="str">
        <f>'Inventory Takeoff'!C582</f>
        <v>Piano Hinge 1 1/2"</v>
      </c>
    </row>
    <row r="579" spans="1:7">
      <c r="A579" s="121">
        <f>'Inventory Takeoff'!B583</f>
        <v>578</v>
      </c>
      <c r="B579" s="121">
        <f>'Inventory Takeoff'!H583</f>
        <v>0</v>
      </c>
      <c r="C579" s="121" t="s">
        <v>109</v>
      </c>
      <c r="D579" s="121" t="s">
        <v>1054</v>
      </c>
      <c r="E579" s="271" t="str">
        <f>IF('Inventory Takeoff'!J583="","",'Inventory Takeoff'!J583)</f>
        <v/>
      </c>
      <c r="F579" s="121" t="s">
        <v>1053</v>
      </c>
      <c r="G579" s="121" t="str">
        <f>'Inventory Takeoff'!C583</f>
        <v>Not Used</v>
      </c>
    </row>
    <row r="580" spans="1:7">
      <c r="A580" s="121">
        <f>'Inventory Takeoff'!B584</f>
        <v>579</v>
      </c>
      <c r="B580" s="121">
        <f>'Inventory Takeoff'!H584</f>
        <v>0</v>
      </c>
      <c r="C580" s="121" t="s">
        <v>109</v>
      </c>
      <c r="D580" s="121" t="s">
        <v>1054</v>
      </c>
      <c r="E580" s="271" t="str">
        <f>IF('Inventory Takeoff'!J584="","",'Inventory Takeoff'!J584)</f>
        <v/>
      </c>
      <c r="F580" s="121" t="s">
        <v>1053</v>
      </c>
      <c r="G580" s="121" t="str">
        <f>'Inventory Takeoff'!C584</f>
        <v>Not Used</v>
      </c>
    </row>
    <row r="581" spans="1:7">
      <c r="A581" s="121">
        <f>'Inventory Takeoff'!B585</f>
        <v>580</v>
      </c>
      <c r="B581" s="121">
        <f>'Inventory Takeoff'!H585</f>
        <v>0</v>
      </c>
      <c r="C581" s="121" t="s">
        <v>109</v>
      </c>
      <c r="D581" s="121" t="s">
        <v>1054</v>
      </c>
      <c r="E581" s="271" t="str">
        <f>IF('Inventory Takeoff'!J585="","",'Inventory Takeoff'!J585)</f>
        <v/>
      </c>
      <c r="F581" s="121" t="s">
        <v>1053</v>
      </c>
      <c r="G581" s="121" t="str">
        <f>'Inventory Takeoff'!C585</f>
        <v>Not Used</v>
      </c>
    </row>
    <row r="582" spans="1:7">
      <c r="A582" s="121">
        <f>'Inventory Takeoff'!B586</f>
        <v>581</v>
      </c>
      <c r="B582" s="121">
        <f>'Inventory Takeoff'!H586</f>
        <v>0</v>
      </c>
      <c r="C582" s="121" t="s">
        <v>109</v>
      </c>
      <c r="D582" s="121" t="s">
        <v>1054</v>
      </c>
      <c r="E582" s="271" t="str">
        <f>IF('Inventory Takeoff'!J586="","",'Inventory Takeoff'!J586)</f>
        <v/>
      </c>
      <c r="F582" s="121" t="s">
        <v>1053</v>
      </c>
      <c r="G582" s="121" t="str">
        <f>'Inventory Takeoff'!C586</f>
        <v>Not Used</v>
      </c>
    </row>
    <row r="583" spans="1:7">
      <c r="A583" s="121">
        <f>'Inventory Takeoff'!B587</f>
        <v>582</v>
      </c>
      <c r="B583" s="121">
        <f>'Inventory Takeoff'!H587</f>
        <v>0</v>
      </c>
      <c r="C583" s="121" t="s">
        <v>109</v>
      </c>
      <c r="D583" s="121" t="s">
        <v>1054</v>
      </c>
      <c r="E583" s="271" t="str">
        <f>IF('Inventory Takeoff'!J587="","",'Inventory Takeoff'!J587)</f>
        <v/>
      </c>
      <c r="F583" s="121" t="s">
        <v>1053</v>
      </c>
      <c r="G583" s="121" t="str">
        <f>'Inventory Takeoff'!C587</f>
        <v>Not Used</v>
      </c>
    </row>
    <row r="584" spans="1:7">
      <c r="A584" s="121">
        <f>'Inventory Takeoff'!B588</f>
        <v>583</v>
      </c>
      <c r="B584" s="121">
        <f>'Inventory Takeoff'!H588</f>
        <v>2.5199999999999996</v>
      </c>
      <c r="C584" s="121" t="s">
        <v>109</v>
      </c>
      <c r="D584" s="121" t="s">
        <v>1052</v>
      </c>
      <c r="E584" s="271">
        <f>IF('Inventory Takeoff'!J588="","",'Inventory Takeoff'!J588)</f>
        <v>44949</v>
      </c>
      <c r="F584" s="121" t="s">
        <v>1053</v>
      </c>
      <c r="G584" s="121" t="str">
        <f>'Inventory Takeoff'!C588</f>
        <v>3" Snap Lock Pipe</v>
      </c>
    </row>
    <row r="585" spans="1:7">
      <c r="A585" s="121">
        <f>'Inventory Takeoff'!B589</f>
        <v>584</v>
      </c>
      <c r="B585" s="121">
        <f>'Inventory Takeoff'!H589</f>
        <v>3.65</v>
      </c>
      <c r="C585" s="121" t="s">
        <v>109</v>
      </c>
      <c r="D585" s="121" t="s">
        <v>1052</v>
      </c>
      <c r="E585" s="271">
        <f>IF('Inventory Takeoff'!J589="","",'Inventory Takeoff'!J589)</f>
        <v>46066</v>
      </c>
      <c r="F585" s="121" t="s">
        <v>1053</v>
      </c>
      <c r="G585" s="121" t="str">
        <f>'Inventory Takeoff'!C589</f>
        <v>4" Snap Lock Pipe</v>
      </c>
    </row>
    <row r="586" spans="1:7">
      <c r="A586" s="121">
        <f>'Inventory Takeoff'!B590</f>
        <v>585</v>
      </c>
      <c r="B586" s="121">
        <f>'Inventory Takeoff'!H590</f>
        <v>4.17</v>
      </c>
      <c r="C586" s="121" t="s">
        <v>109</v>
      </c>
      <c r="D586" s="121" t="s">
        <v>1052</v>
      </c>
      <c r="E586" s="271">
        <f>IF('Inventory Takeoff'!J590="","",'Inventory Takeoff'!J590)</f>
        <v>46066</v>
      </c>
      <c r="F586" s="121" t="s">
        <v>1053</v>
      </c>
      <c r="G586" s="121" t="str">
        <f>'Inventory Takeoff'!C590</f>
        <v>5" Snap Lock Pipe</v>
      </c>
    </row>
    <row r="587" spans="1:7">
      <c r="A587" s="121">
        <f>'Inventory Takeoff'!B591</f>
        <v>586</v>
      </c>
      <c r="B587" s="121">
        <f>'Inventory Takeoff'!H591</f>
        <v>4.49</v>
      </c>
      <c r="C587" s="121" t="s">
        <v>109</v>
      </c>
      <c r="D587" s="121" t="s">
        <v>1052</v>
      </c>
      <c r="E587" s="271">
        <f>IF('Inventory Takeoff'!J591="","",'Inventory Takeoff'!J591)</f>
        <v>46066</v>
      </c>
      <c r="F587" s="121" t="s">
        <v>1053</v>
      </c>
      <c r="G587" s="121" t="str">
        <f>'Inventory Takeoff'!C591</f>
        <v>6" Snap Lock Pipe</v>
      </c>
    </row>
    <row r="588" spans="1:7">
      <c r="A588" s="121">
        <f>'Inventory Takeoff'!B592</f>
        <v>587</v>
      </c>
      <c r="B588" s="121">
        <f>'Inventory Takeoff'!H592</f>
        <v>5.2</v>
      </c>
      <c r="C588" s="121" t="s">
        <v>109</v>
      </c>
      <c r="D588" s="121" t="s">
        <v>1052</v>
      </c>
      <c r="E588" s="271">
        <f>IF('Inventory Takeoff'!J592="","",'Inventory Takeoff'!J592)</f>
        <v>46066</v>
      </c>
      <c r="F588" s="121" t="s">
        <v>1053</v>
      </c>
      <c r="G588" s="121" t="str">
        <f>'Inventory Takeoff'!C592</f>
        <v>7" Snap Lock Pipe</v>
      </c>
    </row>
    <row r="589" spans="1:7">
      <c r="A589" s="121">
        <f>'Inventory Takeoff'!B593</f>
        <v>588</v>
      </c>
      <c r="B589" s="121">
        <f>'Inventory Takeoff'!H593</f>
        <v>5.9799999999999995</v>
      </c>
      <c r="C589" s="121" t="s">
        <v>109</v>
      </c>
      <c r="D589" s="121" t="s">
        <v>1052</v>
      </c>
      <c r="E589" s="271">
        <f>IF('Inventory Takeoff'!J593="","",'Inventory Takeoff'!J593)</f>
        <v>46066</v>
      </c>
      <c r="F589" s="121" t="s">
        <v>1053</v>
      </c>
      <c r="G589" s="121" t="str">
        <f>'Inventory Takeoff'!C593</f>
        <v>8" Snap Lock Pipe</v>
      </c>
    </row>
    <row r="590" spans="1:7">
      <c r="A590" s="121">
        <f>'Inventory Takeoff'!B594</f>
        <v>589</v>
      </c>
      <c r="B590" s="121">
        <f>'Inventory Takeoff'!H594</f>
        <v>7</v>
      </c>
      <c r="C590" s="121" t="s">
        <v>109</v>
      </c>
      <c r="D590" s="121" t="s">
        <v>1052</v>
      </c>
      <c r="E590" s="271">
        <f>IF('Inventory Takeoff'!J594="","",'Inventory Takeoff'!J594)</f>
        <v>46066</v>
      </c>
      <c r="F590" s="121" t="s">
        <v>1053</v>
      </c>
      <c r="G590" s="121" t="str">
        <f>'Inventory Takeoff'!C594</f>
        <v>9" Snap Lock Pipe</v>
      </c>
    </row>
    <row r="591" spans="1:7">
      <c r="A591" s="121">
        <f>'Inventory Takeoff'!B595</f>
        <v>590</v>
      </c>
      <c r="B591" s="121">
        <f>'Inventory Takeoff'!H595</f>
        <v>7.3</v>
      </c>
      <c r="C591" s="121" t="s">
        <v>109</v>
      </c>
      <c r="D591" s="121" t="s">
        <v>1052</v>
      </c>
      <c r="E591" s="271">
        <f>IF('Inventory Takeoff'!J595="","",'Inventory Takeoff'!J595)</f>
        <v>46066</v>
      </c>
      <c r="F591" s="121" t="s">
        <v>1053</v>
      </c>
      <c r="G591" s="121" t="str">
        <f>'Inventory Takeoff'!C595</f>
        <v>10" Snap Lock Pipe</v>
      </c>
    </row>
    <row r="592" spans="1:7">
      <c r="A592" s="121">
        <f>'Inventory Takeoff'!B596</f>
        <v>591</v>
      </c>
      <c r="B592" s="121">
        <f>'Inventory Takeoff'!H596</f>
        <v>8.629999999999999</v>
      </c>
      <c r="C592" s="121" t="s">
        <v>109</v>
      </c>
      <c r="D592" s="121" t="s">
        <v>1052</v>
      </c>
      <c r="E592" s="271">
        <f>IF('Inventory Takeoff'!J596="","",'Inventory Takeoff'!J596)</f>
        <v>46066</v>
      </c>
      <c r="F592" s="121" t="s">
        <v>1053</v>
      </c>
      <c r="G592" s="121" t="str">
        <f>'Inventory Takeoff'!C596</f>
        <v>12" Snap Lock Pipe</v>
      </c>
    </row>
    <row r="593" spans="1:7">
      <c r="A593" s="121">
        <f>'Inventory Takeoff'!B597</f>
        <v>592</v>
      </c>
      <c r="B593" s="121">
        <f>'Inventory Takeoff'!H597</f>
        <v>10.65</v>
      </c>
      <c r="C593" s="121" t="s">
        <v>109</v>
      </c>
      <c r="D593" s="121" t="s">
        <v>1052</v>
      </c>
      <c r="E593" s="271">
        <f>IF('Inventory Takeoff'!J597="","",'Inventory Takeoff'!J597)</f>
        <v>46066</v>
      </c>
      <c r="F593" s="121" t="s">
        <v>1053</v>
      </c>
      <c r="G593" s="121" t="str">
        <f>'Inventory Takeoff'!C597</f>
        <v>14" Snap Lock Pipe</v>
      </c>
    </row>
    <row r="594" spans="1:7">
      <c r="A594" s="121">
        <f>'Inventory Takeoff'!B598</f>
        <v>593</v>
      </c>
      <c r="B594" s="121">
        <f>'Inventory Takeoff'!H598</f>
        <v>13.52</v>
      </c>
      <c r="C594" s="121" t="s">
        <v>109</v>
      </c>
      <c r="D594" s="121" t="s">
        <v>1052</v>
      </c>
      <c r="E594" s="271">
        <f>IF('Inventory Takeoff'!J598="","",'Inventory Takeoff'!J598)</f>
        <v>46066</v>
      </c>
      <c r="F594" s="121" t="s">
        <v>1053</v>
      </c>
      <c r="G594" s="121" t="str">
        <f>'Inventory Takeoff'!C598</f>
        <v>16" Snap Lock Pipe</v>
      </c>
    </row>
    <row r="595" spans="1:7">
      <c r="A595" s="121">
        <f>'Inventory Takeoff'!B599</f>
        <v>594</v>
      </c>
      <c r="B595" s="121">
        <f>'Inventory Takeoff'!H599</f>
        <v>20.41</v>
      </c>
      <c r="C595" s="121" t="s">
        <v>109</v>
      </c>
      <c r="D595" s="121" t="s">
        <v>1052</v>
      </c>
      <c r="E595" s="271">
        <f>IF('Inventory Takeoff'!J599="","",'Inventory Takeoff'!J599)</f>
        <v>46066</v>
      </c>
      <c r="F595" s="121" t="s">
        <v>1053</v>
      </c>
      <c r="G595" s="121" t="str">
        <f>'Inventory Takeoff'!C599</f>
        <v>18" Snap Lock Pipe</v>
      </c>
    </row>
    <row r="596" spans="1:7">
      <c r="A596" s="121">
        <f>'Inventory Takeoff'!B600</f>
        <v>595</v>
      </c>
      <c r="B596" s="121">
        <f>'Inventory Takeoff'!H600</f>
        <v>25.540000000000003</v>
      </c>
      <c r="C596" s="121" t="s">
        <v>109</v>
      </c>
      <c r="D596" s="121" t="s">
        <v>1052</v>
      </c>
      <c r="E596" s="271">
        <f>IF('Inventory Takeoff'!J600="","",'Inventory Takeoff'!J600)</f>
        <v>46066</v>
      </c>
      <c r="F596" s="121" t="s">
        <v>1053</v>
      </c>
      <c r="G596" s="121" t="str">
        <f>'Inventory Takeoff'!C600</f>
        <v>20" Snap Lock Pipe</v>
      </c>
    </row>
    <row r="597" spans="1:7">
      <c r="A597" s="121">
        <f>'Inventory Takeoff'!B601</f>
        <v>596</v>
      </c>
      <c r="B597" s="121">
        <f>'Inventory Takeoff'!H601</f>
        <v>28.330000000000002</v>
      </c>
      <c r="C597" s="121" t="s">
        <v>109</v>
      </c>
      <c r="D597" s="121" t="s">
        <v>1052</v>
      </c>
      <c r="E597" s="271">
        <f>IF('Inventory Takeoff'!J601="","",'Inventory Takeoff'!J601)</f>
        <v>44949</v>
      </c>
      <c r="F597" s="121" t="s">
        <v>1053</v>
      </c>
      <c r="G597" s="121" t="str">
        <f>'Inventory Takeoff'!C601</f>
        <v>22" Snap Lock Pipe</v>
      </c>
    </row>
    <row r="598" spans="1:7">
      <c r="A598" s="121">
        <f>'Inventory Takeoff'!B602</f>
        <v>597</v>
      </c>
      <c r="B598" s="121">
        <f>'Inventory Takeoff'!H602</f>
        <v>32.08</v>
      </c>
      <c r="C598" s="121" t="s">
        <v>109</v>
      </c>
      <c r="D598" s="121" t="s">
        <v>1052</v>
      </c>
      <c r="E598" s="271">
        <f>IF('Inventory Takeoff'!J602="","",'Inventory Takeoff'!J602)</f>
        <v>44949</v>
      </c>
      <c r="F598" s="121" t="s">
        <v>1053</v>
      </c>
      <c r="G598" s="121" t="str">
        <f>'Inventory Takeoff'!C602</f>
        <v>24" Snap Lock Pipe</v>
      </c>
    </row>
    <row r="599" spans="1:7">
      <c r="A599" s="121">
        <f>'Inventory Takeoff'!B603</f>
        <v>598</v>
      </c>
      <c r="B599" s="121">
        <f>'Inventory Takeoff'!H603</f>
        <v>2.15</v>
      </c>
      <c r="C599" s="121" t="s">
        <v>109</v>
      </c>
      <c r="D599" s="121" t="s">
        <v>1052</v>
      </c>
      <c r="E599" s="271">
        <f>IF('Inventory Takeoff'!J603="","",'Inventory Takeoff'!J603)</f>
        <v>44949</v>
      </c>
      <c r="F599" s="121" t="s">
        <v>1053</v>
      </c>
      <c r="G599" s="121" t="str">
        <f>'Inventory Takeoff'!C603</f>
        <v>Plaster Ground</v>
      </c>
    </row>
    <row r="600" spans="1:7">
      <c r="A600" s="121">
        <f>'Inventory Takeoff'!B604</f>
        <v>599</v>
      </c>
      <c r="B600" s="121">
        <f>'Inventory Takeoff'!H604</f>
        <v>0.14000000000000001</v>
      </c>
      <c r="C600" s="121" t="s">
        <v>109</v>
      </c>
      <c r="D600" s="121" t="s">
        <v>1054</v>
      </c>
      <c r="E600" s="271" t="str">
        <f>IF('Inventory Takeoff'!J604="","",'Inventory Takeoff'!J604)</f>
        <v/>
      </c>
      <c r="F600" s="121" t="s">
        <v>1053</v>
      </c>
      <c r="G600" s="121" t="str">
        <f>'Inventory Takeoff'!C604</f>
        <v>Pop Rivits Galvanized 1/8</v>
      </c>
    </row>
    <row r="601" spans="1:7">
      <c r="A601" s="121">
        <f>'Inventory Takeoff'!B605</f>
        <v>600</v>
      </c>
      <c r="B601" s="121">
        <f>'Inventory Takeoff'!H605</f>
        <v>6.9999999999999993E-2</v>
      </c>
      <c r="C601" s="121" t="s">
        <v>109</v>
      </c>
      <c r="D601" s="121" t="s">
        <v>1054</v>
      </c>
      <c r="E601" s="271" t="str">
        <f>IF('Inventory Takeoff'!J605="","",'Inventory Takeoff'!J605)</f>
        <v/>
      </c>
      <c r="F601" s="121" t="s">
        <v>1053</v>
      </c>
      <c r="G601" s="121" t="str">
        <f>'Inventory Takeoff'!C605</f>
        <v>Pop Rivits Stainless Steel 1/8</v>
      </c>
    </row>
    <row r="602" spans="1:7">
      <c r="A602" s="121">
        <f>'Inventory Takeoff'!B606</f>
        <v>601</v>
      </c>
      <c r="B602" s="121">
        <f>'Inventory Takeoff'!H606</f>
        <v>0.05</v>
      </c>
      <c r="C602" s="121" t="s">
        <v>109</v>
      </c>
      <c r="D602" s="121" t="s">
        <v>1054</v>
      </c>
      <c r="E602" s="271" t="str">
        <f>IF('Inventory Takeoff'!J606="","",'Inventory Takeoff'!J606)</f>
        <v/>
      </c>
      <c r="F602" s="121" t="s">
        <v>1053</v>
      </c>
      <c r="G602" s="121" t="str">
        <f>'Inventory Takeoff'!C606</f>
        <v>Pop Rivits Aluminum 1/8</v>
      </c>
    </row>
    <row r="603" spans="1:7">
      <c r="A603" s="121">
        <f>'Inventory Takeoff'!B607</f>
        <v>602</v>
      </c>
      <c r="B603" s="121">
        <f>'Inventory Takeoff'!H607</f>
        <v>0.39</v>
      </c>
      <c r="C603" s="121" t="s">
        <v>109</v>
      </c>
      <c r="D603" s="121" t="s">
        <v>1054</v>
      </c>
      <c r="E603" s="271" t="str">
        <f>IF('Inventory Takeoff'!J607="","",'Inventory Takeoff'!J607)</f>
        <v/>
      </c>
      <c r="F603" s="121" t="s">
        <v>1053</v>
      </c>
      <c r="G603" s="121" t="str">
        <f>'Inventory Takeoff'!C607</f>
        <v>Pop Rivits Copper 1/8</v>
      </c>
    </row>
    <row r="604" spans="1:7">
      <c r="A604" s="121">
        <f>'Inventory Takeoff'!B608</f>
        <v>603</v>
      </c>
      <c r="B604" s="121">
        <f>'Inventory Takeoff'!H608</f>
        <v>0.55000000000000004</v>
      </c>
      <c r="C604" s="121" t="s">
        <v>109</v>
      </c>
      <c r="D604" s="121" t="s">
        <v>1054</v>
      </c>
      <c r="E604" s="271" t="str">
        <f>IF('Inventory Takeoff'!J608="","",'Inventory Takeoff'!J608)</f>
        <v/>
      </c>
      <c r="F604" s="121" t="s">
        <v>1053</v>
      </c>
      <c r="G604" s="121" t="str">
        <f>'Inventory Takeoff'!C608</f>
        <v>Pop Rivits White 1/8</v>
      </c>
    </row>
    <row r="605" spans="1:7">
      <c r="A605" s="121">
        <f>'Inventory Takeoff'!B609</f>
        <v>604</v>
      </c>
      <c r="B605" s="121">
        <f>'Inventory Takeoff'!H609</f>
        <v>6.0000000000000005E-2</v>
      </c>
      <c r="C605" s="121" t="s">
        <v>109</v>
      </c>
      <c r="D605" s="121" t="s">
        <v>1054</v>
      </c>
      <c r="E605" s="271" t="str">
        <f>IF('Inventory Takeoff'!J609="","",'Inventory Takeoff'!J609)</f>
        <v/>
      </c>
      <c r="F605" s="121" t="s">
        <v>1053</v>
      </c>
      <c r="G605" s="121" t="str">
        <f>'Inventory Takeoff'!C609</f>
        <v>Pop Rivits Galvanized 3/16</v>
      </c>
    </row>
    <row r="606" spans="1:7">
      <c r="A606" s="121">
        <f>'Inventory Takeoff'!B610</f>
        <v>605</v>
      </c>
      <c r="B606" s="121">
        <f>'Inventory Takeoff'!H610</f>
        <v>0.22</v>
      </c>
      <c r="C606" s="121" t="s">
        <v>109</v>
      </c>
      <c r="D606" s="121" t="s">
        <v>1054</v>
      </c>
      <c r="E606" s="271" t="str">
        <f>IF('Inventory Takeoff'!J610="","",'Inventory Takeoff'!J610)</f>
        <v/>
      </c>
      <c r="F606" s="121" t="s">
        <v>1053</v>
      </c>
      <c r="G606" s="121" t="str">
        <f>'Inventory Takeoff'!C610</f>
        <v>Pop Rivits Stainless Steel 3/16</v>
      </c>
    </row>
    <row r="607" spans="1:7">
      <c r="A607" s="121">
        <f>'Inventory Takeoff'!B611</f>
        <v>606</v>
      </c>
      <c r="B607" s="121">
        <f>'Inventory Takeoff'!H611</f>
        <v>0</v>
      </c>
      <c r="C607" s="121" t="s">
        <v>109</v>
      </c>
      <c r="D607" s="121" t="s">
        <v>1054</v>
      </c>
      <c r="E607" s="271" t="str">
        <f>IF('Inventory Takeoff'!J611="","",'Inventory Takeoff'!J611)</f>
        <v/>
      </c>
      <c r="F607" s="121" t="s">
        <v>1053</v>
      </c>
      <c r="G607" s="121" t="str">
        <f>'Inventory Takeoff'!C611</f>
        <v>Not Used</v>
      </c>
    </row>
    <row r="608" spans="1:7">
      <c r="A608" s="121">
        <f>'Inventory Takeoff'!B612</f>
        <v>607</v>
      </c>
      <c r="B608" s="121">
        <f>'Inventory Takeoff'!H612</f>
        <v>0</v>
      </c>
      <c r="C608" s="121" t="s">
        <v>109</v>
      </c>
      <c r="D608" s="121" t="s">
        <v>1054</v>
      </c>
      <c r="E608" s="271" t="str">
        <f>IF('Inventory Takeoff'!J612="","",'Inventory Takeoff'!J612)</f>
        <v/>
      </c>
      <c r="F608" s="121" t="s">
        <v>1053</v>
      </c>
      <c r="G608" s="121" t="str">
        <f>'Inventory Takeoff'!C612</f>
        <v>Not Used</v>
      </c>
    </row>
    <row r="609" spans="1:7">
      <c r="A609" s="121">
        <f>'Inventory Takeoff'!B613</f>
        <v>608</v>
      </c>
      <c r="B609" s="121">
        <f>'Inventory Takeoff'!H613</f>
        <v>0</v>
      </c>
      <c r="C609" s="121" t="s">
        <v>109</v>
      </c>
      <c r="D609" s="121" t="s">
        <v>1054</v>
      </c>
      <c r="E609" s="271" t="str">
        <f>IF('Inventory Takeoff'!J613="","",'Inventory Takeoff'!J613)</f>
        <v/>
      </c>
      <c r="F609" s="121" t="s">
        <v>1053</v>
      </c>
      <c r="G609" s="121" t="str">
        <f>'Inventory Takeoff'!C613</f>
        <v>Not Used</v>
      </c>
    </row>
    <row r="610" spans="1:7">
      <c r="A610" s="121">
        <f>'Inventory Takeoff'!B614</f>
        <v>609</v>
      </c>
      <c r="B610" s="121">
        <f>'Inventory Takeoff'!H614</f>
        <v>0</v>
      </c>
      <c r="C610" s="121" t="s">
        <v>109</v>
      </c>
      <c r="D610" s="121" t="s">
        <v>1054</v>
      </c>
      <c r="E610" s="271" t="str">
        <f>IF('Inventory Takeoff'!J614="","",'Inventory Takeoff'!J614)</f>
        <v/>
      </c>
      <c r="F610" s="121" t="s">
        <v>1053</v>
      </c>
      <c r="G610" s="121" t="str">
        <f>'Inventory Takeoff'!C614</f>
        <v>Not Used</v>
      </c>
    </row>
    <row r="611" spans="1:7">
      <c r="A611" s="121">
        <f>'Inventory Takeoff'!B615</f>
        <v>610</v>
      </c>
      <c r="B611" s="121">
        <f>'Inventory Takeoff'!H615</f>
        <v>0</v>
      </c>
      <c r="C611" s="121" t="s">
        <v>109</v>
      </c>
      <c r="D611" s="121" t="s">
        <v>1054</v>
      </c>
      <c r="E611" s="271" t="str">
        <f>IF('Inventory Takeoff'!J615="","",'Inventory Takeoff'!J615)</f>
        <v/>
      </c>
      <c r="F611" s="121" t="s">
        <v>1053</v>
      </c>
      <c r="G611" s="121" t="str">
        <f>'Inventory Takeoff'!C615</f>
        <v>Not Used</v>
      </c>
    </row>
    <row r="612" spans="1:7">
      <c r="A612" s="121">
        <f>'Inventory Takeoff'!B616</f>
        <v>611</v>
      </c>
      <c r="B612" s="121">
        <f>'Inventory Takeoff'!H616</f>
        <v>0</v>
      </c>
      <c r="C612" s="121" t="s">
        <v>109</v>
      </c>
      <c r="D612" s="121" t="s">
        <v>1054</v>
      </c>
      <c r="E612" s="271" t="str">
        <f>IF('Inventory Takeoff'!J616="","",'Inventory Takeoff'!J616)</f>
        <v/>
      </c>
      <c r="F612" s="121" t="s">
        <v>1053</v>
      </c>
      <c r="G612" s="121" t="str">
        <f>'Inventory Takeoff'!C616</f>
        <v>Not Used</v>
      </c>
    </row>
    <row r="613" spans="1:7">
      <c r="A613" s="121">
        <f>'Inventory Takeoff'!B617</f>
        <v>612</v>
      </c>
      <c r="B613" s="121">
        <f>'Inventory Takeoff'!H617</f>
        <v>0</v>
      </c>
      <c r="C613" s="121" t="s">
        <v>109</v>
      </c>
      <c r="D613" s="121" t="s">
        <v>1054</v>
      </c>
      <c r="E613" s="271" t="str">
        <f>IF('Inventory Takeoff'!J617="","",'Inventory Takeoff'!J617)</f>
        <v/>
      </c>
      <c r="F613" s="121" t="s">
        <v>1053</v>
      </c>
      <c r="G613" s="121" t="str">
        <f>'Inventory Takeoff'!C617</f>
        <v>Not Used</v>
      </c>
    </row>
    <row r="614" spans="1:7">
      <c r="A614" s="121">
        <f>'Inventory Takeoff'!B618</f>
        <v>613</v>
      </c>
      <c r="B614" s="121">
        <f>'Inventory Takeoff'!H618</f>
        <v>0</v>
      </c>
      <c r="C614" s="121" t="s">
        <v>109</v>
      </c>
      <c r="D614" s="121" t="s">
        <v>1054</v>
      </c>
      <c r="E614" s="271" t="str">
        <f>IF('Inventory Takeoff'!J618="","",'Inventory Takeoff'!J618)</f>
        <v/>
      </c>
      <c r="F614" s="121" t="s">
        <v>1053</v>
      </c>
      <c r="G614" s="121" t="str">
        <f>'Inventory Takeoff'!C618</f>
        <v>Not Used</v>
      </c>
    </row>
    <row r="615" spans="1:7">
      <c r="A615" s="121">
        <f>'Inventory Takeoff'!B619</f>
        <v>614</v>
      </c>
      <c r="B615" s="121">
        <f>'Inventory Takeoff'!H619</f>
        <v>0</v>
      </c>
      <c r="C615" s="121" t="s">
        <v>109</v>
      </c>
      <c r="D615" s="121" t="s">
        <v>1054</v>
      </c>
      <c r="E615" s="271" t="str">
        <f>IF('Inventory Takeoff'!J619="","",'Inventory Takeoff'!J619)</f>
        <v/>
      </c>
      <c r="F615" s="121" t="s">
        <v>1053</v>
      </c>
      <c r="G615" s="121" t="str">
        <f>'Inventory Takeoff'!C619</f>
        <v>Not Used</v>
      </c>
    </row>
    <row r="616" spans="1:7">
      <c r="A616" s="121">
        <f>'Inventory Takeoff'!B620</f>
        <v>615</v>
      </c>
      <c r="B616" s="121">
        <f>'Inventory Takeoff'!H620</f>
        <v>0</v>
      </c>
      <c r="C616" s="121" t="s">
        <v>109</v>
      </c>
      <c r="D616" s="121" t="s">
        <v>1054</v>
      </c>
      <c r="E616" s="271" t="str">
        <f>IF('Inventory Takeoff'!J620="","",'Inventory Takeoff'!J620)</f>
        <v/>
      </c>
      <c r="F616" s="121" t="s">
        <v>1053</v>
      </c>
      <c r="G616" s="121" t="str">
        <f>'Inventory Takeoff'!C620</f>
        <v>Not Used</v>
      </c>
    </row>
    <row r="617" spans="1:7">
      <c r="A617" s="121">
        <f>'Inventory Takeoff'!B621</f>
        <v>616</v>
      </c>
      <c r="B617" s="121">
        <f>'Inventory Takeoff'!H621</f>
        <v>0</v>
      </c>
      <c r="C617" s="121" t="s">
        <v>109</v>
      </c>
      <c r="D617" s="121" t="s">
        <v>1054</v>
      </c>
      <c r="E617" s="271" t="str">
        <f>IF('Inventory Takeoff'!J621="","",'Inventory Takeoff'!J621)</f>
        <v/>
      </c>
      <c r="F617" s="121" t="s">
        <v>1053</v>
      </c>
      <c r="G617" s="121" t="str">
        <f>'Inventory Takeoff'!C621</f>
        <v>Not Used</v>
      </c>
    </row>
    <row r="618" spans="1:7">
      <c r="A618" s="121">
        <f>'Inventory Takeoff'!B622</f>
        <v>617</v>
      </c>
      <c r="B618" s="121">
        <f>'Inventory Takeoff'!H622</f>
        <v>6.02</v>
      </c>
      <c r="C618" s="121" t="s">
        <v>109</v>
      </c>
      <c r="D618" s="121" t="s">
        <v>1054</v>
      </c>
      <c r="E618" s="271" t="str">
        <f>IF('Inventory Takeoff'!J622="","",'Inventory Takeoff'!J622)</f>
        <v/>
      </c>
      <c r="F618" s="121" t="s">
        <v>1053</v>
      </c>
      <c r="G618" s="121" t="str">
        <f>'Inventory Takeoff'!C622</f>
        <v>3" Reducer</v>
      </c>
    </row>
    <row r="619" spans="1:7">
      <c r="A619" s="121">
        <f>'Inventory Takeoff'!B623</f>
        <v>618</v>
      </c>
      <c r="B619" s="121">
        <f>'Inventory Takeoff'!H623</f>
        <v>11.37</v>
      </c>
      <c r="C619" s="121" t="s">
        <v>109</v>
      </c>
      <c r="D619" s="121" t="s">
        <v>1054</v>
      </c>
      <c r="E619" s="271">
        <f>IF('Inventory Takeoff'!J623="","",'Inventory Takeoff'!J623)</f>
        <v>45505</v>
      </c>
      <c r="F619" s="121" t="s">
        <v>1053</v>
      </c>
      <c r="G619" s="121" t="str">
        <f>'Inventory Takeoff'!C623</f>
        <v>4" Reducer</v>
      </c>
    </row>
    <row r="620" spans="1:7">
      <c r="A620" s="121">
        <f>'Inventory Takeoff'!B624</f>
        <v>619</v>
      </c>
      <c r="B620" s="121">
        <f>'Inventory Takeoff'!H624</f>
        <v>11.47</v>
      </c>
      <c r="C620" s="121" t="s">
        <v>109</v>
      </c>
      <c r="D620" s="121" t="s">
        <v>1054</v>
      </c>
      <c r="E620" s="271">
        <f>IF('Inventory Takeoff'!J624="","",'Inventory Takeoff'!J624)</f>
        <v>45505</v>
      </c>
      <c r="F620" s="121" t="s">
        <v>1053</v>
      </c>
      <c r="G620" s="121" t="str">
        <f>'Inventory Takeoff'!C624</f>
        <v>5" Reducer</v>
      </c>
    </row>
    <row r="621" spans="1:7">
      <c r="A621" s="121">
        <f>'Inventory Takeoff'!B625</f>
        <v>620</v>
      </c>
      <c r="B621" s="121">
        <f>'Inventory Takeoff'!H625</f>
        <v>12.65</v>
      </c>
      <c r="C621" s="121" t="s">
        <v>109</v>
      </c>
      <c r="D621" s="121" t="s">
        <v>1054</v>
      </c>
      <c r="E621" s="271">
        <f>IF('Inventory Takeoff'!J625="","",'Inventory Takeoff'!J625)</f>
        <v>45505</v>
      </c>
      <c r="F621" s="121" t="s">
        <v>1053</v>
      </c>
      <c r="G621" s="121" t="str">
        <f>'Inventory Takeoff'!C625</f>
        <v>6" Reducer</v>
      </c>
    </row>
    <row r="622" spans="1:7">
      <c r="A622" s="121">
        <f>'Inventory Takeoff'!B626</f>
        <v>621</v>
      </c>
      <c r="B622" s="121">
        <f>'Inventory Takeoff'!H626</f>
        <v>14.06</v>
      </c>
      <c r="C622" s="121" t="s">
        <v>109</v>
      </c>
      <c r="D622" s="121" t="s">
        <v>1054</v>
      </c>
      <c r="E622" s="271">
        <f>IF('Inventory Takeoff'!J626="","",'Inventory Takeoff'!J626)</f>
        <v>45505</v>
      </c>
      <c r="F622" s="121" t="s">
        <v>1053</v>
      </c>
      <c r="G622" s="121" t="str">
        <f>'Inventory Takeoff'!C626</f>
        <v>7" Reducer</v>
      </c>
    </row>
    <row r="623" spans="1:7">
      <c r="A623" s="121">
        <f>'Inventory Takeoff'!B627</f>
        <v>622</v>
      </c>
      <c r="B623" s="121">
        <f>'Inventory Takeoff'!H627</f>
        <v>13.67</v>
      </c>
      <c r="C623" s="121" t="s">
        <v>109</v>
      </c>
      <c r="D623" s="121" t="s">
        <v>1054</v>
      </c>
      <c r="E623" s="271">
        <f>IF('Inventory Takeoff'!J627="","",'Inventory Takeoff'!J627)</f>
        <v>45505</v>
      </c>
      <c r="F623" s="121" t="s">
        <v>1053</v>
      </c>
      <c r="G623" s="121" t="str">
        <f>'Inventory Takeoff'!C627</f>
        <v>8" Reducer</v>
      </c>
    </row>
    <row r="624" spans="1:7">
      <c r="A624" s="121">
        <f>'Inventory Takeoff'!B628</f>
        <v>623</v>
      </c>
      <c r="B624" s="121">
        <f>'Inventory Takeoff'!H628</f>
        <v>18.64</v>
      </c>
      <c r="C624" s="121" t="s">
        <v>109</v>
      </c>
      <c r="D624" s="121" t="s">
        <v>1054</v>
      </c>
      <c r="E624" s="271">
        <f>IF('Inventory Takeoff'!J628="","",'Inventory Takeoff'!J628)</f>
        <v>45505</v>
      </c>
      <c r="F624" s="121" t="s">
        <v>1053</v>
      </c>
      <c r="G624" s="121" t="str">
        <f>'Inventory Takeoff'!C628</f>
        <v>9" Reducer</v>
      </c>
    </row>
    <row r="625" spans="1:7">
      <c r="A625" s="121">
        <f>'Inventory Takeoff'!B629</f>
        <v>624</v>
      </c>
      <c r="B625" s="121">
        <f>'Inventory Takeoff'!H629</f>
        <v>18.200000000000003</v>
      </c>
      <c r="C625" s="121" t="s">
        <v>109</v>
      </c>
      <c r="D625" s="121" t="s">
        <v>1054</v>
      </c>
      <c r="E625" s="271">
        <f>IF('Inventory Takeoff'!J629="","",'Inventory Takeoff'!J629)</f>
        <v>45505</v>
      </c>
      <c r="F625" s="121" t="s">
        <v>1053</v>
      </c>
      <c r="G625" s="121" t="str">
        <f>'Inventory Takeoff'!C629</f>
        <v>10" Reducer</v>
      </c>
    </row>
    <row r="626" spans="1:7">
      <c r="A626" s="121">
        <f>'Inventory Takeoff'!B630</f>
        <v>625</v>
      </c>
      <c r="B626" s="121">
        <f>'Inventory Takeoff'!H630</f>
        <v>27.490000000000002</v>
      </c>
      <c r="C626" s="121" t="s">
        <v>109</v>
      </c>
      <c r="D626" s="121" t="s">
        <v>1054</v>
      </c>
      <c r="E626" s="271">
        <f>IF('Inventory Takeoff'!J630="","",'Inventory Takeoff'!J630)</f>
        <v>45505</v>
      </c>
      <c r="F626" s="121" t="s">
        <v>1053</v>
      </c>
      <c r="G626" s="121" t="str">
        <f>'Inventory Takeoff'!C630</f>
        <v>12" Reducer</v>
      </c>
    </row>
    <row r="627" spans="1:7">
      <c r="A627" s="121">
        <f>'Inventory Takeoff'!B631</f>
        <v>626</v>
      </c>
      <c r="B627" s="121">
        <f>'Inventory Takeoff'!H631</f>
        <v>30.57</v>
      </c>
      <c r="C627" s="121" t="s">
        <v>109</v>
      </c>
      <c r="D627" s="121" t="s">
        <v>1054</v>
      </c>
      <c r="E627" s="271">
        <f>IF('Inventory Takeoff'!J631="","",'Inventory Takeoff'!J631)</f>
        <v>45505</v>
      </c>
      <c r="F627" s="121" t="s">
        <v>1053</v>
      </c>
      <c r="G627" s="121" t="str">
        <f>'Inventory Takeoff'!C631</f>
        <v>14" Reducer</v>
      </c>
    </row>
    <row r="628" spans="1:7">
      <c r="A628" s="121">
        <f>'Inventory Takeoff'!B632</f>
        <v>627</v>
      </c>
      <c r="B628" s="121">
        <f>'Inventory Takeoff'!H632</f>
        <v>38.159999999999997</v>
      </c>
      <c r="C628" s="121" t="s">
        <v>109</v>
      </c>
      <c r="D628" s="121" t="s">
        <v>1054</v>
      </c>
      <c r="E628" s="271">
        <f>IF('Inventory Takeoff'!J632="","",'Inventory Takeoff'!J632)</f>
        <v>45505</v>
      </c>
      <c r="F628" s="121" t="s">
        <v>1053</v>
      </c>
      <c r="G628" s="121" t="str">
        <f>'Inventory Takeoff'!C632</f>
        <v>16" Reducer</v>
      </c>
    </row>
    <row r="629" spans="1:7">
      <c r="A629" s="121">
        <f>'Inventory Takeoff'!B633</f>
        <v>628</v>
      </c>
      <c r="B629" s="121">
        <f>'Inventory Takeoff'!H633</f>
        <v>25.25</v>
      </c>
      <c r="C629" s="121" t="s">
        <v>109</v>
      </c>
      <c r="D629" s="121" t="s">
        <v>1054</v>
      </c>
      <c r="E629" s="271" t="str">
        <f>IF('Inventory Takeoff'!J633="","",'Inventory Takeoff'!J633)</f>
        <v/>
      </c>
      <c r="F629" s="121" t="s">
        <v>1053</v>
      </c>
      <c r="G629" s="121" t="str">
        <f>'Inventory Takeoff'!C633</f>
        <v>Roof Mastic</v>
      </c>
    </row>
    <row r="630" spans="1:7">
      <c r="A630" s="121">
        <f>'Inventory Takeoff'!B634</f>
        <v>629</v>
      </c>
      <c r="B630" s="121">
        <f>'Inventory Takeoff'!H634</f>
        <v>0.74</v>
      </c>
      <c r="C630" s="121" t="s">
        <v>109</v>
      </c>
      <c r="D630" s="121" t="s">
        <v>1052</v>
      </c>
      <c r="E630" s="271" t="str">
        <f>IF('Inventory Takeoff'!J634="","",'Inventory Takeoff'!J634)</f>
        <v/>
      </c>
      <c r="F630" s="121" t="s">
        <v>1053</v>
      </c>
      <c r="G630" s="121" t="str">
        <f>'Inventory Takeoff'!C634</f>
        <v>Roofing 12"</v>
      </c>
    </row>
    <row r="631" spans="1:7">
      <c r="A631" s="121">
        <f>'Inventory Takeoff'!B635</f>
        <v>630</v>
      </c>
      <c r="B631" s="121">
        <f>'Inventory Takeoff'!H635</f>
        <v>0</v>
      </c>
      <c r="C631" s="121" t="s">
        <v>109</v>
      </c>
      <c r="D631" s="121" t="s">
        <v>1054</v>
      </c>
      <c r="E631" s="271" t="str">
        <f>IF('Inventory Takeoff'!J635="","",'Inventory Takeoff'!J635)</f>
        <v/>
      </c>
      <c r="F631" s="121" t="s">
        <v>1053</v>
      </c>
      <c r="G631" s="121" t="str">
        <f>'Inventory Takeoff'!C635</f>
        <v>Not Used</v>
      </c>
    </row>
    <row r="632" spans="1:7">
      <c r="A632" s="121">
        <f>'Inventory Takeoff'!B636</f>
        <v>631</v>
      </c>
      <c r="B632" s="121">
        <f>'Inventory Takeoff'!H636</f>
        <v>0</v>
      </c>
      <c r="C632" s="121" t="s">
        <v>109</v>
      </c>
      <c r="D632" s="121" t="s">
        <v>1054</v>
      </c>
      <c r="E632" s="271" t="str">
        <f>IF('Inventory Takeoff'!J636="","",'Inventory Takeoff'!J636)</f>
        <v/>
      </c>
      <c r="F632" s="121" t="s">
        <v>1053</v>
      </c>
      <c r="G632" s="121" t="str">
        <f>'Inventory Takeoff'!C636</f>
        <v>Not Used</v>
      </c>
    </row>
    <row r="633" spans="1:7">
      <c r="A633" s="121">
        <f>'Inventory Takeoff'!B637</f>
        <v>632</v>
      </c>
      <c r="B633" s="121">
        <f>'Inventory Takeoff'!H637</f>
        <v>10.56</v>
      </c>
      <c r="C633" s="121" t="s">
        <v>109</v>
      </c>
      <c r="D633" s="121" t="s">
        <v>1052</v>
      </c>
      <c r="E633" s="271" t="str">
        <f>IF('Inventory Takeoff'!J637="","",'Inventory Takeoff'!J637)</f>
        <v/>
      </c>
      <c r="F633" s="121" t="s">
        <v>1053</v>
      </c>
      <c r="G633" s="121" t="str">
        <f>'Inventory Takeoff'!C637</f>
        <v>6" Rigid Round</v>
      </c>
    </row>
    <row r="634" spans="1:7">
      <c r="A634" s="121">
        <f>'Inventory Takeoff'!B638</f>
        <v>633</v>
      </c>
      <c r="B634" s="121">
        <f>'Inventory Takeoff'!H638</f>
        <v>0</v>
      </c>
      <c r="C634" s="121" t="s">
        <v>109</v>
      </c>
      <c r="D634" s="121" t="s">
        <v>1054</v>
      </c>
      <c r="E634" s="271" t="str">
        <f>IF('Inventory Takeoff'!J638="","",'Inventory Takeoff'!J638)</f>
        <v/>
      </c>
      <c r="F634" s="121" t="s">
        <v>1053</v>
      </c>
      <c r="G634" s="121" t="str">
        <f>'Inventory Takeoff'!C638</f>
        <v>Not Used</v>
      </c>
    </row>
    <row r="635" spans="1:7">
      <c r="A635" s="121">
        <f>'Inventory Takeoff'!B639</f>
        <v>634</v>
      </c>
      <c r="B635" s="121">
        <f>'Inventory Takeoff'!H639</f>
        <v>12.959999999999999</v>
      </c>
      <c r="C635" s="121" t="s">
        <v>109</v>
      </c>
      <c r="D635" s="121" t="s">
        <v>1052</v>
      </c>
      <c r="E635" s="271" t="str">
        <f>IF('Inventory Takeoff'!J639="","",'Inventory Takeoff'!J639)</f>
        <v/>
      </c>
      <c r="F635" s="121" t="s">
        <v>1053</v>
      </c>
      <c r="G635" s="121" t="str">
        <f>'Inventory Takeoff'!C639</f>
        <v>8" Rigid Round</v>
      </c>
    </row>
    <row r="636" spans="1:7">
      <c r="A636" s="121">
        <f>'Inventory Takeoff'!B640</f>
        <v>635</v>
      </c>
      <c r="B636" s="121">
        <f>'Inventory Takeoff'!H640</f>
        <v>0</v>
      </c>
      <c r="C636" s="121" t="s">
        <v>109</v>
      </c>
      <c r="D636" s="121" t="s">
        <v>1054</v>
      </c>
      <c r="E636" s="271" t="str">
        <f>IF('Inventory Takeoff'!J640="","",'Inventory Takeoff'!J640)</f>
        <v/>
      </c>
      <c r="F636" s="121" t="s">
        <v>1053</v>
      </c>
      <c r="G636" s="121" t="str">
        <f>'Inventory Takeoff'!C640</f>
        <v>Not Used</v>
      </c>
    </row>
    <row r="637" spans="1:7">
      <c r="A637" s="121">
        <f>'Inventory Takeoff'!B641</f>
        <v>636</v>
      </c>
      <c r="B637" s="121">
        <f>'Inventory Takeoff'!H641</f>
        <v>14.73</v>
      </c>
      <c r="C637" s="121" t="s">
        <v>109</v>
      </c>
      <c r="D637" s="121" t="s">
        <v>1052</v>
      </c>
      <c r="E637" s="271" t="str">
        <f>IF('Inventory Takeoff'!J641="","",'Inventory Takeoff'!J641)</f>
        <v/>
      </c>
      <c r="F637" s="121" t="s">
        <v>1053</v>
      </c>
      <c r="G637" s="121" t="str">
        <f>'Inventory Takeoff'!C641</f>
        <v>10" Rigid Round</v>
      </c>
    </row>
    <row r="638" spans="1:7">
      <c r="A638" s="121">
        <f>'Inventory Takeoff'!B642</f>
        <v>637</v>
      </c>
      <c r="B638" s="121">
        <f>'Inventory Takeoff'!H642</f>
        <v>16.450000000000003</v>
      </c>
      <c r="C638" s="121" t="s">
        <v>109</v>
      </c>
      <c r="D638" s="121" t="s">
        <v>1052</v>
      </c>
      <c r="E638" s="271" t="str">
        <f>IF('Inventory Takeoff'!J642="","",'Inventory Takeoff'!J642)</f>
        <v/>
      </c>
      <c r="F638" s="121" t="s">
        <v>1053</v>
      </c>
      <c r="G638" s="121" t="str">
        <f>'Inventory Takeoff'!C642</f>
        <v>12" Rigid Round</v>
      </c>
    </row>
    <row r="639" spans="1:7">
      <c r="A639" s="121">
        <f>'Inventory Takeoff'!B643</f>
        <v>638</v>
      </c>
      <c r="B639" s="121">
        <f>'Inventory Takeoff'!H643</f>
        <v>19.490000000000002</v>
      </c>
      <c r="C639" s="121" t="s">
        <v>109</v>
      </c>
      <c r="D639" s="121" t="s">
        <v>1052</v>
      </c>
      <c r="E639" s="271" t="str">
        <f>IF('Inventory Takeoff'!J643="","",'Inventory Takeoff'!J643)</f>
        <v/>
      </c>
      <c r="F639" s="121" t="s">
        <v>1053</v>
      </c>
      <c r="G639" s="121" t="str">
        <f>'Inventory Takeoff'!C643</f>
        <v>14" Rigid Round</v>
      </c>
    </row>
    <row r="640" spans="1:7">
      <c r="A640" s="121">
        <f>'Inventory Takeoff'!B644</f>
        <v>639</v>
      </c>
      <c r="B640" s="121">
        <f>'Inventory Takeoff'!H644</f>
        <v>23.59</v>
      </c>
      <c r="C640" s="121" t="s">
        <v>109</v>
      </c>
      <c r="D640" s="121" t="s">
        <v>1052</v>
      </c>
      <c r="E640" s="271" t="str">
        <f>IF('Inventory Takeoff'!J644="","",'Inventory Takeoff'!J644)</f>
        <v/>
      </c>
      <c r="F640" s="121" t="s">
        <v>1053</v>
      </c>
      <c r="G640" s="121" t="str">
        <f>'Inventory Takeoff'!C644</f>
        <v>16" Rigid Round</v>
      </c>
    </row>
    <row r="641" spans="1:7">
      <c r="A641" s="121">
        <f>'Inventory Takeoff'!B645</f>
        <v>640</v>
      </c>
      <c r="B641" s="121">
        <f>'Inventory Takeoff'!H645</f>
        <v>28.470000000000002</v>
      </c>
      <c r="C641" s="121" t="s">
        <v>109</v>
      </c>
      <c r="D641" s="121" t="s">
        <v>1052</v>
      </c>
      <c r="E641" s="271" t="str">
        <f>IF('Inventory Takeoff'!J645="","",'Inventory Takeoff'!J645)</f>
        <v/>
      </c>
      <c r="F641" s="121" t="s">
        <v>1053</v>
      </c>
      <c r="G641" s="121" t="str">
        <f>'Inventory Takeoff'!C645</f>
        <v>18" Rigid Round</v>
      </c>
    </row>
    <row r="642" spans="1:7">
      <c r="A642" s="121">
        <f>'Inventory Takeoff'!B646</f>
        <v>641</v>
      </c>
      <c r="B642" s="121">
        <f>'Inventory Takeoff'!H646</f>
        <v>5.63</v>
      </c>
      <c r="C642" s="121" t="s">
        <v>109</v>
      </c>
      <c r="D642" s="121" t="s">
        <v>1052</v>
      </c>
      <c r="E642" s="271">
        <f>IF('Inventory Takeoff'!J646="","",'Inventory Takeoff'!J646)</f>
        <v>44476</v>
      </c>
      <c r="F642" s="121" t="s">
        <v>1053</v>
      </c>
      <c r="G642" s="121" t="str">
        <f>'Inventory Takeoff'!C646</f>
        <v>Flex 333</v>
      </c>
    </row>
    <row r="643" spans="1:7">
      <c r="A643" s="121">
        <f>'Inventory Takeoff'!B647</f>
        <v>642</v>
      </c>
      <c r="B643" s="121">
        <f>'Inventory Takeoff'!H647</f>
        <v>6.55</v>
      </c>
      <c r="C643" s="121" t="s">
        <v>109</v>
      </c>
      <c r="D643" s="121" t="s">
        <v>1052</v>
      </c>
      <c r="E643" s="271">
        <f>IF('Inventory Takeoff'!J647="","",'Inventory Takeoff'!J647)</f>
        <v>44476</v>
      </c>
      <c r="F643" s="121" t="s">
        <v>1053</v>
      </c>
      <c r="G643" s="121" t="str">
        <f>'Inventory Takeoff'!C647</f>
        <v>Flex 444</v>
      </c>
    </row>
    <row r="644" spans="1:7">
      <c r="A644" s="121">
        <f>'Inventory Takeoff'!B648</f>
        <v>643</v>
      </c>
      <c r="B644" s="121">
        <f>'Inventory Takeoff'!H648</f>
        <v>0</v>
      </c>
      <c r="C644" s="121" t="s">
        <v>109</v>
      </c>
      <c r="D644" s="121" t="s">
        <v>1054</v>
      </c>
      <c r="E644" s="271" t="str">
        <f>IF('Inventory Takeoff'!J648="","",'Inventory Takeoff'!J648)</f>
        <v/>
      </c>
      <c r="F644" s="121" t="s">
        <v>1053</v>
      </c>
      <c r="G644" s="121" t="str">
        <f>'Inventory Takeoff'!C648</f>
        <v>Not Used</v>
      </c>
    </row>
    <row r="645" spans="1:7">
      <c r="A645" s="121">
        <f>'Inventory Takeoff'!B649</f>
        <v>644</v>
      </c>
      <c r="B645" s="121">
        <f>'Inventory Takeoff'!H649</f>
        <v>1.43</v>
      </c>
      <c r="C645" s="121" t="s">
        <v>109</v>
      </c>
      <c r="D645" s="121" t="s">
        <v>1052</v>
      </c>
      <c r="E645" s="271">
        <f>IF('Inventory Takeoff'!J649="","",'Inventory Takeoff'!J649)</f>
        <v>44949</v>
      </c>
      <c r="F645" s="121" t="s">
        <v>1053</v>
      </c>
      <c r="G645" s="121" t="str">
        <f>'Inventory Takeoff'!C649</f>
        <v>S-Lock - Flat</v>
      </c>
    </row>
    <row r="646" spans="1:7">
      <c r="A646" s="121">
        <f>'Inventory Takeoff'!B650</f>
        <v>645</v>
      </c>
      <c r="B646" s="121">
        <f>'Inventory Takeoff'!H650</f>
        <v>3</v>
      </c>
      <c r="C646" s="121" t="s">
        <v>109</v>
      </c>
      <c r="D646" s="121" t="s">
        <v>1052</v>
      </c>
      <c r="E646" s="271">
        <f>IF('Inventory Takeoff'!J650="","",'Inventory Takeoff'!J650)</f>
        <v>44949</v>
      </c>
      <c r="F646" s="121" t="s">
        <v>1053</v>
      </c>
      <c r="G646" s="121" t="str">
        <f>'Inventory Takeoff'!C650</f>
        <v>S-Lock - Standing</v>
      </c>
    </row>
    <row r="647" spans="1:7">
      <c r="A647" s="121">
        <f>'Inventory Takeoff'!B651</f>
        <v>646</v>
      </c>
      <c r="B647" s="121">
        <f>'Inventory Takeoff'!H651</f>
        <v>1.43</v>
      </c>
      <c r="C647" s="121" t="s">
        <v>109</v>
      </c>
      <c r="D647" s="121" t="s">
        <v>1052</v>
      </c>
      <c r="E647" s="271">
        <f>IF('Inventory Takeoff'!J651="","",'Inventory Takeoff'!J651)</f>
        <v>44949</v>
      </c>
      <c r="F647" s="121" t="s">
        <v>1053</v>
      </c>
      <c r="G647" s="121" t="str">
        <f>'Inventory Takeoff'!C651</f>
        <v>S-Lock - Seam</v>
      </c>
    </row>
    <row r="648" spans="1:7">
      <c r="A648" s="121">
        <f>'Inventory Takeoff'!B652</f>
        <v>647</v>
      </c>
      <c r="B648" s="121">
        <f>'Inventory Takeoff'!H652</f>
        <v>0.04</v>
      </c>
      <c r="C648" s="121" t="s">
        <v>109</v>
      </c>
      <c r="D648" s="121" t="s">
        <v>1054</v>
      </c>
      <c r="E648" s="271">
        <f>IF('Inventory Takeoff'!J652="","",'Inventory Takeoff'!J652)</f>
        <v>44949</v>
      </c>
      <c r="F648" s="121" t="s">
        <v>1053</v>
      </c>
      <c r="G648" s="121" t="str">
        <f>'Inventory Takeoff'!C652</f>
        <v>Zip Screw 8 x 1/2</v>
      </c>
    </row>
    <row r="649" spans="1:7">
      <c r="A649" s="121">
        <f>'Inventory Takeoff'!B653</f>
        <v>648</v>
      </c>
      <c r="B649" s="121">
        <f>'Inventory Takeoff'!H653</f>
        <v>0</v>
      </c>
      <c r="C649" s="121" t="s">
        <v>109</v>
      </c>
      <c r="D649" s="121" t="s">
        <v>1054</v>
      </c>
      <c r="E649" s="271" t="str">
        <f>IF('Inventory Takeoff'!J653="","",'Inventory Takeoff'!J653)</f>
        <v/>
      </c>
      <c r="F649" s="121" t="s">
        <v>1053</v>
      </c>
      <c r="G649" s="121" t="str">
        <f>'Inventory Takeoff'!C653</f>
        <v>Not Used</v>
      </c>
    </row>
    <row r="650" spans="1:7">
      <c r="A650" s="121">
        <f>'Inventory Takeoff'!B654</f>
        <v>649</v>
      </c>
      <c r="B650" s="121">
        <f>'Inventory Takeoff'!H654</f>
        <v>0.04</v>
      </c>
      <c r="C650" s="121" t="s">
        <v>109</v>
      </c>
      <c r="D650" s="121" t="s">
        <v>1054</v>
      </c>
      <c r="E650" s="271">
        <f>IF('Inventory Takeoff'!J654="","",'Inventory Takeoff'!J654)</f>
        <v>44949</v>
      </c>
      <c r="F650" s="121" t="s">
        <v>1053</v>
      </c>
      <c r="G650" s="121" t="str">
        <f>'Inventory Takeoff'!C654</f>
        <v>Zip Screw 8 x 1</v>
      </c>
    </row>
    <row r="651" spans="1:7">
      <c r="A651" s="121">
        <f>'Inventory Takeoff'!B655</f>
        <v>650</v>
      </c>
      <c r="B651" s="121">
        <f>'Inventory Takeoff'!H655</f>
        <v>0.04</v>
      </c>
      <c r="C651" s="121" t="s">
        <v>109</v>
      </c>
      <c r="D651" s="121" t="s">
        <v>1054</v>
      </c>
      <c r="E651" s="271">
        <f>IF('Inventory Takeoff'!J655="","",'Inventory Takeoff'!J655)</f>
        <v>44949</v>
      </c>
      <c r="F651" s="121" t="s">
        <v>1053</v>
      </c>
      <c r="G651" s="121" t="str">
        <f>'Inventory Takeoff'!C655</f>
        <v>Zip Screw 8 x 1 1/2</v>
      </c>
    </row>
    <row r="652" spans="1:7">
      <c r="A652" s="121">
        <f>'Inventory Takeoff'!B656</f>
        <v>651</v>
      </c>
      <c r="B652" s="121">
        <f>'Inventory Takeoff'!H656</f>
        <v>6.0000000000000005E-2</v>
      </c>
      <c r="C652" s="121" t="s">
        <v>109</v>
      </c>
      <c r="D652" s="121" t="s">
        <v>1054</v>
      </c>
      <c r="E652" s="271">
        <f>IF('Inventory Takeoff'!J656="","",'Inventory Takeoff'!J656)</f>
        <v>44949</v>
      </c>
      <c r="F652" s="121" t="s">
        <v>1053</v>
      </c>
      <c r="G652" s="121" t="str">
        <f>'Inventory Takeoff'!C656</f>
        <v>Zip Screw 8 x 2</v>
      </c>
    </row>
    <row r="653" spans="1:7">
      <c r="A653" s="121">
        <f>'Inventory Takeoff'!B657</f>
        <v>652</v>
      </c>
      <c r="B653" s="121">
        <f>'Inventory Takeoff'!H657</f>
        <v>0.04</v>
      </c>
      <c r="C653" s="121" t="s">
        <v>109</v>
      </c>
      <c r="D653" s="121" t="s">
        <v>1054</v>
      </c>
      <c r="E653" s="271">
        <f>IF('Inventory Takeoff'!J657="","",'Inventory Takeoff'!J657)</f>
        <v>44949</v>
      </c>
      <c r="F653" s="121" t="s">
        <v>1053</v>
      </c>
      <c r="G653" s="121" t="str">
        <f>'Inventory Takeoff'!C657</f>
        <v>Tec Screw 8 x 1/2</v>
      </c>
    </row>
    <row r="654" spans="1:7">
      <c r="A654" s="121">
        <f>'Inventory Takeoff'!B658</f>
        <v>653</v>
      </c>
      <c r="B654" s="121">
        <f>'Inventory Takeoff'!H658</f>
        <v>6.0000000000000005E-2</v>
      </c>
      <c r="C654" s="121" t="s">
        <v>109</v>
      </c>
      <c r="D654" s="121" t="s">
        <v>1054</v>
      </c>
      <c r="E654" s="271">
        <f>IF('Inventory Takeoff'!J658="","",'Inventory Takeoff'!J658)</f>
        <v>44949</v>
      </c>
      <c r="F654" s="121" t="s">
        <v>1053</v>
      </c>
      <c r="G654" s="121" t="str">
        <f>'Inventory Takeoff'!C658</f>
        <v>Tec Screw 10 x 3/4</v>
      </c>
    </row>
    <row r="655" spans="1:7">
      <c r="A655" s="121">
        <f>'Inventory Takeoff'!B659</f>
        <v>654</v>
      </c>
      <c r="B655" s="121">
        <f>'Inventory Takeoff'!H659</f>
        <v>0.13</v>
      </c>
      <c r="C655" s="121" t="s">
        <v>109</v>
      </c>
      <c r="D655" s="121" t="s">
        <v>1054</v>
      </c>
      <c r="E655" s="271" t="str">
        <f>IF('Inventory Takeoff'!J659="","",'Inventory Takeoff'!J659)</f>
        <v/>
      </c>
      <c r="F655" s="121" t="s">
        <v>1053</v>
      </c>
      <c r="G655" s="121" t="str">
        <f>'Inventory Takeoff'!C659</f>
        <v>Neo Wash Screws 10 x 3/4</v>
      </c>
    </row>
    <row r="656" spans="1:7">
      <c r="A656" s="121">
        <f>'Inventory Takeoff'!B660</f>
        <v>655</v>
      </c>
      <c r="B656" s="121">
        <f>'Inventory Takeoff'!H660</f>
        <v>0.63</v>
      </c>
      <c r="C656" s="121" t="s">
        <v>109</v>
      </c>
      <c r="D656" s="121" t="s">
        <v>1054</v>
      </c>
      <c r="E656" s="271" t="str">
        <f>IF('Inventory Takeoff'!J660="","",'Inventory Takeoff'!J660)</f>
        <v/>
      </c>
      <c r="F656" s="121" t="s">
        <v>1053</v>
      </c>
      <c r="G656" s="121" t="str">
        <f>'Inventory Takeoff'!C660</f>
        <v>T Locks 1/2"</v>
      </c>
    </row>
    <row r="657" spans="1:7">
      <c r="A657" s="121">
        <f>'Inventory Takeoff'!B661</f>
        <v>656</v>
      </c>
      <c r="B657" s="121">
        <f>'Inventory Takeoff'!H661</f>
        <v>30.770000000000003</v>
      </c>
      <c r="C657" s="121" t="s">
        <v>109</v>
      </c>
      <c r="D657" s="121" t="s">
        <v>1054</v>
      </c>
      <c r="E657" s="271">
        <f>IF('Inventory Takeoff'!J661="","",'Inventory Takeoff'!J661)</f>
        <v>44949</v>
      </c>
      <c r="F657" s="121" t="s">
        <v>1053</v>
      </c>
      <c r="G657" s="121" t="str">
        <f>'Inventory Takeoff'!C661</f>
        <v>Duct Sealant</v>
      </c>
    </row>
    <row r="658" spans="1:7">
      <c r="A658" s="121">
        <f>'Inventory Takeoff'!B662</f>
        <v>657</v>
      </c>
      <c r="B658" s="121">
        <f>'Inventory Takeoff'!H662</f>
        <v>25.19</v>
      </c>
      <c r="C658" s="121" t="s">
        <v>109</v>
      </c>
      <c r="D658" s="121" t="s">
        <v>1054</v>
      </c>
      <c r="E658" s="271" t="str">
        <f>IF('Inventory Takeoff'!J662="","",'Inventory Takeoff'!J662)</f>
        <v/>
      </c>
      <c r="F658" s="121" t="s">
        <v>1053</v>
      </c>
      <c r="G658" s="121" t="str">
        <f>'Inventory Takeoff'!C662</f>
        <v>Sealer HP S-2</v>
      </c>
    </row>
    <row r="659" spans="1:7">
      <c r="A659" s="121">
        <f>'Inventory Takeoff'!B663</f>
        <v>658</v>
      </c>
      <c r="B659" s="121">
        <f>'Inventory Takeoff'!H663</f>
        <v>24.82</v>
      </c>
      <c r="C659" s="121" t="s">
        <v>109</v>
      </c>
      <c r="D659" s="121" t="s">
        <v>1054</v>
      </c>
      <c r="E659" s="271">
        <f>IF('Inventory Takeoff'!J663="","",'Inventory Takeoff'!J663)</f>
        <v>44476</v>
      </c>
      <c r="F659" s="121" t="s">
        <v>1053</v>
      </c>
      <c r="G659" s="121" t="str">
        <f>'Inventory Takeoff'!C663</f>
        <v>Hardcast adhesive</v>
      </c>
    </row>
    <row r="660" spans="1:7">
      <c r="A660" s="121">
        <f>'Inventory Takeoff'!B664</f>
        <v>659</v>
      </c>
      <c r="B660" s="121">
        <f>'Inventory Takeoff'!H664</f>
        <v>41.85</v>
      </c>
      <c r="C660" s="121" t="s">
        <v>109</v>
      </c>
      <c r="D660" s="121" t="s">
        <v>1054</v>
      </c>
      <c r="E660" s="271">
        <f>IF('Inventory Takeoff'!J664="","",'Inventory Takeoff'!J664)</f>
        <v>44476</v>
      </c>
      <c r="F660" s="121" t="s">
        <v>1053</v>
      </c>
      <c r="G660" s="121" t="str">
        <f>'Inventory Takeoff'!C664</f>
        <v>Hardcast tape roll</v>
      </c>
    </row>
    <row r="661" spans="1:7">
      <c r="A661" s="121">
        <f>'Inventory Takeoff'!B665</f>
        <v>660</v>
      </c>
      <c r="B661" s="121">
        <f>'Inventory Takeoff'!H665</f>
        <v>2.2199999999999998</v>
      </c>
      <c r="C661" s="121" t="s">
        <v>109</v>
      </c>
      <c r="D661" s="121" t="s">
        <v>1054</v>
      </c>
      <c r="E661" s="271" t="str">
        <f>IF('Inventory Takeoff'!J665="","",'Inventory Takeoff'!J665)</f>
        <v/>
      </c>
      <c r="F661" s="121" t="s">
        <v>1053</v>
      </c>
      <c r="G661" s="121" t="str">
        <f>'Inventory Takeoff'!C665</f>
        <v>Soffit Vents 4 x 16</v>
      </c>
    </row>
    <row r="662" spans="1:7">
      <c r="A662" s="121">
        <f>'Inventory Takeoff'!B666</f>
        <v>661</v>
      </c>
      <c r="B662" s="121">
        <f>'Inventory Takeoff'!H666</f>
        <v>3.52</v>
      </c>
      <c r="C662" s="121" t="s">
        <v>109</v>
      </c>
      <c r="D662" s="121" t="s">
        <v>1054</v>
      </c>
      <c r="E662" s="271" t="str">
        <f>IF('Inventory Takeoff'!J666="","",'Inventory Takeoff'!J666)</f>
        <v/>
      </c>
      <c r="F662" s="121" t="s">
        <v>1053</v>
      </c>
      <c r="G662" s="121" t="str">
        <f>'Inventory Takeoff'!C666</f>
        <v>Solder - LB</v>
      </c>
    </row>
    <row r="663" spans="1:7">
      <c r="A663" s="121">
        <f>'Inventory Takeoff'!B667</f>
        <v>662</v>
      </c>
      <c r="B663" s="121">
        <f>'Inventory Takeoff'!H667</f>
        <v>5.2299999999999995</v>
      </c>
      <c r="C663" s="121" t="s">
        <v>109</v>
      </c>
      <c r="D663" s="121" t="s">
        <v>1054</v>
      </c>
      <c r="E663" s="271">
        <f>IF('Inventory Takeoff'!J667="","",'Inventory Takeoff'!J667)</f>
        <v>44476</v>
      </c>
      <c r="F663" s="121" t="s">
        <v>1053</v>
      </c>
      <c r="G663" s="121" t="str">
        <f>'Inventory Takeoff'!C667</f>
        <v>Sealant Water Based (Tube)</v>
      </c>
    </row>
    <row r="664" spans="1:7">
      <c r="A664" s="121">
        <f>'Inventory Takeoff'!B668</f>
        <v>663</v>
      </c>
      <c r="B664" s="121">
        <f>'Inventory Takeoff'!H668</f>
        <v>49.91</v>
      </c>
      <c r="C664" s="121" t="s">
        <v>109</v>
      </c>
      <c r="D664" s="121" t="s">
        <v>1054</v>
      </c>
      <c r="E664" s="271">
        <f>IF('Inventory Takeoff'!J668="","",'Inventory Takeoff'!J668)</f>
        <v>44476</v>
      </c>
      <c r="F664" s="121" t="s">
        <v>1053</v>
      </c>
      <c r="G664" s="121" t="str">
        <f>'Inventory Takeoff'!C668</f>
        <v>Blue Wrap 24" (Roll)</v>
      </c>
    </row>
    <row r="665" spans="1:7">
      <c r="A665" s="121">
        <f>'Inventory Takeoff'!B669</f>
        <v>664</v>
      </c>
      <c r="B665" s="121">
        <f>'Inventory Takeoff'!H669</f>
        <v>0.96</v>
      </c>
      <c r="C665" s="121" t="s">
        <v>109</v>
      </c>
      <c r="D665" s="121" t="s">
        <v>1054</v>
      </c>
      <c r="E665" s="271" t="str">
        <f>IF('Inventory Takeoff'!J669="","",'Inventory Takeoff'!J669)</f>
        <v/>
      </c>
      <c r="F665" s="121" t="s">
        <v>1053</v>
      </c>
      <c r="G665" s="121" t="str">
        <f>'Inventory Takeoff'!C669</f>
        <v>Sanding Disk 4 x 20</v>
      </c>
    </row>
    <row r="666" spans="1:7">
      <c r="A666" s="121">
        <f>'Inventory Takeoff'!B670</f>
        <v>665</v>
      </c>
      <c r="B666" s="121">
        <f>'Inventory Takeoff'!H670</f>
        <v>6.97</v>
      </c>
      <c r="C666" s="121" t="s">
        <v>109</v>
      </c>
      <c r="D666" s="121" t="s">
        <v>1054</v>
      </c>
      <c r="E666" s="271" t="str">
        <f>IF('Inventory Takeoff'!J670="","",'Inventory Takeoff'!J670)</f>
        <v/>
      </c>
      <c r="F666" s="121" t="s">
        <v>1053</v>
      </c>
      <c r="G666" s="121" t="str">
        <f>'Inventory Takeoff'!C670</f>
        <v>Sanding Disk 4" ABR</v>
      </c>
    </row>
    <row r="667" spans="1:7">
      <c r="A667" s="121">
        <f>'Inventory Takeoff'!B671</f>
        <v>666</v>
      </c>
      <c r="B667" s="121">
        <f>'Inventory Takeoff'!H671</f>
        <v>90.13000000000001</v>
      </c>
      <c r="C667" s="121" t="s">
        <v>109</v>
      </c>
      <c r="D667" s="121" t="s">
        <v>1054</v>
      </c>
      <c r="E667" s="271" t="str">
        <f>IF('Inventory Takeoff'!J671="","",'Inventory Takeoff'!J671)</f>
        <v/>
      </c>
      <c r="F667" s="121" t="s">
        <v>1053</v>
      </c>
      <c r="G667" s="121" t="str">
        <f>'Inventory Takeoff'!C671</f>
        <v>Blue Wrap 36" (Roll)</v>
      </c>
    </row>
    <row r="668" spans="1:7">
      <c r="A668" s="121">
        <f>'Inventory Takeoff'!B672</f>
        <v>667</v>
      </c>
      <c r="B668" s="121">
        <f>'Inventory Takeoff'!H672</f>
        <v>7.6499999999999995</v>
      </c>
      <c r="C668" s="121" t="s">
        <v>109</v>
      </c>
      <c r="D668" s="121" t="s">
        <v>1054</v>
      </c>
      <c r="E668" s="271" t="str">
        <f>IF('Inventory Takeoff'!J672="","",'Inventory Takeoff'!J672)</f>
        <v/>
      </c>
      <c r="F668" s="121" t="s">
        <v>1053</v>
      </c>
      <c r="G668" s="121" t="str">
        <f>'Inventory Takeoff'!C672</f>
        <v>7 in 60 Grit Disk</v>
      </c>
    </row>
    <row r="669" spans="1:7">
      <c r="A669" s="121">
        <f>'Inventory Takeoff'!B673</f>
        <v>668</v>
      </c>
      <c r="B669" s="121">
        <f>'Inventory Takeoff'!H673</f>
        <v>7.6499999999999995</v>
      </c>
      <c r="C669" s="121" t="s">
        <v>109</v>
      </c>
      <c r="D669" s="121" t="s">
        <v>1054</v>
      </c>
      <c r="E669" s="271" t="str">
        <f>IF('Inventory Takeoff'!J673="","",'Inventory Takeoff'!J673)</f>
        <v/>
      </c>
      <c r="F669" s="121" t="s">
        <v>1053</v>
      </c>
      <c r="G669" s="121" t="str">
        <f>'Inventory Takeoff'!C673</f>
        <v>7 in 80 Grit Disk</v>
      </c>
    </row>
    <row r="670" spans="1:7">
      <c r="A670" s="121">
        <f>'Inventory Takeoff'!B674</f>
        <v>669</v>
      </c>
      <c r="B670" s="121">
        <f>'Inventory Takeoff'!H674</f>
        <v>0</v>
      </c>
      <c r="C670" s="121" t="s">
        <v>109</v>
      </c>
      <c r="D670" s="121" t="s">
        <v>1054</v>
      </c>
      <c r="E670" s="271" t="str">
        <f>IF('Inventory Takeoff'!J674="","",'Inventory Takeoff'!J674)</f>
        <v/>
      </c>
      <c r="F670" s="121" t="s">
        <v>1053</v>
      </c>
      <c r="G670" s="121" t="str">
        <f>'Inventory Takeoff'!C674</f>
        <v>Not Used</v>
      </c>
    </row>
    <row r="671" spans="1:7">
      <c r="A671" s="121">
        <f>'Inventory Takeoff'!B675</f>
        <v>670</v>
      </c>
      <c r="B671" s="121">
        <f>'Inventory Takeoff'!H675</f>
        <v>16.100000000000001</v>
      </c>
      <c r="C671" s="121" t="s">
        <v>109</v>
      </c>
      <c r="D671" s="121" t="s">
        <v>1054</v>
      </c>
      <c r="E671" s="271">
        <f>IF('Inventory Takeoff'!J675="","",'Inventory Takeoff'!J675)</f>
        <v>46066</v>
      </c>
      <c r="F671" s="121" t="s">
        <v>1053</v>
      </c>
      <c r="G671" s="121" t="str">
        <f>'Inventory Takeoff'!C675</f>
        <v>5" ATTO</v>
      </c>
    </row>
    <row r="672" spans="1:7">
      <c r="A672" s="121">
        <f>'Inventory Takeoff'!B676</f>
        <v>671</v>
      </c>
      <c r="B672" s="121">
        <f>'Inventory Takeoff'!H676</f>
        <v>16.100000000000001</v>
      </c>
      <c r="C672" s="121" t="s">
        <v>109</v>
      </c>
      <c r="D672" s="121" t="s">
        <v>1054</v>
      </c>
      <c r="E672" s="271">
        <f>IF('Inventory Takeoff'!J676="","",'Inventory Takeoff'!J676)</f>
        <v>46066</v>
      </c>
      <c r="F672" s="121" t="s">
        <v>1053</v>
      </c>
      <c r="G672" s="121" t="str">
        <f>'Inventory Takeoff'!C676</f>
        <v>6" ATTO</v>
      </c>
    </row>
    <row r="673" spans="1:7">
      <c r="A673" s="121">
        <f>'Inventory Takeoff'!B677</f>
        <v>672</v>
      </c>
      <c r="B673" s="121">
        <f>'Inventory Takeoff'!H677</f>
        <v>20.71</v>
      </c>
      <c r="C673" s="121" t="s">
        <v>109</v>
      </c>
      <c r="D673" s="121" t="s">
        <v>1054</v>
      </c>
      <c r="E673" s="271">
        <f>IF('Inventory Takeoff'!J677="","",'Inventory Takeoff'!J677)</f>
        <v>46066</v>
      </c>
      <c r="F673" s="121" t="s">
        <v>1053</v>
      </c>
      <c r="G673" s="121" t="str">
        <f>'Inventory Takeoff'!C677</f>
        <v>7" ATTO</v>
      </c>
    </row>
    <row r="674" spans="1:7">
      <c r="A674" s="121">
        <f>'Inventory Takeoff'!B678</f>
        <v>673</v>
      </c>
      <c r="B674" s="121">
        <f>'Inventory Takeoff'!H678</f>
        <v>21.76</v>
      </c>
      <c r="C674" s="121" t="s">
        <v>109</v>
      </c>
      <c r="D674" s="121" t="s">
        <v>1054</v>
      </c>
      <c r="E674" s="271">
        <f>IF('Inventory Takeoff'!J678="","",'Inventory Takeoff'!J678)</f>
        <v>46066</v>
      </c>
      <c r="F674" s="121" t="s">
        <v>1053</v>
      </c>
      <c r="G674" s="121" t="str">
        <f>'Inventory Takeoff'!C678</f>
        <v>8" ATTO</v>
      </c>
    </row>
    <row r="675" spans="1:7">
      <c r="A675" s="121">
        <f>'Inventory Takeoff'!B679</f>
        <v>674</v>
      </c>
      <c r="B675" s="121">
        <f>'Inventory Takeoff'!H679</f>
        <v>25.270000000000003</v>
      </c>
      <c r="C675" s="121" t="s">
        <v>109</v>
      </c>
      <c r="D675" s="121" t="s">
        <v>1054</v>
      </c>
      <c r="E675" s="271">
        <f>IF('Inventory Takeoff'!J679="","",'Inventory Takeoff'!J679)</f>
        <v>46066</v>
      </c>
      <c r="F675" s="121" t="s">
        <v>1053</v>
      </c>
      <c r="G675" s="121" t="str">
        <f>'Inventory Takeoff'!C679</f>
        <v>9" ATTO</v>
      </c>
    </row>
    <row r="676" spans="1:7">
      <c r="A676" s="121">
        <f>'Inventory Takeoff'!B680</f>
        <v>675</v>
      </c>
      <c r="B676" s="121">
        <f>'Inventory Takeoff'!H680</f>
        <v>27.6</v>
      </c>
      <c r="C676" s="121" t="s">
        <v>109</v>
      </c>
      <c r="D676" s="121" t="s">
        <v>1054</v>
      </c>
      <c r="E676" s="271">
        <f>IF('Inventory Takeoff'!J680="","",'Inventory Takeoff'!J680)</f>
        <v>46066</v>
      </c>
      <c r="F676" s="121" t="s">
        <v>1053</v>
      </c>
      <c r="G676" s="121" t="str">
        <f>'Inventory Takeoff'!C680</f>
        <v>10" ATTO</v>
      </c>
    </row>
    <row r="677" spans="1:7">
      <c r="A677" s="121">
        <f>'Inventory Takeoff'!B681</f>
        <v>676</v>
      </c>
      <c r="B677" s="121">
        <f>'Inventory Takeoff'!H681</f>
        <v>30.430000000000003</v>
      </c>
      <c r="C677" s="121" t="s">
        <v>109</v>
      </c>
      <c r="D677" s="121" t="s">
        <v>1054</v>
      </c>
      <c r="E677" s="271">
        <f>IF('Inventory Takeoff'!J681="","",'Inventory Takeoff'!J681)</f>
        <v>46066</v>
      </c>
      <c r="F677" s="121" t="s">
        <v>1053</v>
      </c>
      <c r="G677" s="121" t="str">
        <f>'Inventory Takeoff'!C681</f>
        <v>12" ATTO</v>
      </c>
    </row>
    <row r="678" spans="1:7">
      <c r="A678" s="121">
        <f>'Inventory Takeoff'!B682</f>
        <v>677</v>
      </c>
      <c r="B678" s="121">
        <f>'Inventory Takeoff'!H682</f>
        <v>36.14</v>
      </c>
      <c r="C678" s="121" t="s">
        <v>109</v>
      </c>
      <c r="D678" s="121" t="s">
        <v>1054</v>
      </c>
      <c r="E678" s="271">
        <f>IF('Inventory Takeoff'!J682="","",'Inventory Takeoff'!J682)</f>
        <v>46066</v>
      </c>
      <c r="F678" s="121" t="s">
        <v>1053</v>
      </c>
      <c r="G678" s="121" t="str">
        <f>'Inventory Takeoff'!C682</f>
        <v>14" ATTO</v>
      </c>
    </row>
    <row r="679" spans="1:7">
      <c r="A679" s="121">
        <f>'Inventory Takeoff'!B683</f>
        <v>678</v>
      </c>
      <c r="B679" s="121">
        <f>'Inventory Takeoff'!H683</f>
        <v>43.37</v>
      </c>
      <c r="C679" s="121" t="s">
        <v>109</v>
      </c>
      <c r="D679" s="121" t="s">
        <v>1054</v>
      </c>
      <c r="E679" s="271">
        <f>IF('Inventory Takeoff'!J683="","",'Inventory Takeoff'!J683)</f>
        <v>46066</v>
      </c>
      <c r="F679" s="121" t="s">
        <v>1053</v>
      </c>
      <c r="G679" s="121" t="str">
        <f>'Inventory Takeoff'!C683</f>
        <v>16" ATTO</v>
      </c>
    </row>
    <row r="680" spans="1:7">
      <c r="A680" s="121">
        <f>'Inventory Takeoff'!B684</f>
        <v>679</v>
      </c>
      <c r="B680" s="121">
        <f>'Inventory Takeoff'!H684</f>
        <v>53.32</v>
      </c>
      <c r="C680" s="121" t="s">
        <v>109</v>
      </c>
      <c r="D680" s="121" t="s">
        <v>1054</v>
      </c>
      <c r="E680" s="271">
        <f>IF('Inventory Takeoff'!J684="","",'Inventory Takeoff'!J684)</f>
        <v>46066</v>
      </c>
      <c r="F680" s="121" t="s">
        <v>1053</v>
      </c>
      <c r="G680" s="121" t="str">
        <f>'Inventory Takeoff'!C684</f>
        <v>18" ATTO</v>
      </c>
    </row>
    <row r="681" spans="1:7">
      <c r="A681" s="121">
        <f>'Inventory Takeoff'!B685</f>
        <v>680</v>
      </c>
      <c r="B681" s="121">
        <f>'Inventory Takeoff'!H685</f>
        <v>25.66</v>
      </c>
      <c r="C681" s="121" t="s">
        <v>109</v>
      </c>
      <c r="D681" s="121" t="s">
        <v>1054</v>
      </c>
      <c r="E681" s="271">
        <f>IF('Inventory Takeoff'!J685="","",'Inventory Takeoff'!J685)</f>
        <v>46066</v>
      </c>
      <c r="F681" s="121" t="s">
        <v>1053</v>
      </c>
      <c r="G681" s="121" t="str">
        <f>'Inventory Takeoff'!C685</f>
        <v>5" ATTO with damper</v>
      </c>
    </row>
    <row r="682" spans="1:7">
      <c r="A682" s="121">
        <f>'Inventory Takeoff'!B686</f>
        <v>681</v>
      </c>
      <c r="B682" s="121">
        <f>'Inventory Takeoff'!H686</f>
        <v>25.66</v>
      </c>
      <c r="C682" s="121" t="s">
        <v>109</v>
      </c>
      <c r="D682" s="121" t="s">
        <v>1054</v>
      </c>
      <c r="E682" s="271">
        <f>IF('Inventory Takeoff'!J686="","",'Inventory Takeoff'!J686)</f>
        <v>46066</v>
      </c>
      <c r="F682" s="121" t="s">
        <v>1053</v>
      </c>
      <c r="G682" s="121" t="str">
        <f>'Inventory Takeoff'!C686</f>
        <v>6" ATTO with damper</v>
      </c>
    </row>
    <row r="683" spans="1:7">
      <c r="A683" s="121">
        <f>'Inventory Takeoff'!B687</f>
        <v>682</v>
      </c>
      <c r="B683" s="121">
        <f>'Inventory Takeoff'!H687</f>
        <v>27.21</v>
      </c>
      <c r="C683" s="121" t="s">
        <v>109</v>
      </c>
      <c r="D683" s="121" t="s">
        <v>1054</v>
      </c>
      <c r="E683" s="271">
        <f>IF('Inventory Takeoff'!J687="","",'Inventory Takeoff'!J687)</f>
        <v>44949</v>
      </c>
      <c r="F683" s="121" t="s">
        <v>1053</v>
      </c>
      <c r="G683" s="121" t="str">
        <f>'Inventory Takeoff'!C687</f>
        <v>7" ATTO with damper</v>
      </c>
    </row>
    <row r="684" spans="1:7">
      <c r="A684" s="121">
        <f>'Inventory Takeoff'!B688</f>
        <v>683</v>
      </c>
      <c r="B684" s="121">
        <f>'Inventory Takeoff'!H688</f>
        <v>33.03</v>
      </c>
      <c r="C684" s="121" t="s">
        <v>109</v>
      </c>
      <c r="D684" s="121" t="s">
        <v>1054</v>
      </c>
      <c r="E684" s="271">
        <f>IF('Inventory Takeoff'!J688="","",'Inventory Takeoff'!J688)</f>
        <v>46066</v>
      </c>
      <c r="F684" s="121" t="s">
        <v>1053</v>
      </c>
      <c r="G684" s="121" t="str">
        <f>'Inventory Takeoff'!C688</f>
        <v>8" ATTO with damper</v>
      </c>
    </row>
    <row r="685" spans="1:7">
      <c r="A685" s="121">
        <f>'Inventory Takeoff'!B689</f>
        <v>684</v>
      </c>
      <c r="B685" s="121">
        <f>'Inventory Takeoff'!H689</f>
        <v>34.15</v>
      </c>
      <c r="C685" s="121" t="s">
        <v>109</v>
      </c>
      <c r="D685" s="121" t="s">
        <v>1054</v>
      </c>
      <c r="E685" s="271">
        <f>IF('Inventory Takeoff'!J689="","",'Inventory Takeoff'!J689)</f>
        <v>44949</v>
      </c>
      <c r="F685" s="121" t="s">
        <v>1053</v>
      </c>
      <c r="G685" s="121" t="str">
        <f>'Inventory Takeoff'!C689</f>
        <v>9" ATTO with damper</v>
      </c>
    </row>
    <row r="686" spans="1:7">
      <c r="A686" s="121">
        <f>'Inventory Takeoff'!B690</f>
        <v>685</v>
      </c>
      <c r="B686" s="121">
        <f>'Inventory Takeoff'!H690</f>
        <v>40.519999999999996</v>
      </c>
      <c r="C686" s="121" t="s">
        <v>109</v>
      </c>
      <c r="D686" s="121" t="s">
        <v>1054</v>
      </c>
      <c r="E686" s="271">
        <f>IF('Inventory Takeoff'!J690="","",'Inventory Takeoff'!J690)</f>
        <v>46066</v>
      </c>
      <c r="F686" s="121" t="s">
        <v>1053</v>
      </c>
      <c r="G686" s="121" t="str">
        <f>'Inventory Takeoff'!C690</f>
        <v>10" ATTO with damper</v>
      </c>
    </row>
    <row r="687" spans="1:7">
      <c r="A687" s="121">
        <f>'Inventory Takeoff'!B691</f>
        <v>686</v>
      </c>
      <c r="B687" s="121">
        <f>'Inventory Takeoff'!H691</f>
        <v>44.19</v>
      </c>
      <c r="C687" s="121" t="s">
        <v>109</v>
      </c>
      <c r="D687" s="121" t="s">
        <v>1054</v>
      </c>
      <c r="E687" s="271">
        <f>IF('Inventory Takeoff'!J691="","",'Inventory Takeoff'!J691)</f>
        <v>46066</v>
      </c>
      <c r="F687" s="121" t="s">
        <v>1053</v>
      </c>
      <c r="G687" s="121" t="str">
        <f>'Inventory Takeoff'!C691</f>
        <v>12" ATTO with damper</v>
      </c>
    </row>
    <row r="688" spans="1:7">
      <c r="A688" s="121">
        <f>'Inventory Takeoff'!B692</f>
        <v>687</v>
      </c>
      <c r="B688" s="121">
        <f>'Inventory Takeoff'!H692</f>
        <v>51.57</v>
      </c>
      <c r="C688" s="121" t="s">
        <v>109</v>
      </c>
      <c r="D688" s="121" t="s">
        <v>1054</v>
      </c>
      <c r="E688" s="271">
        <f>IF('Inventory Takeoff'!J692="","",'Inventory Takeoff'!J692)</f>
        <v>46066</v>
      </c>
      <c r="F688" s="121" t="s">
        <v>1053</v>
      </c>
      <c r="G688" s="121" t="str">
        <f>'Inventory Takeoff'!C692</f>
        <v>14" ATTO with damper</v>
      </c>
    </row>
    <row r="689" spans="1:7">
      <c r="A689" s="121">
        <f>'Inventory Takeoff'!B693</f>
        <v>688</v>
      </c>
      <c r="B689" s="121">
        <f>'Inventory Takeoff'!H693</f>
        <v>50.86</v>
      </c>
      <c r="C689" s="121" t="s">
        <v>109</v>
      </c>
      <c r="D689" s="121" t="s">
        <v>1054</v>
      </c>
      <c r="E689" s="271">
        <f>IF('Inventory Takeoff'!J693="","",'Inventory Takeoff'!J693)</f>
        <v>44949</v>
      </c>
      <c r="F689" s="121" t="s">
        <v>1053</v>
      </c>
      <c r="G689" s="121" t="str">
        <f>'Inventory Takeoff'!C693</f>
        <v>16" ATTO with damper</v>
      </c>
    </row>
    <row r="690" spans="1:7">
      <c r="A690" s="121">
        <f>'Inventory Takeoff'!B694</f>
        <v>689</v>
      </c>
      <c r="B690" s="121">
        <f>'Inventory Takeoff'!H694</f>
        <v>39.53</v>
      </c>
      <c r="C690" s="121" t="s">
        <v>109</v>
      </c>
      <c r="D690" s="121" t="s">
        <v>1054</v>
      </c>
      <c r="E690" s="271" t="str">
        <f>IF('Inventory Takeoff'!J694="","",'Inventory Takeoff'!J694)</f>
        <v/>
      </c>
      <c r="F690" s="121" t="s">
        <v>1053</v>
      </c>
      <c r="G690" s="121" t="str">
        <f>'Inventory Takeoff'!C694</f>
        <v>18" ATTO with damper</v>
      </c>
    </row>
    <row r="691" spans="1:7">
      <c r="A691" s="121">
        <f>'Inventory Takeoff'!B695</f>
        <v>690</v>
      </c>
      <c r="B691" s="121">
        <f>'Inventory Takeoff'!H695</f>
        <v>0</v>
      </c>
      <c r="C691" s="121" t="s">
        <v>109</v>
      </c>
      <c r="D691" s="121" t="s">
        <v>1054</v>
      </c>
      <c r="E691" s="271" t="str">
        <f>IF('Inventory Takeoff'!J695="","",'Inventory Takeoff'!J695)</f>
        <v/>
      </c>
      <c r="F691" s="121" t="s">
        <v>1053</v>
      </c>
      <c r="G691" s="121" t="str">
        <f>'Inventory Takeoff'!C695</f>
        <v>Not Used</v>
      </c>
    </row>
    <row r="692" spans="1:7">
      <c r="A692" s="121">
        <f>'Inventory Takeoff'!B696</f>
        <v>691</v>
      </c>
      <c r="B692" s="121">
        <f>'Inventory Takeoff'!H696</f>
        <v>11.11</v>
      </c>
      <c r="C692" s="121" t="s">
        <v>109</v>
      </c>
      <c r="D692" s="121" t="s">
        <v>1054</v>
      </c>
      <c r="E692" s="271" t="str">
        <f>IF('Inventory Takeoff'!J696="","",'Inventory Takeoff'!J696)</f>
        <v/>
      </c>
      <c r="F692" s="121" t="s">
        <v>1053</v>
      </c>
      <c r="G692" s="121" t="str">
        <f>'Inventory Takeoff'!C696</f>
        <v>6" MSI with S &amp; D</v>
      </c>
    </row>
    <row r="693" spans="1:7">
      <c r="A693" s="121">
        <f>'Inventory Takeoff'!B697</f>
        <v>692</v>
      </c>
      <c r="B693" s="121">
        <f>'Inventory Takeoff'!H697</f>
        <v>11.55</v>
      </c>
      <c r="C693" s="121" t="s">
        <v>109</v>
      </c>
      <c r="D693" s="121" t="s">
        <v>1054</v>
      </c>
      <c r="E693" s="271" t="str">
        <f>IF('Inventory Takeoff'!J697="","",'Inventory Takeoff'!J697)</f>
        <v/>
      </c>
      <c r="F693" s="121" t="s">
        <v>1053</v>
      </c>
      <c r="G693" s="121" t="str">
        <f>'Inventory Takeoff'!C697</f>
        <v>7" MSI with S &amp; D</v>
      </c>
    </row>
    <row r="694" spans="1:7">
      <c r="A694" s="121">
        <f>'Inventory Takeoff'!B698</f>
        <v>693</v>
      </c>
      <c r="B694" s="121">
        <f>'Inventory Takeoff'!H698</f>
        <v>8.83</v>
      </c>
      <c r="C694" s="121" t="s">
        <v>109</v>
      </c>
      <c r="D694" s="121" t="s">
        <v>1054</v>
      </c>
      <c r="E694" s="271" t="str">
        <f>IF('Inventory Takeoff'!J698="","",'Inventory Takeoff'!J698)</f>
        <v/>
      </c>
      <c r="F694" s="121" t="s">
        <v>1053</v>
      </c>
      <c r="G694" s="121" t="str">
        <f>'Inventory Takeoff'!C698</f>
        <v>8" MSI with S &amp; D</v>
      </c>
    </row>
    <row r="695" spans="1:7">
      <c r="A695" s="121">
        <f>'Inventory Takeoff'!B699</f>
        <v>694</v>
      </c>
      <c r="B695" s="121">
        <f>'Inventory Takeoff'!H699</f>
        <v>11.709999999999999</v>
      </c>
      <c r="C695" s="121" t="s">
        <v>109</v>
      </c>
      <c r="D695" s="121" t="s">
        <v>1054</v>
      </c>
      <c r="E695" s="271" t="str">
        <f>IF('Inventory Takeoff'!J699="","",'Inventory Takeoff'!J699)</f>
        <v/>
      </c>
      <c r="F695" s="121" t="s">
        <v>1053</v>
      </c>
      <c r="G695" s="121" t="str">
        <f>'Inventory Takeoff'!C699</f>
        <v>9" MSI with S &amp; D</v>
      </c>
    </row>
    <row r="696" spans="1:7">
      <c r="A696" s="121">
        <f>'Inventory Takeoff'!B700</f>
        <v>695</v>
      </c>
      <c r="B696" s="121">
        <f>'Inventory Takeoff'!H700</f>
        <v>12.19</v>
      </c>
      <c r="C696" s="121" t="s">
        <v>109</v>
      </c>
      <c r="D696" s="121" t="s">
        <v>1054</v>
      </c>
      <c r="E696" s="271" t="str">
        <f>IF('Inventory Takeoff'!J700="","",'Inventory Takeoff'!J700)</f>
        <v/>
      </c>
      <c r="F696" s="121" t="s">
        <v>1053</v>
      </c>
      <c r="G696" s="121" t="str">
        <f>'Inventory Takeoff'!C700</f>
        <v>10" MSI with S &amp; D</v>
      </c>
    </row>
    <row r="697" spans="1:7">
      <c r="A697" s="121">
        <f>'Inventory Takeoff'!B701</f>
        <v>696</v>
      </c>
      <c r="B697" s="121">
        <f>'Inventory Takeoff'!H701</f>
        <v>13.03</v>
      </c>
      <c r="C697" s="121" t="s">
        <v>109</v>
      </c>
      <c r="D697" s="121" t="s">
        <v>1054</v>
      </c>
      <c r="E697" s="271" t="str">
        <f>IF('Inventory Takeoff'!J701="","",'Inventory Takeoff'!J701)</f>
        <v/>
      </c>
      <c r="F697" s="121" t="s">
        <v>1053</v>
      </c>
      <c r="G697" s="121" t="str">
        <f>'Inventory Takeoff'!C701</f>
        <v>12" MSI with S &amp; D</v>
      </c>
    </row>
    <row r="698" spans="1:7">
      <c r="A698" s="121">
        <f>'Inventory Takeoff'!B702</f>
        <v>697</v>
      </c>
      <c r="B698" s="121">
        <f>'Inventory Takeoff'!H702</f>
        <v>18.830000000000002</v>
      </c>
      <c r="C698" s="121" t="s">
        <v>109</v>
      </c>
      <c r="D698" s="121" t="s">
        <v>1054</v>
      </c>
      <c r="E698" s="271" t="str">
        <f>IF('Inventory Takeoff'!J702="","",'Inventory Takeoff'!J702)</f>
        <v/>
      </c>
      <c r="F698" s="121" t="s">
        <v>1053</v>
      </c>
      <c r="G698" s="121" t="str">
        <f>'Inventory Takeoff'!C702</f>
        <v>14" MSI with S &amp; D</v>
      </c>
    </row>
    <row r="699" spans="1:7">
      <c r="A699" s="121">
        <f>'Inventory Takeoff'!B703</f>
        <v>698</v>
      </c>
      <c r="B699" s="121">
        <f>'Inventory Takeoff'!H703</f>
        <v>23.470000000000002</v>
      </c>
      <c r="C699" s="121" t="s">
        <v>109</v>
      </c>
      <c r="D699" s="121" t="s">
        <v>1054</v>
      </c>
      <c r="E699" s="271" t="str">
        <f>IF('Inventory Takeoff'!J703="","",'Inventory Takeoff'!J703)</f>
        <v/>
      </c>
      <c r="F699" s="121" t="s">
        <v>1053</v>
      </c>
      <c r="G699" s="121" t="str">
        <f>'Inventory Takeoff'!C703</f>
        <v>16" MSI with S &amp; D</v>
      </c>
    </row>
    <row r="700" spans="1:7">
      <c r="A700" s="121">
        <f>'Inventory Takeoff'!B704</f>
        <v>699</v>
      </c>
      <c r="B700" s="121">
        <f>'Inventory Takeoff'!H704</f>
        <v>0</v>
      </c>
      <c r="C700" s="121" t="s">
        <v>109</v>
      </c>
      <c r="D700" s="121" t="s">
        <v>1054</v>
      </c>
      <c r="E700" s="271" t="str">
        <f>IF('Inventory Takeoff'!J704="","",'Inventory Takeoff'!J704)</f>
        <v/>
      </c>
      <c r="F700" s="121" t="s">
        <v>1053</v>
      </c>
      <c r="G700" s="121" t="str">
        <f>'Inventory Takeoff'!C704</f>
        <v>Not Used</v>
      </c>
    </row>
    <row r="701" spans="1:7">
      <c r="A701" s="121">
        <f>'Inventory Takeoff'!B705</f>
        <v>700</v>
      </c>
      <c r="B701" s="121">
        <f>'Inventory Takeoff'!H705</f>
        <v>16.57</v>
      </c>
      <c r="C701" s="121" t="s">
        <v>109</v>
      </c>
      <c r="D701" s="121" t="s">
        <v>1054</v>
      </c>
      <c r="E701" s="271">
        <f>IF('Inventory Takeoff'!J705="","",'Inventory Takeoff'!J705)</f>
        <v>44949</v>
      </c>
      <c r="F701" s="121" t="s">
        <v>1053</v>
      </c>
      <c r="G701" s="121" t="str">
        <f>'Inventory Takeoff'!C705</f>
        <v>4" Spiral 45 Degree Ell</v>
      </c>
    </row>
    <row r="702" spans="1:7">
      <c r="A702" s="121">
        <f>'Inventory Takeoff'!B706</f>
        <v>701</v>
      </c>
      <c r="B702" s="121">
        <f>'Inventory Takeoff'!H706</f>
        <v>17.420000000000002</v>
      </c>
      <c r="C702" s="121" t="s">
        <v>109</v>
      </c>
      <c r="D702" s="121" t="s">
        <v>1054</v>
      </c>
      <c r="E702" s="271">
        <f>IF('Inventory Takeoff'!J706="","",'Inventory Takeoff'!J706)</f>
        <v>44949</v>
      </c>
      <c r="F702" s="121" t="s">
        <v>1053</v>
      </c>
      <c r="G702" s="121" t="str">
        <f>'Inventory Takeoff'!C706</f>
        <v>4" Spiral 90 Degree Ell</v>
      </c>
    </row>
    <row r="703" spans="1:7">
      <c r="A703" s="121">
        <f>'Inventory Takeoff'!B707</f>
        <v>702</v>
      </c>
      <c r="B703" s="121">
        <f>'Inventory Takeoff'!H707</f>
        <v>16.55</v>
      </c>
      <c r="C703" s="121" t="s">
        <v>109</v>
      </c>
      <c r="D703" s="121" t="s">
        <v>1054</v>
      </c>
      <c r="E703" s="271">
        <f>IF('Inventory Takeoff'!J707="","",'Inventory Takeoff'!J707)</f>
        <v>44949</v>
      </c>
      <c r="F703" s="121" t="s">
        <v>1053</v>
      </c>
      <c r="G703" s="121" t="str">
        <f>'Inventory Takeoff'!C707</f>
        <v>5" Spiral 45 Degree Ell</v>
      </c>
    </row>
    <row r="704" spans="1:7">
      <c r="A704" s="121">
        <f>'Inventory Takeoff'!B708</f>
        <v>703</v>
      </c>
      <c r="B704" s="121">
        <f>'Inventory Takeoff'!H708</f>
        <v>17.430000000000003</v>
      </c>
      <c r="C704" s="121" t="s">
        <v>109</v>
      </c>
      <c r="D704" s="121" t="s">
        <v>1054</v>
      </c>
      <c r="E704" s="271">
        <f>IF('Inventory Takeoff'!J708="","",'Inventory Takeoff'!J708)</f>
        <v>44949</v>
      </c>
      <c r="F704" s="121" t="s">
        <v>1053</v>
      </c>
      <c r="G704" s="121" t="str">
        <f>'Inventory Takeoff'!C708</f>
        <v>5" Spiral 90 Degree Ell</v>
      </c>
    </row>
    <row r="705" spans="1:7">
      <c r="A705" s="121">
        <f>'Inventory Takeoff'!B709</f>
        <v>704</v>
      </c>
      <c r="B705" s="121">
        <f>'Inventory Takeoff'!H709</f>
        <v>15.98</v>
      </c>
      <c r="C705" s="121" t="s">
        <v>109</v>
      </c>
      <c r="D705" s="121" t="s">
        <v>1054</v>
      </c>
      <c r="E705" s="271">
        <f>IF('Inventory Takeoff'!J709="","",'Inventory Takeoff'!J709)</f>
        <v>46066</v>
      </c>
      <c r="F705" s="121" t="s">
        <v>1053</v>
      </c>
      <c r="G705" s="121" t="str">
        <f>'Inventory Takeoff'!C709</f>
        <v>6" Spiral 45 Degree Ell</v>
      </c>
    </row>
    <row r="706" spans="1:7">
      <c r="A706" s="121">
        <f>'Inventory Takeoff'!B710</f>
        <v>705</v>
      </c>
      <c r="B706" s="121">
        <f>'Inventory Takeoff'!H710</f>
        <v>16.75</v>
      </c>
      <c r="C706" s="121" t="s">
        <v>109</v>
      </c>
      <c r="D706" s="121" t="s">
        <v>1054</v>
      </c>
      <c r="E706" s="271">
        <f>IF('Inventory Takeoff'!J710="","",'Inventory Takeoff'!J710)</f>
        <v>46066</v>
      </c>
      <c r="F706" s="121" t="s">
        <v>1053</v>
      </c>
      <c r="G706" s="121" t="str">
        <f>'Inventory Takeoff'!C710</f>
        <v>6" Spiral 90 Degree Ell</v>
      </c>
    </row>
    <row r="707" spans="1:7">
      <c r="A707" s="121">
        <f>'Inventory Takeoff'!B711</f>
        <v>706</v>
      </c>
      <c r="B707" s="121">
        <f>'Inventory Takeoff'!H711</f>
        <v>19.64</v>
      </c>
      <c r="C707" s="121" t="s">
        <v>109</v>
      </c>
      <c r="D707" s="121" t="s">
        <v>1054</v>
      </c>
      <c r="E707" s="271">
        <f>IF('Inventory Takeoff'!J711="","",'Inventory Takeoff'!J711)</f>
        <v>46066</v>
      </c>
      <c r="F707" s="121" t="s">
        <v>1053</v>
      </c>
      <c r="G707" s="121" t="str">
        <f>'Inventory Takeoff'!C711</f>
        <v>7" Spiral 45 Degree Ell</v>
      </c>
    </row>
    <row r="708" spans="1:7">
      <c r="A708" s="121">
        <f>'Inventory Takeoff'!B712</f>
        <v>707</v>
      </c>
      <c r="B708" s="121">
        <f>'Inventory Takeoff'!H712</f>
        <v>20.5</v>
      </c>
      <c r="C708" s="121" t="s">
        <v>109</v>
      </c>
      <c r="D708" s="121" t="s">
        <v>1054</v>
      </c>
      <c r="E708" s="271">
        <f>IF('Inventory Takeoff'!J712="","",'Inventory Takeoff'!J712)</f>
        <v>46066</v>
      </c>
      <c r="F708" s="121" t="s">
        <v>1053</v>
      </c>
      <c r="G708" s="121" t="str">
        <f>'Inventory Takeoff'!C712</f>
        <v>7" Spiral 90 Degree Ell</v>
      </c>
    </row>
    <row r="709" spans="1:7">
      <c r="A709" s="121">
        <f>'Inventory Takeoff'!B713</f>
        <v>708</v>
      </c>
      <c r="B709" s="121">
        <f>'Inventory Takeoff'!H713</f>
        <v>19.64</v>
      </c>
      <c r="C709" s="121" t="s">
        <v>109</v>
      </c>
      <c r="D709" s="121" t="s">
        <v>1054</v>
      </c>
      <c r="E709" s="271">
        <f>IF('Inventory Takeoff'!J713="","",'Inventory Takeoff'!J713)</f>
        <v>46066</v>
      </c>
      <c r="F709" s="121" t="s">
        <v>1053</v>
      </c>
      <c r="G709" s="121" t="str">
        <f>'Inventory Takeoff'!C713</f>
        <v>8" Spiral 45 Degree Ell</v>
      </c>
    </row>
    <row r="710" spans="1:7">
      <c r="A710" s="121">
        <f>'Inventory Takeoff'!B714</f>
        <v>709</v>
      </c>
      <c r="B710" s="121">
        <f>'Inventory Takeoff'!H714</f>
        <v>20.5</v>
      </c>
      <c r="C710" s="121" t="s">
        <v>109</v>
      </c>
      <c r="D710" s="121" t="s">
        <v>1054</v>
      </c>
      <c r="E710" s="271">
        <f>IF('Inventory Takeoff'!J714="","",'Inventory Takeoff'!J714)</f>
        <v>46066</v>
      </c>
      <c r="F710" s="121" t="s">
        <v>1053</v>
      </c>
      <c r="G710" s="121" t="str">
        <f>'Inventory Takeoff'!C714</f>
        <v>8" Spiral 90 Degree Ell</v>
      </c>
    </row>
    <row r="711" spans="1:7">
      <c r="A711" s="121">
        <f>'Inventory Takeoff'!B715</f>
        <v>710</v>
      </c>
      <c r="B711" s="121">
        <f>'Inventory Takeoff'!H715</f>
        <v>24.35</v>
      </c>
      <c r="C711" s="121" t="s">
        <v>109</v>
      </c>
      <c r="D711" s="121" t="s">
        <v>1054</v>
      </c>
      <c r="E711" s="271">
        <f>IF('Inventory Takeoff'!J715="","",'Inventory Takeoff'!J715)</f>
        <v>46066</v>
      </c>
      <c r="F711" s="121" t="s">
        <v>1053</v>
      </c>
      <c r="G711" s="121" t="str">
        <f>'Inventory Takeoff'!C715</f>
        <v>9" Spiral 45 Degree Ell</v>
      </c>
    </row>
    <row r="712" spans="1:7">
      <c r="A712" s="121">
        <f>'Inventory Takeoff'!B716</f>
        <v>711</v>
      </c>
      <c r="B712" s="121">
        <f>'Inventory Takeoff'!H716</f>
        <v>27.6</v>
      </c>
      <c r="C712" s="121" t="s">
        <v>109</v>
      </c>
      <c r="D712" s="121" t="s">
        <v>1054</v>
      </c>
      <c r="E712" s="271">
        <f>IF('Inventory Takeoff'!J716="","",'Inventory Takeoff'!J716)</f>
        <v>46066</v>
      </c>
      <c r="F712" s="121" t="s">
        <v>1053</v>
      </c>
      <c r="G712" s="121" t="str">
        <f>'Inventory Takeoff'!C716</f>
        <v>9" Spiral 90 Degree Ell</v>
      </c>
    </row>
    <row r="713" spans="1:7">
      <c r="A713" s="121">
        <f>'Inventory Takeoff'!B717</f>
        <v>712</v>
      </c>
      <c r="B713" s="121">
        <f>'Inventory Takeoff'!H717</f>
        <v>24.35</v>
      </c>
      <c r="C713" s="121" t="s">
        <v>109</v>
      </c>
      <c r="D713" s="121" t="s">
        <v>1054</v>
      </c>
      <c r="E713" s="271">
        <f>IF('Inventory Takeoff'!J717="","",'Inventory Takeoff'!J717)</f>
        <v>46066</v>
      </c>
      <c r="F713" s="121" t="s">
        <v>1053</v>
      </c>
      <c r="G713" s="121" t="str">
        <f>'Inventory Takeoff'!C717</f>
        <v>10" Spiral 45 Degree Ell</v>
      </c>
    </row>
    <row r="714" spans="1:7">
      <c r="A714" s="121">
        <f>'Inventory Takeoff'!B718</f>
        <v>713</v>
      </c>
      <c r="B714" s="121">
        <f>'Inventory Takeoff'!H718</f>
        <v>31.650000000000002</v>
      </c>
      <c r="C714" s="121" t="s">
        <v>109</v>
      </c>
      <c r="D714" s="121" t="s">
        <v>1054</v>
      </c>
      <c r="E714" s="271">
        <f>IF('Inventory Takeoff'!J718="","",'Inventory Takeoff'!J718)</f>
        <v>46066</v>
      </c>
      <c r="F714" s="121" t="s">
        <v>1053</v>
      </c>
      <c r="G714" s="121" t="str">
        <f>'Inventory Takeoff'!C718</f>
        <v>10" Spiral 90 Degree Ell</v>
      </c>
    </row>
    <row r="715" spans="1:7">
      <c r="A715" s="121">
        <f>'Inventory Takeoff'!B719</f>
        <v>714</v>
      </c>
      <c r="B715" s="121">
        <f>'Inventory Takeoff'!H719</f>
        <v>28.400000000000002</v>
      </c>
      <c r="C715" s="121" t="s">
        <v>109</v>
      </c>
      <c r="D715" s="121" t="s">
        <v>1054</v>
      </c>
      <c r="E715" s="271">
        <f>IF('Inventory Takeoff'!J719="","",'Inventory Takeoff'!J719)</f>
        <v>46066</v>
      </c>
      <c r="F715" s="121" t="s">
        <v>1053</v>
      </c>
      <c r="G715" s="121" t="str">
        <f>'Inventory Takeoff'!C719</f>
        <v>12" Spiral 45 Degree Ell</v>
      </c>
    </row>
    <row r="716" spans="1:7">
      <c r="A716" s="121">
        <f>'Inventory Takeoff'!B720</f>
        <v>715</v>
      </c>
      <c r="B716" s="121">
        <f>'Inventory Takeoff'!H720</f>
        <v>40.61</v>
      </c>
      <c r="C716" s="121" t="s">
        <v>109</v>
      </c>
      <c r="D716" s="121" t="s">
        <v>1054</v>
      </c>
      <c r="E716" s="271">
        <f>IF('Inventory Takeoff'!J720="","",'Inventory Takeoff'!J720)</f>
        <v>46066</v>
      </c>
      <c r="F716" s="121" t="s">
        <v>1053</v>
      </c>
      <c r="G716" s="121" t="str">
        <f>'Inventory Takeoff'!C720</f>
        <v>12" Spiral 90 Degree Ell</v>
      </c>
    </row>
    <row r="717" spans="1:7">
      <c r="A717" s="121">
        <f>'Inventory Takeoff'!B721</f>
        <v>716</v>
      </c>
      <c r="B717" s="121">
        <f>'Inventory Takeoff'!H721</f>
        <v>33.28</v>
      </c>
      <c r="C717" s="121" t="s">
        <v>109</v>
      </c>
      <c r="D717" s="121" t="s">
        <v>1054</v>
      </c>
      <c r="E717" s="271">
        <f>IF('Inventory Takeoff'!J721="","",'Inventory Takeoff'!J721)</f>
        <v>46066</v>
      </c>
      <c r="F717" s="121" t="s">
        <v>1053</v>
      </c>
      <c r="G717" s="121" t="str">
        <f>'Inventory Takeoff'!C721</f>
        <v>14" Spiral 45 Degree Ell</v>
      </c>
    </row>
    <row r="718" spans="1:7">
      <c r="A718" s="121">
        <f>'Inventory Takeoff'!B722</f>
        <v>717</v>
      </c>
      <c r="B718" s="121">
        <f>'Inventory Takeoff'!H722</f>
        <v>50.33</v>
      </c>
      <c r="C718" s="121" t="s">
        <v>109</v>
      </c>
      <c r="D718" s="121" t="s">
        <v>1054</v>
      </c>
      <c r="E718" s="271">
        <f>IF('Inventory Takeoff'!J722="","",'Inventory Takeoff'!J722)</f>
        <v>46066</v>
      </c>
      <c r="F718" s="121" t="s">
        <v>1053</v>
      </c>
      <c r="G718" s="121" t="str">
        <f>'Inventory Takeoff'!C722</f>
        <v>14" Spiral 90 Degree Ell</v>
      </c>
    </row>
    <row r="719" spans="1:7">
      <c r="A719" s="121">
        <f>'Inventory Takeoff'!B723</f>
        <v>718</v>
      </c>
      <c r="B719" s="121">
        <f>'Inventory Takeoff'!H723</f>
        <v>57.93</v>
      </c>
      <c r="C719" s="121" t="s">
        <v>109</v>
      </c>
      <c r="D719" s="121" t="s">
        <v>1054</v>
      </c>
      <c r="E719" s="271">
        <f>IF('Inventory Takeoff'!J723="","",'Inventory Takeoff'!J723)</f>
        <v>46066</v>
      </c>
      <c r="F719" s="121" t="s">
        <v>1053</v>
      </c>
      <c r="G719" s="121" t="str">
        <f>'Inventory Takeoff'!C723</f>
        <v>16" Spiral 45 Degree Ell</v>
      </c>
    </row>
    <row r="720" spans="1:7">
      <c r="A720" s="121">
        <f>'Inventory Takeoff'!B724</f>
        <v>719</v>
      </c>
      <c r="B720" s="121">
        <f>'Inventory Takeoff'!H724</f>
        <v>96.550000000000011</v>
      </c>
      <c r="C720" s="121" t="s">
        <v>109</v>
      </c>
      <c r="D720" s="121" t="s">
        <v>1054</v>
      </c>
      <c r="E720" s="271">
        <f>IF('Inventory Takeoff'!J724="","",'Inventory Takeoff'!J724)</f>
        <v>46066</v>
      </c>
      <c r="F720" s="121" t="s">
        <v>1053</v>
      </c>
      <c r="G720" s="121" t="str">
        <f>'Inventory Takeoff'!C724</f>
        <v>16" Spiral 90 Degree Ell</v>
      </c>
    </row>
    <row r="721" spans="1:7">
      <c r="A721" s="121">
        <f>'Inventory Takeoff'!B725</f>
        <v>720</v>
      </c>
      <c r="B721" s="121">
        <f>'Inventory Takeoff'!H725</f>
        <v>65.72</v>
      </c>
      <c r="C721" s="121" t="s">
        <v>109</v>
      </c>
      <c r="D721" s="121" t="s">
        <v>1054</v>
      </c>
      <c r="E721" s="271">
        <f>IF('Inventory Takeoff'!J725="","",'Inventory Takeoff'!J725)</f>
        <v>46066</v>
      </c>
      <c r="F721" s="121" t="s">
        <v>1053</v>
      </c>
      <c r="G721" s="121" t="str">
        <f>'Inventory Takeoff'!C725</f>
        <v>18" Spiral 45 Degree Ell</v>
      </c>
    </row>
    <row r="722" spans="1:7">
      <c r="A722" s="121">
        <f>'Inventory Takeoff'!B726</f>
        <v>721</v>
      </c>
      <c r="B722" s="121">
        <f>'Inventory Takeoff'!H726</f>
        <v>111.97</v>
      </c>
      <c r="C722" s="121" t="s">
        <v>109</v>
      </c>
      <c r="D722" s="121" t="s">
        <v>1054</v>
      </c>
      <c r="E722" s="271">
        <f>IF('Inventory Takeoff'!J726="","",'Inventory Takeoff'!J726)</f>
        <v>46066</v>
      </c>
      <c r="F722" s="121" t="s">
        <v>1053</v>
      </c>
      <c r="G722" s="121" t="str">
        <f>'Inventory Takeoff'!C726</f>
        <v>18" Spiral 90 Degree Ell</v>
      </c>
    </row>
    <row r="723" spans="1:7">
      <c r="A723" s="121">
        <f>'Inventory Takeoff'!B727</f>
        <v>722</v>
      </c>
      <c r="B723" s="121">
        <f>'Inventory Takeoff'!H727</f>
        <v>72.070000000000007</v>
      </c>
      <c r="C723" s="121" t="s">
        <v>109</v>
      </c>
      <c r="D723" s="121" t="s">
        <v>1054</v>
      </c>
      <c r="E723" s="271">
        <f>IF('Inventory Takeoff'!J727="","",'Inventory Takeoff'!J727)</f>
        <v>46066</v>
      </c>
      <c r="F723" s="121" t="s">
        <v>1053</v>
      </c>
      <c r="G723" s="121" t="str">
        <f>'Inventory Takeoff'!C727</f>
        <v>20" Spiral 45 Degree Ell</v>
      </c>
    </row>
    <row r="724" spans="1:7">
      <c r="A724" s="121">
        <f>'Inventory Takeoff'!B728</f>
        <v>723</v>
      </c>
      <c r="B724" s="121">
        <f>'Inventory Takeoff'!H728</f>
        <v>137.88999999999999</v>
      </c>
      <c r="C724" s="121" t="s">
        <v>109</v>
      </c>
      <c r="D724" s="121" t="s">
        <v>1054</v>
      </c>
      <c r="E724" s="271">
        <f>IF('Inventory Takeoff'!J728="","",'Inventory Takeoff'!J728)</f>
        <v>46066</v>
      </c>
      <c r="F724" s="121" t="s">
        <v>1053</v>
      </c>
      <c r="G724" s="121" t="str">
        <f>'Inventory Takeoff'!C728</f>
        <v>20" Spiral 90 Degree Ell</v>
      </c>
    </row>
    <row r="725" spans="1:7">
      <c r="A725" s="121">
        <f>'Inventory Takeoff'!B729</f>
        <v>724</v>
      </c>
      <c r="B725" s="121">
        <f>'Inventory Takeoff'!H729</f>
        <v>92.72</v>
      </c>
      <c r="C725" s="121" t="s">
        <v>109</v>
      </c>
      <c r="D725" s="121" t="s">
        <v>1054</v>
      </c>
      <c r="E725" s="271">
        <f>IF('Inventory Takeoff'!J729="","",'Inventory Takeoff'!J729)</f>
        <v>46066</v>
      </c>
      <c r="F725" s="121" t="s">
        <v>1053</v>
      </c>
      <c r="G725" s="121" t="str">
        <f>'Inventory Takeoff'!C729</f>
        <v>22" Spiral 45 Degree Ell</v>
      </c>
    </row>
    <row r="726" spans="1:7">
      <c r="A726" s="121">
        <f>'Inventory Takeoff'!B730</f>
        <v>725</v>
      </c>
      <c r="B726" s="121">
        <f>'Inventory Takeoff'!H730</f>
        <v>150.54</v>
      </c>
      <c r="C726" s="121" t="s">
        <v>109</v>
      </c>
      <c r="D726" s="121" t="s">
        <v>1054</v>
      </c>
      <c r="E726" s="271">
        <f>IF('Inventory Takeoff'!J730="","",'Inventory Takeoff'!J730)</f>
        <v>46066</v>
      </c>
      <c r="F726" s="121" t="s">
        <v>1053</v>
      </c>
      <c r="G726" s="121" t="str">
        <f>'Inventory Takeoff'!C730</f>
        <v>22" Spiral 90 Degree Ell</v>
      </c>
    </row>
    <row r="727" spans="1:7">
      <c r="A727" s="121">
        <f>'Inventory Takeoff'!B731</f>
        <v>726</v>
      </c>
      <c r="B727" s="121">
        <f>'Inventory Takeoff'!H731</f>
        <v>121.21000000000001</v>
      </c>
      <c r="C727" s="121" t="s">
        <v>109</v>
      </c>
      <c r="D727" s="121" t="s">
        <v>1054</v>
      </c>
      <c r="E727" s="271">
        <f>IF('Inventory Takeoff'!J731="","",'Inventory Takeoff'!J731)</f>
        <v>46066</v>
      </c>
      <c r="F727" s="121" t="s">
        <v>1053</v>
      </c>
      <c r="G727" s="121" t="str">
        <f>'Inventory Takeoff'!C731</f>
        <v>24" Spiral 45 Degree Ell</v>
      </c>
    </row>
    <row r="728" spans="1:7">
      <c r="A728" s="121">
        <f>'Inventory Takeoff'!B732</f>
        <v>727</v>
      </c>
      <c r="B728" s="121">
        <f>'Inventory Takeoff'!H732</f>
        <v>166.98</v>
      </c>
      <c r="C728" s="121" t="s">
        <v>109</v>
      </c>
      <c r="D728" s="121" t="s">
        <v>1054</v>
      </c>
      <c r="E728" s="271">
        <f>IF('Inventory Takeoff'!J732="","",'Inventory Takeoff'!J732)</f>
        <v>46066</v>
      </c>
      <c r="F728" s="121" t="s">
        <v>1053</v>
      </c>
      <c r="G728" s="121" t="str">
        <f>'Inventory Takeoff'!C732</f>
        <v>24" Spiral 90 Degree Ell</v>
      </c>
    </row>
    <row r="729" spans="1:7">
      <c r="A729" s="121">
        <f>'Inventory Takeoff'!B733</f>
        <v>728</v>
      </c>
      <c r="B729" s="121">
        <f>'Inventory Takeoff'!H733</f>
        <v>0</v>
      </c>
      <c r="C729" s="121" t="s">
        <v>109</v>
      </c>
      <c r="D729" s="121" t="s">
        <v>1054</v>
      </c>
      <c r="E729" s="271" t="str">
        <f>IF('Inventory Takeoff'!J733="","",'Inventory Takeoff'!J733)</f>
        <v/>
      </c>
      <c r="F729" s="121" t="s">
        <v>1053</v>
      </c>
      <c r="G729" s="121" t="str">
        <f>'Inventory Takeoff'!C733</f>
        <v>Not Used</v>
      </c>
    </row>
    <row r="730" spans="1:7">
      <c r="A730" s="121">
        <f>'Inventory Takeoff'!B734</f>
        <v>729</v>
      </c>
      <c r="B730" s="121">
        <f>'Inventory Takeoff'!H734</f>
        <v>3.2699999999999996</v>
      </c>
      <c r="C730" s="121" t="s">
        <v>109</v>
      </c>
      <c r="D730" s="121" t="s">
        <v>1052</v>
      </c>
      <c r="E730" s="271">
        <f>IF('Inventory Takeoff'!J734="","",'Inventory Takeoff'!J734)</f>
        <v>46066</v>
      </c>
      <c r="F730" s="121" t="s">
        <v>1053</v>
      </c>
      <c r="G730" s="121" t="str">
        <f>'Inventory Takeoff'!C734</f>
        <v>4" Spiral Galvanized</v>
      </c>
    </row>
    <row r="731" spans="1:7">
      <c r="A731" s="121" t="str">
        <f>'Inventory Takeoff'!B735</f>
        <v>729-SS304</v>
      </c>
      <c r="B731" s="121">
        <f>'Inventory Takeoff'!H735</f>
        <v>63.419999999999995</v>
      </c>
      <c r="C731" s="121" t="s">
        <v>109</v>
      </c>
      <c r="D731" s="121" t="s">
        <v>1052</v>
      </c>
      <c r="E731" s="271">
        <f>IF('Inventory Takeoff'!J735="","",'Inventory Takeoff'!J735)</f>
        <v>46066</v>
      </c>
      <c r="F731" s="121" t="s">
        <v>1053</v>
      </c>
      <c r="G731" s="121" t="str">
        <f>'Inventory Takeoff'!C735</f>
        <v>4" Spiral  Stainless</v>
      </c>
    </row>
    <row r="732" spans="1:7">
      <c r="A732" s="121">
        <f>'Inventory Takeoff'!B736</f>
        <v>730</v>
      </c>
      <c r="B732" s="121">
        <f>'Inventory Takeoff'!H736</f>
        <v>4.0999999999999996</v>
      </c>
      <c r="C732" s="121" t="s">
        <v>109</v>
      </c>
      <c r="D732" s="121" t="s">
        <v>1052</v>
      </c>
      <c r="E732" s="271">
        <f>IF('Inventory Takeoff'!J736="","",'Inventory Takeoff'!J736)</f>
        <v>46066</v>
      </c>
      <c r="F732" s="121" t="s">
        <v>1053</v>
      </c>
      <c r="G732" s="121" t="str">
        <f>'Inventory Takeoff'!C736</f>
        <v>5" Spiral Galvanized</v>
      </c>
    </row>
    <row r="733" spans="1:7">
      <c r="A733" s="121" t="str">
        <f>'Inventory Takeoff'!B737</f>
        <v>730-SS304</v>
      </c>
      <c r="B733" s="121">
        <f>'Inventory Takeoff'!H737</f>
        <v>18.41</v>
      </c>
      <c r="C733" s="121" t="s">
        <v>109</v>
      </c>
      <c r="D733" s="121" t="s">
        <v>1052</v>
      </c>
      <c r="E733" s="271">
        <f>IF('Inventory Takeoff'!J737="","",'Inventory Takeoff'!J737)</f>
        <v>46066</v>
      </c>
      <c r="F733" s="121" t="s">
        <v>1053</v>
      </c>
      <c r="G733" s="121" t="str">
        <f>'Inventory Takeoff'!C737</f>
        <v>5" Spiral  Stainless</v>
      </c>
    </row>
    <row r="734" spans="1:7">
      <c r="A734" s="121">
        <f>'Inventory Takeoff'!B738</f>
        <v>731</v>
      </c>
      <c r="B734" s="121">
        <f>'Inventory Takeoff'!H738</f>
        <v>4.13</v>
      </c>
      <c r="C734" s="121" t="s">
        <v>109</v>
      </c>
      <c r="D734" s="121" t="s">
        <v>1052</v>
      </c>
      <c r="E734" s="271">
        <f>IF('Inventory Takeoff'!J738="","",'Inventory Takeoff'!J738)</f>
        <v>46066</v>
      </c>
      <c r="F734" s="121" t="s">
        <v>1053</v>
      </c>
      <c r="G734" s="121" t="str">
        <f>'Inventory Takeoff'!C738</f>
        <v>6" Spiral Galvanized</v>
      </c>
    </row>
    <row r="735" spans="1:7">
      <c r="A735" s="121" t="str">
        <f>'Inventory Takeoff'!B739</f>
        <v>731-SS304</v>
      </c>
      <c r="B735" s="121">
        <f>'Inventory Takeoff'!H739</f>
        <v>21.42</v>
      </c>
      <c r="C735" s="121" t="s">
        <v>109</v>
      </c>
      <c r="D735" s="121" t="s">
        <v>1052</v>
      </c>
      <c r="E735" s="271">
        <f>IF('Inventory Takeoff'!J739="","",'Inventory Takeoff'!J739)</f>
        <v>46066</v>
      </c>
      <c r="F735" s="121" t="s">
        <v>1053</v>
      </c>
      <c r="G735" s="121" t="str">
        <f>'Inventory Takeoff'!C739</f>
        <v>6" Spiral  Stainless</v>
      </c>
    </row>
    <row r="736" spans="1:7">
      <c r="A736" s="121">
        <f>'Inventory Takeoff'!B740</f>
        <v>732</v>
      </c>
      <c r="B736" s="121">
        <f>'Inventory Takeoff'!H740</f>
        <v>5.28</v>
      </c>
      <c r="C736" s="121" t="s">
        <v>109</v>
      </c>
      <c r="D736" s="121" t="s">
        <v>1052</v>
      </c>
      <c r="E736" s="271">
        <f>IF('Inventory Takeoff'!J740="","",'Inventory Takeoff'!J740)</f>
        <v>46066</v>
      </c>
      <c r="F736" s="121" t="s">
        <v>1053</v>
      </c>
      <c r="G736" s="121" t="str">
        <f>'Inventory Takeoff'!C740</f>
        <v>7" Spiral Galvanized</v>
      </c>
    </row>
    <row r="737" spans="1:7">
      <c r="A737" s="121" t="str">
        <f>'Inventory Takeoff'!B741</f>
        <v>732-SS304</v>
      </c>
      <c r="B737" s="121">
        <f>'Inventory Takeoff'!H741</f>
        <v>24.96</v>
      </c>
      <c r="C737" s="121" t="s">
        <v>109</v>
      </c>
      <c r="D737" s="121" t="s">
        <v>1052</v>
      </c>
      <c r="E737" s="271">
        <f>IF('Inventory Takeoff'!J741="","",'Inventory Takeoff'!J741)</f>
        <v>46066</v>
      </c>
      <c r="F737" s="121" t="s">
        <v>1053</v>
      </c>
      <c r="G737" s="121" t="str">
        <f>'Inventory Takeoff'!C741</f>
        <v>7" Spiral  Stainless</v>
      </c>
    </row>
    <row r="738" spans="1:7">
      <c r="A738" s="121">
        <f>'Inventory Takeoff'!B742</f>
        <v>733</v>
      </c>
      <c r="B738" s="121">
        <f>'Inventory Takeoff'!H742</f>
        <v>5.89</v>
      </c>
      <c r="C738" s="121" t="s">
        <v>109</v>
      </c>
      <c r="D738" s="121" t="s">
        <v>1052</v>
      </c>
      <c r="E738" s="271">
        <f>IF('Inventory Takeoff'!J742="","",'Inventory Takeoff'!J742)</f>
        <v>46066</v>
      </c>
      <c r="F738" s="121" t="s">
        <v>1053</v>
      </c>
      <c r="G738" s="121" t="str">
        <f>'Inventory Takeoff'!C742</f>
        <v>8" Spiral Galvanized</v>
      </c>
    </row>
    <row r="739" spans="1:7">
      <c r="A739" s="121" t="str">
        <f>'Inventory Takeoff'!B743</f>
        <v>733-SS304</v>
      </c>
      <c r="B739" s="121">
        <f>'Inventory Takeoff'!H743</f>
        <v>28.51</v>
      </c>
      <c r="C739" s="121" t="s">
        <v>109</v>
      </c>
      <c r="D739" s="121" t="s">
        <v>1052</v>
      </c>
      <c r="E739" s="271">
        <f>IF('Inventory Takeoff'!J743="","",'Inventory Takeoff'!J743)</f>
        <v>46066</v>
      </c>
      <c r="F739" s="121" t="s">
        <v>1053</v>
      </c>
      <c r="G739" s="121" t="str">
        <f>'Inventory Takeoff'!C743</f>
        <v>8" Spiral  Stainless</v>
      </c>
    </row>
    <row r="740" spans="1:7">
      <c r="A740" s="121">
        <f>'Inventory Takeoff'!B744</f>
        <v>734</v>
      </c>
      <c r="B740" s="121">
        <f>'Inventory Takeoff'!H744</f>
        <v>7.7799999999999994</v>
      </c>
      <c r="C740" s="121" t="s">
        <v>109</v>
      </c>
      <c r="D740" s="121" t="s">
        <v>1052</v>
      </c>
      <c r="E740" s="271">
        <f>IF('Inventory Takeoff'!J744="","",'Inventory Takeoff'!J744)</f>
        <v>46066</v>
      </c>
      <c r="F740" s="121" t="s">
        <v>1053</v>
      </c>
      <c r="G740" s="121" t="str">
        <f>'Inventory Takeoff'!C744</f>
        <v>9" Spiral Galvanized</v>
      </c>
    </row>
    <row r="741" spans="1:7">
      <c r="A741" s="121" t="str">
        <f>'Inventory Takeoff'!B745</f>
        <v>734-SS304</v>
      </c>
      <c r="B741" s="121">
        <f>'Inventory Takeoff'!H745</f>
        <v>32.08</v>
      </c>
      <c r="C741" s="121" t="s">
        <v>109</v>
      </c>
      <c r="D741" s="121" t="s">
        <v>1052</v>
      </c>
      <c r="E741" s="271">
        <f>IF('Inventory Takeoff'!J745="","",'Inventory Takeoff'!J745)</f>
        <v>46066</v>
      </c>
      <c r="F741" s="121" t="s">
        <v>1053</v>
      </c>
      <c r="G741" s="121" t="str">
        <f>'Inventory Takeoff'!C745</f>
        <v>9" Spiral  Stainless</v>
      </c>
    </row>
    <row r="742" spans="1:7">
      <c r="A742" s="121">
        <f>'Inventory Takeoff'!B746</f>
        <v>735</v>
      </c>
      <c r="B742" s="121">
        <f>'Inventory Takeoff'!H746</f>
        <v>6.56</v>
      </c>
      <c r="C742" s="121" t="s">
        <v>109</v>
      </c>
      <c r="D742" s="121" t="s">
        <v>1052</v>
      </c>
      <c r="E742" s="271">
        <f>IF('Inventory Takeoff'!J746="","",'Inventory Takeoff'!J746)</f>
        <v>46066</v>
      </c>
      <c r="F742" s="121" t="s">
        <v>1053</v>
      </c>
      <c r="G742" s="121" t="str">
        <f>'Inventory Takeoff'!C746</f>
        <v>10" Spiral Galvanized</v>
      </c>
    </row>
    <row r="743" spans="1:7">
      <c r="A743" s="121" t="str">
        <f>'Inventory Takeoff'!B747</f>
        <v>735-SS304</v>
      </c>
      <c r="B743" s="121">
        <f>'Inventory Takeoff'!H747</f>
        <v>35.629999999999995</v>
      </c>
      <c r="C743" s="121" t="s">
        <v>109</v>
      </c>
      <c r="D743" s="121" t="s">
        <v>1052</v>
      </c>
      <c r="E743" s="271">
        <f>IF('Inventory Takeoff'!J747="","",'Inventory Takeoff'!J747)</f>
        <v>46066</v>
      </c>
      <c r="F743" s="121" t="s">
        <v>1053</v>
      </c>
      <c r="G743" s="121" t="str">
        <f>'Inventory Takeoff'!C747</f>
        <v>10" Spiral  Stainless</v>
      </c>
    </row>
    <row r="744" spans="1:7">
      <c r="A744" s="121">
        <f>'Inventory Takeoff'!B748</f>
        <v>737</v>
      </c>
      <c r="B744" s="121">
        <f>'Inventory Takeoff'!H748</f>
        <v>8.32</v>
      </c>
      <c r="C744" s="121" t="s">
        <v>109</v>
      </c>
      <c r="D744" s="121" t="s">
        <v>1052</v>
      </c>
      <c r="E744" s="271">
        <f>IF('Inventory Takeoff'!J748="","",'Inventory Takeoff'!J748)</f>
        <v>46066</v>
      </c>
      <c r="F744" s="121" t="s">
        <v>1053</v>
      </c>
      <c r="G744" s="121" t="str">
        <f>'Inventory Takeoff'!C748</f>
        <v>12" Spiral Galvanized</v>
      </c>
    </row>
    <row r="745" spans="1:7">
      <c r="A745" s="121" t="str">
        <f>'Inventory Takeoff'!B749</f>
        <v>737-SS304</v>
      </c>
      <c r="B745" s="121">
        <f>'Inventory Takeoff'!H749</f>
        <v>42.72</v>
      </c>
      <c r="C745" s="121" t="s">
        <v>109</v>
      </c>
      <c r="D745" s="121" t="s">
        <v>1052</v>
      </c>
      <c r="E745" s="271">
        <f>IF('Inventory Takeoff'!J749="","",'Inventory Takeoff'!J749)</f>
        <v>46066</v>
      </c>
      <c r="F745" s="121" t="s">
        <v>1053</v>
      </c>
      <c r="G745" s="121" t="str">
        <f>'Inventory Takeoff'!C749</f>
        <v>12" Spiral  Stainless</v>
      </c>
    </row>
    <row r="746" spans="1:7">
      <c r="A746" s="121">
        <f>'Inventory Takeoff'!B750</f>
        <v>739</v>
      </c>
      <c r="B746" s="121">
        <f>'Inventory Takeoff'!H750</f>
        <v>10.34</v>
      </c>
      <c r="C746" s="121" t="s">
        <v>109</v>
      </c>
      <c r="D746" s="121" t="s">
        <v>1052</v>
      </c>
      <c r="E746" s="271">
        <f>IF('Inventory Takeoff'!J750="","",'Inventory Takeoff'!J750)</f>
        <v>46066</v>
      </c>
      <c r="F746" s="121" t="s">
        <v>1053</v>
      </c>
      <c r="G746" s="121" t="str">
        <f>'Inventory Takeoff'!C750</f>
        <v>14" Spiral Galvanized</v>
      </c>
    </row>
    <row r="747" spans="1:7">
      <c r="A747" s="121" t="str">
        <f>'Inventory Takeoff'!B751</f>
        <v>739-SS304</v>
      </c>
      <c r="B747" s="121">
        <f>'Inventory Takeoff'!H751</f>
        <v>49.87</v>
      </c>
      <c r="C747" s="121" t="s">
        <v>109</v>
      </c>
      <c r="D747" s="121" t="s">
        <v>1052</v>
      </c>
      <c r="E747" s="271">
        <f>IF('Inventory Takeoff'!J751="","",'Inventory Takeoff'!J751)</f>
        <v>46066</v>
      </c>
      <c r="F747" s="121" t="s">
        <v>1053</v>
      </c>
      <c r="G747" s="121" t="str">
        <f>'Inventory Takeoff'!C751</f>
        <v>14" Spiral  Stainless</v>
      </c>
    </row>
    <row r="748" spans="1:7">
      <c r="A748" s="121">
        <f>'Inventory Takeoff'!B752</f>
        <v>741</v>
      </c>
      <c r="B748" s="121">
        <f>'Inventory Takeoff'!H752</f>
        <v>13.16</v>
      </c>
      <c r="C748" s="121" t="s">
        <v>109</v>
      </c>
      <c r="D748" s="121" t="s">
        <v>1052</v>
      </c>
      <c r="E748" s="271">
        <f>IF('Inventory Takeoff'!J752="","",'Inventory Takeoff'!J752)</f>
        <v>46066</v>
      </c>
      <c r="F748" s="121" t="s">
        <v>1053</v>
      </c>
      <c r="G748" s="121" t="str">
        <f>'Inventory Takeoff'!C752</f>
        <v>16" Spiral Galvanized</v>
      </c>
    </row>
    <row r="749" spans="1:7">
      <c r="A749" s="121" t="str">
        <f>'Inventory Takeoff'!B753</f>
        <v>741-SS304</v>
      </c>
      <c r="B749" s="121">
        <f>'Inventory Takeoff'!H753</f>
        <v>58.63</v>
      </c>
      <c r="C749" s="121" t="s">
        <v>109</v>
      </c>
      <c r="D749" s="121" t="s">
        <v>1052</v>
      </c>
      <c r="E749" s="271">
        <f>IF('Inventory Takeoff'!J753="","",'Inventory Takeoff'!J753)</f>
        <v>46066</v>
      </c>
      <c r="F749" s="121" t="s">
        <v>1053</v>
      </c>
      <c r="G749" s="121" t="str">
        <f>'Inventory Takeoff'!C753</f>
        <v>16" Spiral  Stainless</v>
      </c>
    </row>
    <row r="750" spans="1:7">
      <c r="A750" s="121">
        <f>'Inventory Takeoff'!B754</f>
        <v>743</v>
      </c>
      <c r="B750" s="121">
        <f>'Inventory Takeoff'!H754</f>
        <v>14.81</v>
      </c>
      <c r="C750" s="121" t="s">
        <v>109</v>
      </c>
      <c r="D750" s="121" t="s">
        <v>1052</v>
      </c>
      <c r="E750" s="271">
        <f>IF('Inventory Takeoff'!J754="","",'Inventory Takeoff'!J754)</f>
        <v>46066</v>
      </c>
      <c r="F750" s="121" t="s">
        <v>1053</v>
      </c>
      <c r="G750" s="121" t="str">
        <f>'Inventory Takeoff'!C754</f>
        <v>18" Spiral Galvanized</v>
      </c>
    </row>
    <row r="751" spans="1:7">
      <c r="A751" s="121" t="str">
        <f>'Inventory Takeoff'!B755</f>
        <v>743-SS304</v>
      </c>
      <c r="B751" s="121">
        <f>'Inventory Takeoff'!H755</f>
        <v>64.64</v>
      </c>
      <c r="C751" s="121" t="s">
        <v>109</v>
      </c>
      <c r="D751" s="121" t="s">
        <v>1052</v>
      </c>
      <c r="E751" s="271">
        <f>IF('Inventory Takeoff'!J755="","",'Inventory Takeoff'!J755)</f>
        <v>46066</v>
      </c>
      <c r="F751" s="121" t="s">
        <v>1053</v>
      </c>
      <c r="G751" s="121" t="str">
        <f>'Inventory Takeoff'!C755</f>
        <v>18" Spiral  Stainless</v>
      </c>
    </row>
    <row r="752" spans="1:7">
      <c r="A752" s="121">
        <f>'Inventory Takeoff'!B756</f>
        <v>745</v>
      </c>
      <c r="B752" s="121">
        <f>'Inventory Takeoff'!H756</f>
        <v>16.450000000000003</v>
      </c>
      <c r="C752" s="121" t="s">
        <v>109</v>
      </c>
      <c r="D752" s="121" t="s">
        <v>1052</v>
      </c>
      <c r="E752" s="271">
        <f>IF('Inventory Takeoff'!J756="","",'Inventory Takeoff'!J756)</f>
        <v>46066</v>
      </c>
      <c r="F752" s="121" t="s">
        <v>1053</v>
      </c>
      <c r="G752" s="121" t="str">
        <f>'Inventory Takeoff'!C756</f>
        <v>20" Spiral Galvanized</v>
      </c>
    </row>
    <row r="753" spans="1:7">
      <c r="A753" s="121" t="str">
        <f>'Inventory Takeoff'!B757</f>
        <v>745-SS304</v>
      </c>
      <c r="B753" s="121">
        <f>'Inventory Takeoff'!H757</f>
        <v>74.34</v>
      </c>
      <c r="C753" s="121" t="s">
        <v>109</v>
      </c>
      <c r="D753" s="121" t="s">
        <v>1052</v>
      </c>
      <c r="E753" s="271">
        <f>IF('Inventory Takeoff'!J757="","",'Inventory Takeoff'!J757)</f>
        <v>46066</v>
      </c>
      <c r="F753" s="121" t="s">
        <v>1053</v>
      </c>
      <c r="G753" s="121" t="str">
        <f>'Inventory Takeoff'!C757</f>
        <v>20" Spiral  Stainless</v>
      </c>
    </row>
    <row r="754" spans="1:7">
      <c r="A754" s="121">
        <f>'Inventory Takeoff'!B758</f>
        <v>746</v>
      </c>
      <c r="B754" s="121">
        <f>'Inventory Takeoff'!H758</f>
        <v>20.64</v>
      </c>
      <c r="C754" s="121" t="s">
        <v>109</v>
      </c>
      <c r="D754" s="121" t="s">
        <v>1052</v>
      </c>
      <c r="E754" s="271">
        <f>IF('Inventory Takeoff'!J758="","",'Inventory Takeoff'!J758)</f>
        <v>46066</v>
      </c>
      <c r="F754" s="121" t="s">
        <v>1053</v>
      </c>
      <c r="G754" s="121" t="str">
        <f>'Inventory Takeoff'!C758</f>
        <v>22" Spiral Galvanized</v>
      </c>
    </row>
    <row r="755" spans="1:7">
      <c r="A755" s="121" t="str">
        <f>'Inventory Takeoff'!B759</f>
        <v>746-SS304</v>
      </c>
      <c r="B755" s="121">
        <f>'Inventory Takeoff'!H759</f>
        <v>81.58</v>
      </c>
      <c r="C755" s="121" t="s">
        <v>109</v>
      </c>
      <c r="D755" s="121" t="s">
        <v>1052</v>
      </c>
      <c r="E755" s="271">
        <f>IF('Inventory Takeoff'!J759="","",'Inventory Takeoff'!J759)</f>
        <v>46066</v>
      </c>
      <c r="F755" s="121" t="s">
        <v>1053</v>
      </c>
      <c r="G755" s="121" t="str">
        <f>'Inventory Takeoff'!C759</f>
        <v>22" Spiral  Stainless</v>
      </c>
    </row>
    <row r="756" spans="1:7">
      <c r="A756" s="121">
        <f>'Inventory Takeoff'!B760</f>
        <v>747</v>
      </c>
      <c r="B756" s="121">
        <f>'Inventory Takeoff'!H760</f>
        <v>22.810000000000002</v>
      </c>
      <c r="C756" s="121" t="s">
        <v>109</v>
      </c>
      <c r="D756" s="121" t="s">
        <v>1052</v>
      </c>
      <c r="E756" s="271">
        <f>IF('Inventory Takeoff'!J760="","",'Inventory Takeoff'!J760)</f>
        <v>46066</v>
      </c>
      <c r="F756" s="121" t="s">
        <v>1053</v>
      </c>
      <c r="G756" s="121" t="str">
        <f>'Inventory Takeoff'!C760</f>
        <v xml:space="preserve">24" Spiral Galvanized </v>
      </c>
    </row>
    <row r="757" spans="1:7">
      <c r="A757" s="121" t="str">
        <f>'Inventory Takeoff'!B761</f>
        <v>747-SS304</v>
      </c>
      <c r="B757" s="121">
        <f>'Inventory Takeoff'!H761</f>
        <v>89.43</v>
      </c>
      <c r="C757" s="121" t="s">
        <v>109</v>
      </c>
      <c r="D757" s="121" t="s">
        <v>1052</v>
      </c>
      <c r="E757" s="271">
        <f>IF('Inventory Takeoff'!J761="","",'Inventory Takeoff'!J761)</f>
        <v>46066</v>
      </c>
      <c r="F757" s="121" t="s">
        <v>1053</v>
      </c>
      <c r="G757" s="121" t="str">
        <f>'Inventory Takeoff'!C761</f>
        <v>24" Spiral  Stainless</v>
      </c>
    </row>
    <row r="758" spans="1:7">
      <c r="A758" s="121" t="str">
        <f>'Inventory Takeoff'!B762</f>
        <v>767</v>
      </c>
      <c r="B758" s="121">
        <f>'Inventory Takeoff'!H762</f>
        <v>11.58</v>
      </c>
      <c r="C758" s="121" t="s">
        <v>109</v>
      </c>
      <c r="D758" s="121" t="s">
        <v>1054</v>
      </c>
      <c r="E758" s="271">
        <f>IF('Inventory Takeoff'!J762="","",'Inventory Takeoff'!J762)</f>
        <v>46066</v>
      </c>
      <c r="F758" s="121" t="s">
        <v>1053</v>
      </c>
      <c r="G758" s="121" t="str">
        <f>'Inventory Takeoff'!C762</f>
        <v>Storm Collar 6"</v>
      </c>
    </row>
    <row r="759" spans="1:7">
      <c r="A759" s="121" t="str">
        <f>'Inventory Takeoff'!B763</f>
        <v>769</v>
      </c>
      <c r="B759" s="121">
        <f>'Inventory Takeoff'!H763</f>
        <v>14.23</v>
      </c>
      <c r="C759" s="121" t="s">
        <v>109</v>
      </c>
      <c r="D759" s="121" t="s">
        <v>1054</v>
      </c>
      <c r="E759" s="271">
        <f>IF('Inventory Takeoff'!J763="","",'Inventory Takeoff'!J763)</f>
        <v>46066</v>
      </c>
      <c r="F759" s="121" t="s">
        <v>1053</v>
      </c>
      <c r="G759" s="121" t="str">
        <f>'Inventory Takeoff'!C763</f>
        <v>Storm Collar 8"</v>
      </c>
    </row>
    <row r="760" spans="1:7">
      <c r="A760" s="121" t="str">
        <f>'Inventory Takeoff'!B764</f>
        <v>784</v>
      </c>
      <c r="B760" s="121">
        <f>'Inventory Takeoff'!H764</f>
        <v>27.26</v>
      </c>
      <c r="C760" s="121" t="s">
        <v>109</v>
      </c>
      <c r="D760" s="121" t="s">
        <v>1054</v>
      </c>
      <c r="E760" s="271">
        <f>IF('Inventory Takeoff'!J764="","",'Inventory Takeoff'!J764)</f>
        <v>46066</v>
      </c>
      <c r="F760" s="121" t="s">
        <v>1053</v>
      </c>
      <c r="G760" s="121" t="str">
        <f>'Inventory Takeoff'!C764</f>
        <v>Duct Tape 2"</v>
      </c>
    </row>
    <row r="761" spans="1:7">
      <c r="A761" s="121" t="str">
        <f>'Inventory Takeoff'!B765</f>
        <v>785</v>
      </c>
      <c r="B761" s="121">
        <f>'Inventory Takeoff'!H765</f>
        <v>40.839999999999996</v>
      </c>
      <c r="C761" s="121" t="s">
        <v>109</v>
      </c>
      <c r="D761" s="121" t="s">
        <v>1054</v>
      </c>
      <c r="E761" s="271">
        <f>IF('Inventory Takeoff'!J765="","",'Inventory Takeoff'!J765)</f>
        <v>46066</v>
      </c>
      <c r="F761" s="121" t="s">
        <v>1053</v>
      </c>
      <c r="G761" s="121" t="str">
        <f>'Inventory Takeoff'!C765</f>
        <v>Duct Tape 3"</v>
      </c>
    </row>
    <row r="762" spans="1:7">
      <c r="A762" s="121" t="str">
        <f>'Inventory Takeoff'!B766</f>
        <v>786</v>
      </c>
      <c r="B762" s="121">
        <f>'Inventory Takeoff'!H766</f>
        <v>46.559999999999995</v>
      </c>
      <c r="C762" s="121" t="s">
        <v>109</v>
      </c>
      <c r="D762" s="121" t="s">
        <v>1054</v>
      </c>
      <c r="E762" s="271" t="str">
        <f>IF('Inventory Takeoff'!J766="","",'Inventory Takeoff'!J766)</f>
        <v/>
      </c>
      <c r="F762" s="121" t="s">
        <v>1053</v>
      </c>
      <c r="G762" s="121" t="str">
        <f>'Inventory Takeoff'!C766</f>
        <v>Iron On Tape</v>
      </c>
    </row>
    <row r="763" spans="1:7">
      <c r="A763" s="121" t="str">
        <f>'Inventory Takeoff'!B767</f>
        <v>787-1</v>
      </c>
      <c r="B763" s="121">
        <f>'Inventory Takeoff'!H767</f>
        <v>499.68</v>
      </c>
      <c r="C763" s="121" t="s">
        <v>109</v>
      </c>
      <c r="D763" s="121" t="s">
        <v>1054</v>
      </c>
      <c r="E763" s="271" t="str">
        <f>IF('Inventory Takeoff'!J767="","",'Inventory Takeoff'!J767)</f>
        <v/>
      </c>
      <c r="F763" s="121" t="s">
        <v>1053</v>
      </c>
      <c r="G763" s="121" t="str">
        <f>'Inventory Takeoff'!C767</f>
        <v>Heat Shrink Tape - 2"</v>
      </c>
    </row>
    <row r="764" spans="1:7">
      <c r="A764" s="121" t="str">
        <f>'Inventory Takeoff'!B768</f>
        <v>787-2</v>
      </c>
      <c r="B764" s="121">
        <f>'Inventory Takeoff'!H768</f>
        <v>514.86</v>
      </c>
      <c r="C764" s="121" t="s">
        <v>109</v>
      </c>
      <c r="D764" s="121" t="s">
        <v>1054</v>
      </c>
      <c r="E764" s="271" t="str">
        <f>IF('Inventory Takeoff'!J768="","",'Inventory Takeoff'!J768)</f>
        <v/>
      </c>
      <c r="F764" s="121" t="s">
        <v>1053</v>
      </c>
      <c r="G764" s="121" t="str">
        <f>'Inventory Takeoff'!C768</f>
        <v>Heat Shrink Tape - 3"</v>
      </c>
    </row>
    <row r="765" spans="1:7">
      <c r="A765" s="121" t="str">
        <f>'Inventory Takeoff'!B769</f>
        <v>787-3</v>
      </c>
      <c r="B765" s="121">
        <f>'Inventory Takeoff'!H769</f>
        <v>567.99</v>
      </c>
      <c r="C765" s="121" t="s">
        <v>109</v>
      </c>
      <c r="D765" s="121" t="s">
        <v>1054</v>
      </c>
      <c r="E765" s="271" t="str">
        <f>IF('Inventory Takeoff'!J769="","",'Inventory Takeoff'!J769)</f>
        <v/>
      </c>
      <c r="F765" s="121" t="s">
        <v>1053</v>
      </c>
      <c r="G765" s="121" t="str">
        <f>'Inventory Takeoff'!C769</f>
        <v>Heat Shrink Tape - 4"</v>
      </c>
    </row>
    <row r="766" spans="1:7">
      <c r="A766" s="121">
        <f>'Inventory Takeoff'!B770</f>
        <v>788</v>
      </c>
      <c r="B766" s="121">
        <f>'Inventory Takeoff'!H770</f>
        <v>0</v>
      </c>
      <c r="C766" s="121" t="s">
        <v>109</v>
      </c>
      <c r="D766" s="121" t="s">
        <v>1054</v>
      </c>
      <c r="E766" s="271" t="str">
        <f>IF('Inventory Takeoff'!J770="","",'Inventory Takeoff'!J770)</f>
        <v/>
      </c>
      <c r="F766" s="121" t="s">
        <v>1053</v>
      </c>
      <c r="G766" s="121" t="str">
        <f>'Inventory Takeoff'!C770</f>
        <v>Not Used</v>
      </c>
    </row>
    <row r="767" spans="1:7">
      <c r="A767" s="121">
        <f>'Inventory Takeoff'!B771</f>
        <v>789</v>
      </c>
      <c r="B767" s="121">
        <f>'Inventory Takeoff'!H771</f>
        <v>22.930000000000003</v>
      </c>
      <c r="C767" s="121" t="s">
        <v>109</v>
      </c>
      <c r="D767" s="121" t="s">
        <v>1054</v>
      </c>
      <c r="E767" s="271" t="str">
        <f>IF('Inventory Takeoff'!J771="","",'Inventory Takeoff'!J771)</f>
        <v/>
      </c>
      <c r="F767" s="121" t="s">
        <v>1053</v>
      </c>
      <c r="G767" s="121" t="str">
        <f>'Inventory Takeoff'!C771</f>
        <v>Tape Hardcast P&amp;S</v>
      </c>
    </row>
    <row r="768" spans="1:7">
      <c r="A768" s="121">
        <f>'Inventory Takeoff'!B772</f>
        <v>790</v>
      </c>
      <c r="B768" s="121">
        <f>'Inventory Takeoff'!H772</f>
        <v>0</v>
      </c>
      <c r="C768" s="121" t="s">
        <v>109</v>
      </c>
      <c r="D768" s="121" t="s">
        <v>1054</v>
      </c>
      <c r="E768" s="271" t="str">
        <f>IF('Inventory Takeoff'!J772="","",'Inventory Takeoff'!J772)</f>
        <v/>
      </c>
      <c r="F768" s="121" t="s">
        <v>1053</v>
      </c>
      <c r="G768" s="121" t="str">
        <f>'Inventory Takeoff'!C772</f>
        <v>Not Used</v>
      </c>
    </row>
    <row r="769" spans="1:7">
      <c r="A769" s="121">
        <f>'Inventory Takeoff'!B773</f>
        <v>791</v>
      </c>
      <c r="B769" s="121">
        <f>'Inventory Takeoff'!H773</f>
        <v>0</v>
      </c>
      <c r="C769" s="121" t="s">
        <v>109</v>
      </c>
      <c r="D769" s="121" t="s">
        <v>1054</v>
      </c>
      <c r="E769" s="271" t="str">
        <f>IF('Inventory Takeoff'!J773="","",'Inventory Takeoff'!J773)</f>
        <v/>
      </c>
      <c r="F769" s="121" t="s">
        <v>1053</v>
      </c>
      <c r="G769" s="121" t="str">
        <f>'Inventory Takeoff'!C773</f>
        <v>Not Used</v>
      </c>
    </row>
    <row r="770" spans="1:7">
      <c r="A770" s="121">
        <f>'Inventory Takeoff'!B774</f>
        <v>792</v>
      </c>
      <c r="B770" s="121">
        <f>'Inventory Takeoff'!H774</f>
        <v>2.3899999999999997</v>
      </c>
      <c r="C770" s="121" t="s">
        <v>109</v>
      </c>
      <c r="D770" s="121" t="s">
        <v>1052</v>
      </c>
      <c r="E770" s="271">
        <f>IF('Inventory Takeoff'!J774="","",'Inventory Takeoff'!J774)</f>
        <v>44949</v>
      </c>
      <c r="F770" s="121" t="s">
        <v>1053</v>
      </c>
      <c r="G770" s="121" t="str">
        <f>'Inventory Takeoff'!C774</f>
        <v>Turn Vane/Rail - bundle</v>
      </c>
    </row>
    <row r="771" spans="1:7">
      <c r="A771" s="121">
        <f>'Inventory Takeoff'!B775</f>
        <v>793</v>
      </c>
      <c r="B771" s="121">
        <f>'Inventory Takeoff'!H775</f>
        <v>3.3899999999999997</v>
      </c>
      <c r="C771" s="121" t="s">
        <v>109</v>
      </c>
      <c r="D771" s="121" t="s">
        <v>1052</v>
      </c>
      <c r="E771" s="271">
        <f>IF('Inventory Takeoff'!J775="","",'Inventory Takeoff'!J775)</f>
        <v>44949</v>
      </c>
      <c r="F771" s="121" t="s">
        <v>1053</v>
      </c>
      <c r="G771" s="121" t="str">
        <f>'Inventory Takeoff'!C775</f>
        <v>Turn Vane/Rail - Acoustical</v>
      </c>
    </row>
    <row r="772" spans="1:7">
      <c r="A772" s="121">
        <f>'Inventory Takeoff'!B776</f>
        <v>794</v>
      </c>
      <c r="B772" s="121">
        <f>'Inventory Takeoff'!H776</f>
        <v>0</v>
      </c>
      <c r="C772" s="121" t="s">
        <v>109</v>
      </c>
      <c r="D772" s="121" t="s">
        <v>1054</v>
      </c>
      <c r="E772" s="271" t="str">
        <f>IF('Inventory Takeoff'!J776="","",'Inventory Takeoff'!J776)</f>
        <v/>
      </c>
      <c r="F772" s="121" t="s">
        <v>1053</v>
      </c>
      <c r="G772" s="121" t="str">
        <f>'Inventory Takeoff'!C776</f>
        <v>Not Used</v>
      </c>
    </row>
    <row r="773" spans="1:7">
      <c r="A773" s="121">
        <f>'Inventory Takeoff'!B777</f>
        <v>795</v>
      </c>
      <c r="B773" s="121">
        <f>'Inventory Takeoff'!H777</f>
        <v>0</v>
      </c>
      <c r="C773" s="121" t="s">
        <v>109</v>
      </c>
      <c r="D773" s="121" t="s">
        <v>1054</v>
      </c>
      <c r="E773" s="271" t="str">
        <f>IF('Inventory Takeoff'!J777="","",'Inventory Takeoff'!J777)</f>
        <v/>
      </c>
      <c r="F773" s="121" t="s">
        <v>1053</v>
      </c>
      <c r="G773" s="121" t="str">
        <f>'Inventory Takeoff'!C777</f>
        <v>Not Used</v>
      </c>
    </row>
    <row r="774" spans="1:7">
      <c r="A774" s="121">
        <f>'Inventory Takeoff'!B778</f>
        <v>796</v>
      </c>
      <c r="B774" s="121">
        <f>'Inventory Takeoff'!H778</f>
        <v>0</v>
      </c>
      <c r="C774" s="121" t="s">
        <v>109</v>
      </c>
      <c r="D774" s="121" t="s">
        <v>1054</v>
      </c>
      <c r="E774" s="271" t="str">
        <f>IF('Inventory Takeoff'!J778="","",'Inventory Takeoff'!J778)</f>
        <v/>
      </c>
      <c r="F774" s="121" t="s">
        <v>1053</v>
      </c>
      <c r="G774" s="121" t="str">
        <f>'Inventory Takeoff'!C778</f>
        <v>Not Used</v>
      </c>
    </row>
    <row r="775" spans="1:7">
      <c r="A775" s="121">
        <f>'Inventory Takeoff'!B779</f>
        <v>797</v>
      </c>
      <c r="B775" s="121">
        <f>'Inventory Takeoff'!H779</f>
        <v>6.9999999999999993E-2</v>
      </c>
      <c r="C775" s="121" t="s">
        <v>109</v>
      </c>
      <c r="D775" s="121" t="s">
        <v>1054</v>
      </c>
      <c r="E775" s="271">
        <f>IF('Inventory Takeoff'!J779="","",'Inventory Takeoff'!J779)</f>
        <v>44949</v>
      </c>
      <c r="F775" s="121" t="s">
        <v>1053</v>
      </c>
      <c r="G775" s="121" t="str">
        <f>'Inventory Takeoff'!C779</f>
        <v>Washers Flat 3/8</v>
      </c>
    </row>
    <row r="776" spans="1:7">
      <c r="A776" s="121">
        <f>'Inventory Takeoff'!B780</f>
        <v>798</v>
      </c>
      <c r="B776" s="121">
        <f>'Inventory Takeoff'!H780</f>
        <v>0.16</v>
      </c>
      <c r="C776" s="121" t="s">
        <v>109</v>
      </c>
      <c r="D776" s="121" t="s">
        <v>1054</v>
      </c>
      <c r="E776" s="271">
        <f>IF('Inventory Takeoff'!J780="","",'Inventory Takeoff'!J780)</f>
        <v>44949</v>
      </c>
      <c r="F776" s="121" t="s">
        <v>1053</v>
      </c>
      <c r="G776" s="121" t="str">
        <f>'Inventory Takeoff'!C780</f>
        <v>Washers Flat 1/2</v>
      </c>
    </row>
    <row r="777" spans="1:7">
      <c r="A777" s="121">
        <f>'Inventory Takeoff'!B781</f>
        <v>799</v>
      </c>
      <c r="B777" s="121">
        <f>'Inventory Takeoff'!H781</f>
        <v>0.33</v>
      </c>
      <c r="C777" s="121" t="s">
        <v>109</v>
      </c>
      <c r="D777" s="121" t="s">
        <v>1054</v>
      </c>
      <c r="E777" s="271">
        <f>IF('Inventory Takeoff'!J781="","",'Inventory Takeoff'!J781)</f>
        <v>44949</v>
      </c>
      <c r="F777" s="121" t="s">
        <v>1053</v>
      </c>
      <c r="G777" s="121" t="str">
        <f>'Inventory Takeoff'!C781</f>
        <v>Washers Flat 5/8</v>
      </c>
    </row>
    <row r="778" spans="1:7">
      <c r="A778" s="121">
        <f>'Inventory Takeoff'!B782</f>
        <v>800</v>
      </c>
      <c r="B778" s="121">
        <f>'Inventory Takeoff'!H782</f>
        <v>0.48</v>
      </c>
      <c r="C778" s="121" t="s">
        <v>109</v>
      </c>
      <c r="D778" s="121" t="s">
        <v>1054</v>
      </c>
      <c r="E778" s="271">
        <f>IF('Inventory Takeoff'!J782="","",'Inventory Takeoff'!J782)</f>
        <v>44949</v>
      </c>
      <c r="F778" s="121" t="s">
        <v>1053</v>
      </c>
      <c r="G778" s="121" t="str">
        <f>'Inventory Takeoff'!C782</f>
        <v>Washers Flat 3/4</v>
      </c>
    </row>
    <row r="779" spans="1:7">
      <c r="A779" s="121">
        <f>'Inventory Takeoff'!B783</f>
        <v>801</v>
      </c>
      <c r="B779" s="121">
        <f>'Inventory Takeoff'!H783</f>
        <v>0.13</v>
      </c>
      <c r="C779" s="121" t="s">
        <v>109</v>
      </c>
      <c r="D779" s="121" t="s">
        <v>1054</v>
      </c>
      <c r="E779" s="271">
        <f>IF('Inventory Takeoff'!J783="","",'Inventory Takeoff'!J783)</f>
        <v>44949</v>
      </c>
      <c r="F779" s="121" t="s">
        <v>1053</v>
      </c>
      <c r="G779" s="121" t="str">
        <f>'Inventory Takeoff'!C783</f>
        <v>Washer Fender 1/4</v>
      </c>
    </row>
    <row r="780" spans="1:7">
      <c r="A780" s="121">
        <f>'Inventory Takeoff'!B784</f>
        <v>802</v>
      </c>
      <c r="B780" s="121">
        <f>'Inventory Takeoff'!H784</f>
        <v>0.13</v>
      </c>
      <c r="C780" s="121" t="s">
        <v>109</v>
      </c>
      <c r="D780" s="121" t="s">
        <v>1054</v>
      </c>
      <c r="E780" s="271">
        <f>IF('Inventory Takeoff'!J784="","",'Inventory Takeoff'!J784)</f>
        <v>44949</v>
      </c>
      <c r="F780" s="121" t="s">
        <v>1053</v>
      </c>
      <c r="G780" s="121" t="str">
        <f>'Inventory Takeoff'!C784</f>
        <v>Washer Fender 3/8</v>
      </c>
    </row>
    <row r="781" spans="1:7">
      <c r="A781" s="121">
        <f>'Inventory Takeoff'!B785</f>
        <v>803</v>
      </c>
      <c r="B781" s="121">
        <f>'Inventory Takeoff'!H785</f>
        <v>0.04</v>
      </c>
      <c r="C781" s="121" t="s">
        <v>109</v>
      </c>
      <c r="D781" s="121" t="s">
        <v>1054</v>
      </c>
      <c r="E781" s="271">
        <f>IF('Inventory Takeoff'!J785="","",'Inventory Takeoff'!J785)</f>
        <v>44949</v>
      </c>
      <c r="F781" s="121" t="s">
        <v>1053</v>
      </c>
      <c r="G781" s="121" t="str">
        <f>'Inventory Takeoff'!C785</f>
        <v>Washer Lock 1/4</v>
      </c>
    </row>
    <row r="782" spans="1:7">
      <c r="A782" s="121">
        <f>'Inventory Takeoff'!B786</f>
        <v>804</v>
      </c>
      <c r="B782" s="121">
        <f>'Inventory Takeoff'!H786</f>
        <v>6.9999999999999993E-2</v>
      </c>
      <c r="C782" s="121" t="s">
        <v>109</v>
      </c>
      <c r="D782" s="121" t="s">
        <v>1054</v>
      </c>
      <c r="E782" s="271">
        <f>IF('Inventory Takeoff'!J786="","",'Inventory Takeoff'!J786)</f>
        <v>44949</v>
      </c>
      <c r="F782" s="121" t="s">
        <v>1053</v>
      </c>
      <c r="G782" s="121" t="str">
        <f>'Inventory Takeoff'!C786</f>
        <v>Washer Lock 3/8</v>
      </c>
    </row>
    <row r="783" spans="1:7">
      <c r="A783" s="121">
        <f>'Inventory Takeoff'!B787</f>
        <v>805</v>
      </c>
      <c r="B783" s="121">
        <f>'Inventory Takeoff'!H787</f>
        <v>0.11</v>
      </c>
      <c r="C783" s="121" t="s">
        <v>109</v>
      </c>
      <c r="D783" s="121" t="s">
        <v>1054</v>
      </c>
      <c r="E783" s="271">
        <f>IF('Inventory Takeoff'!J787="","",'Inventory Takeoff'!J787)</f>
        <v>44949</v>
      </c>
      <c r="F783" s="121" t="s">
        <v>1053</v>
      </c>
      <c r="G783" s="121" t="str">
        <f>'Inventory Takeoff'!C787</f>
        <v>Washer Lock 1/2</v>
      </c>
    </row>
    <row r="784" spans="1:7">
      <c r="A784" s="121">
        <f>'Inventory Takeoff'!B788</f>
        <v>806</v>
      </c>
      <c r="B784" s="121">
        <f>'Inventory Takeoff'!H788</f>
        <v>9.44</v>
      </c>
      <c r="C784" s="121" t="s">
        <v>109</v>
      </c>
      <c r="D784" s="121" t="s">
        <v>1054</v>
      </c>
      <c r="E784" s="271" t="str">
        <f>IF('Inventory Takeoff'!J788="","",'Inventory Takeoff'!J788)</f>
        <v/>
      </c>
      <c r="F784" s="121" t="s">
        <v>1053</v>
      </c>
      <c r="G784" s="121" t="str">
        <f>'Inventory Takeoff'!C788</f>
        <v>6" Y</v>
      </c>
    </row>
    <row r="785" spans="1:7">
      <c r="A785" s="121">
        <f>'Inventory Takeoff'!B789</f>
        <v>807</v>
      </c>
      <c r="B785" s="121">
        <f>'Inventory Takeoff'!H789</f>
        <v>0</v>
      </c>
      <c r="C785" s="121" t="s">
        <v>109</v>
      </c>
      <c r="D785" s="121" t="s">
        <v>1054</v>
      </c>
      <c r="E785" s="271" t="str">
        <f>IF('Inventory Takeoff'!J789="","",'Inventory Takeoff'!J789)</f>
        <v/>
      </c>
      <c r="F785" s="121" t="s">
        <v>1053</v>
      </c>
      <c r="G785" s="121" t="str">
        <f>'Inventory Takeoff'!C789</f>
        <v>Not Used</v>
      </c>
    </row>
    <row r="786" spans="1:7">
      <c r="A786" s="121">
        <f>'Inventory Takeoff'!B790</f>
        <v>808</v>
      </c>
      <c r="B786" s="121">
        <f>'Inventory Takeoff'!H790</f>
        <v>0</v>
      </c>
      <c r="C786" s="121" t="s">
        <v>109</v>
      </c>
      <c r="D786" s="121" t="s">
        <v>1054</v>
      </c>
      <c r="E786" s="271" t="str">
        <f>IF('Inventory Takeoff'!J790="","",'Inventory Takeoff'!J790)</f>
        <v/>
      </c>
      <c r="F786" s="121" t="s">
        <v>1053</v>
      </c>
      <c r="G786" s="121" t="str">
        <f>'Inventory Takeoff'!C790</f>
        <v>Not Used</v>
      </c>
    </row>
    <row r="787" spans="1:7">
      <c r="A787" s="121">
        <f>'Inventory Takeoff'!B791</f>
        <v>809</v>
      </c>
      <c r="B787" s="121">
        <f>'Inventory Takeoff'!H791</f>
        <v>9.44</v>
      </c>
      <c r="C787" s="121" t="s">
        <v>109</v>
      </c>
      <c r="D787" s="121" t="s">
        <v>1054</v>
      </c>
      <c r="E787" s="271" t="str">
        <f>IF('Inventory Takeoff'!J791="","",'Inventory Takeoff'!J791)</f>
        <v/>
      </c>
      <c r="F787" s="121" t="s">
        <v>1053</v>
      </c>
      <c r="G787" s="121" t="str">
        <f>'Inventory Takeoff'!C791</f>
        <v>7" Y</v>
      </c>
    </row>
    <row r="788" spans="1:7">
      <c r="A788" s="121">
        <f>'Inventory Takeoff'!B792</f>
        <v>810</v>
      </c>
      <c r="B788" s="121">
        <f>'Inventory Takeoff'!H792</f>
        <v>0</v>
      </c>
      <c r="C788" s="121" t="s">
        <v>109</v>
      </c>
      <c r="D788" s="121" t="s">
        <v>1054</v>
      </c>
      <c r="E788" s="271" t="str">
        <f>IF('Inventory Takeoff'!J792="","",'Inventory Takeoff'!J792)</f>
        <v/>
      </c>
      <c r="F788" s="121" t="s">
        <v>1053</v>
      </c>
      <c r="G788" s="121" t="str">
        <f>'Inventory Takeoff'!C792</f>
        <v>Not Used</v>
      </c>
    </row>
    <row r="789" spans="1:7">
      <c r="A789" s="121">
        <f>'Inventory Takeoff'!B793</f>
        <v>811</v>
      </c>
      <c r="B789" s="121">
        <f>'Inventory Takeoff'!H793</f>
        <v>0</v>
      </c>
      <c r="C789" s="121" t="s">
        <v>109</v>
      </c>
      <c r="D789" s="121" t="s">
        <v>1054</v>
      </c>
      <c r="E789" s="271" t="str">
        <f>IF('Inventory Takeoff'!J793="","",'Inventory Takeoff'!J793)</f>
        <v/>
      </c>
      <c r="F789" s="121" t="s">
        <v>1053</v>
      </c>
      <c r="G789" s="121" t="str">
        <f>'Inventory Takeoff'!C793</f>
        <v>Not Used</v>
      </c>
    </row>
    <row r="790" spans="1:7">
      <c r="A790" s="121">
        <f>'Inventory Takeoff'!B794</f>
        <v>812</v>
      </c>
      <c r="B790" s="121">
        <f>'Inventory Takeoff'!H794</f>
        <v>9.66</v>
      </c>
      <c r="C790" s="121" t="s">
        <v>109</v>
      </c>
      <c r="D790" s="121" t="s">
        <v>1054</v>
      </c>
      <c r="E790" s="271" t="str">
        <f>IF('Inventory Takeoff'!J794="","",'Inventory Takeoff'!J794)</f>
        <v/>
      </c>
      <c r="F790" s="121" t="s">
        <v>1053</v>
      </c>
      <c r="G790" s="121" t="str">
        <f>'Inventory Takeoff'!C794</f>
        <v>8" Y</v>
      </c>
    </row>
    <row r="791" spans="1:7">
      <c r="A791" s="121">
        <f>'Inventory Takeoff'!B795</f>
        <v>813</v>
      </c>
      <c r="B791" s="121">
        <f>'Inventory Takeoff'!H795</f>
        <v>0</v>
      </c>
      <c r="C791" s="121" t="s">
        <v>109</v>
      </c>
      <c r="D791" s="121" t="s">
        <v>1054</v>
      </c>
      <c r="E791" s="271" t="str">
        <f>IF('Inventory Takeoff'!J795="","",'Inventory Takeoff'!J795)</f>
        <v/>
      </c>
      <c r="F791" s="121" t="s">
        <v>1053</v>
      </c>
      <c r="G791" s="121" t="str">
        <f>'Inventory Takeoff'!C795</f>
        <v>Not Used</v>
      </c>
    </row>
    <row r="792" spans="1:7">
      <c r="A792" s="121">
        <f>'Inventory Takeoff'!B796</f>
        <v>814</v>
      </c>
      <c r="B792" s="121">
        <f>'Inventory Takeoff'!H796</f>
        <v>0</v>
      </c>
      <c r="C792" s="121" t="s">
        <v>109</v>
      </c>
      <c r="D792" s="121" t="s">
        <v>1054</v>
      </c>
      <c r="E792" s="271" t="str">
        <f>IF('Inventory Takeoff'!J796="","",'Inventory Takeoff'!J796)</f>
        <v/>
      </c>
      <c r="F792" s="121" t="s">
        <v>1053</v>
      </c>
      <c r="G792" s="121" t="str">
        <f>'Inventory Takeoff'!C796</f>
        <v>Not Used</v>
      </c>
    </row>
    <row r="793" spans="1:7">
      <c r="A793" s="121">
        <f>'Inventory Takeoff'!B797</f>
        <v>815</v>
      </c>
      <c r="B793" s="121">
        <f>'Inventory Takeoff'!H797</f>
        <v>0</v>
      </c>
      <c r="C793" s="121" t="s">
        <v>109</v>
      </c>
      <c r="D793" s="121" t="s">
        <v>1054</v>
      </c>
      <c r="E793" s="271" t="str">
        <f>IF('Inventory Takeoff'!J797="","",'Inventory Takeoff'!J797)</f>
        <v/>
      </c>
      <c r="F793" s="121" t="s">
        <v>1053</v>
      </c>
      <c r="G793" s="121" t="str">
        <f>'Inventory Takeoff'!C797</f>
        <v>Not Used</v>
      </c>
    </row>
    <row r="794" spans="1:7">
      <c r="A794" s="121">
        <f>'Inventory Takeoff'!B798</f>
        <v>816</v>
      </c>
      <c r="B794" s="121">
        <f>'Inventory Takeoff'!H798</f>
        <v>11.43</v>
      </c>
      <c r="C794" s="121" t="s">
        <v>109</v>
      </c>
      <c r="D794" s="121" t="s">
        <v>1054</v>
      </c>
      <c r="E794" s="271" t="str">
        <f>IF('Inventory Takeoff'!J798="","",'Inventory Takeoff'!J798)</f>
        <v/>
      </c>
      <c r="F794" s="121" t="s">
        <v>1053</v>
      </c>
      <c r="G794" s="121" t="str">
        <f>'Inventory Takeoff'!C798</f>
        <v>9" Y</v>
      </c>
    </row>
    <row r="795" spans="1:7">
      <c r="A795" s="121">
        <f>'Inventory Takeoff'!B799</f>
        <v>817</v>
      </c>
      <c r="B795" s="121">
        <f>'Inventory Takeoff'!H799</f>
        <v>0</v>
      </c>
      <c r="C795" s="121" t="s">
        <v>109</v>
      </c>
      <c r="D795" s="121" t="s">
        <v>1054</v>
      </c>
      <c r="E795" s="271" t="str">
        <f>IF('Inventory Takeoff'!J799="","",'Inventory Takeoff'!J799)</f>
        <v/>
      </c>
      <c r="F795" s="121" t="s">
        <v>1053</v>
      </c>
      <c r="G795" s="121" t="str">
        <f>'Inventory Takeoff'!C799</f>
        <v>Not Used</v>
      </c>
    </row>
    <row r="796" spans="1:7">
      <c r="A796" s="121">
        <f>'Inventory Takeoff'!B800</f>
        <v>818</v>
      </c>
      <c r="B796" s="121">
        <f>'Inventory Takeoff'!H800</f>
        <v>0</v>
      </c>
      <c r="C796" s="121" t="s">
        <v>109</v>
      </c>
      <c r="D796" s="121" t="s">
        <v>1054</v>
      </c>
      <c r="E796" s="271" t="str">
        <f>IF('Inventory Takeoff'!J800="","",'Inventory Takeoff'!J800)</f>
        <v/>
      </c>
      <c r="F796" s="121" t="s">
        <v>1053</v>
      </c>
      <c r="G796" s="121" t="str">
        <f>'Inventory Takeoff'!C800</f>
        <v>Not Used</v>
      </c>
    </row>
    <row r="797" spans="1:7">
      <c r="A797" s="121">
        <f>'Inventory Takeoff'!B801</f>
        <v>819</v>
      </c>
      <c r="B797" s="121">
        <f>'Inventory Takeoff'!H801</f>
        <v>12.08</v>
      </c>
      <c r="C797" s="121" t="s">
        <v>109</v>
      </c>
      <c r="D797" s="121" t="s">
        <v>1054</v>
      </c>
      <c r="E797" s="271" t="str">
        <f>IF('Inventory Takeoff'!J801="","",'Inventory Takeoff'!J801)</f>
        <v/>
      </c>
      <c r="F797" s="121" t="s">
        <v>1053</v>
      </c>
      <c r="G797" s="121" t="str">
        <f>'Inventory Takeoff'!C801</f>
        <v>10" Y</v>
      </c>
    </row>
    <row r="798" spans="1:7">
      <c r="A798" s="121">
        <f>'Inventory Takeoff'!B802</f>
        <v>820</v>
      </c>
      <c r="B798" s="121">
        <f>'Inventory Takeoff'!H802</f>
        <v>0</v>
      </c>
      <c r="C798" s="121" t="s">
        <v>109</v>
      </c>
      <c r="D798" s="121" t="s">
        <v>1054</v>
      </c>
      <c r="E798" s="271" t="str">
        <f>IF('Inventory Takeoff'!J802="","",'Inventory Takeoff'!J802)</f>
        <v/>
      </c>
      <c r="F798" s="121" t="s">
        <v>1053</v>
      </c>
      <c r="G798" s="121" t="str">
        <f>'Inventory Takeoff'!C802</f>
        <v>Not Used</v>
      </c>
    </row>
    <row r="799" spans="1:7">
      <c r="A799" s="121">
        <f>'Inventory Takeoff'!B803</f>
        <v>821</v>
      </c>
      <c r="B799" s="121">
        <f>'Inventory Takeoff'!H803</f>
        <v>0</v>
      </c>
      <c r="C799" s="121" t="s">
        <v>109</v>
      </c>
      <c r="D799" s="121" t="s">
        <v>1054</v>
      </c>
      <c r="E799" s="271" t="str">
        <f>IF('Inventory Takeoff'!J803="","",'Inventory Takeoff'!J803)</f>
        <v/>
      </c>
      <c r="F799" s="121" t="s">
        <v>1053</v>
      </c>
      <c r="G799" s="121" t="str">
        <f>'Inventory Takeoff'!C803</f>
        <v>Not Used</v>
      </c>
    </row>
    <row r="800" spans="1:7">
      <c r="A800" s="121">
        <f>'Inventory Takeoff'!B804</f>
        <v>822</v>
      </c>
      <c r="B800" s="121">
        <f>'Inventory Takeoff'!H804</f>
        <v>0</v>
      </c>
      <c r="C800" s="121" t="s">
        <v>109</v>
      </c>
      <c r="D800" s="121" t="s">
        <v>1054</v>
      </c>
      <c r="E800" s="271" t="str">
        <f>IF('Inventory Takeoff'!J804="","",'Inventory Takeoff'!J804)</f>
        <v/>
      </c>
      <c r="F800" s="121" t="s">
        <v>1053</v>
      </c>
      <c r="G800" s="121" t="str">
        <f>'Inventory Takeoff'!C804</f>
        <v>Not Used</v>
      </c>
    </row>
    <row r="801" spans="1:7">
      <c r="A801" s="121">
        <f>'Inventory Takeoff'!B805</f>
        <v>823</v>
      </c>
      <c r="B801" s="121">
        <f>'Inventory Takeoff'!H805</f>
        <v>0</v>
      </c>
      <c r="C801" s="121" t="s">
        <v>109</v>
      </c>
      <c r="D801" s="121" t="s">
        <v>1054</v>
      </c>
      <c r="E801" s="271" t="str">
        <f>IF('Inventory Takeoff'!J805="","",'Inventory Takeoff'!J805)</f>
        <v/>
      </c>
      <c r="F801" s="121" t="s">
        <v>1053</v>
      </c>
      <c r="G801" s="121" t="str">
        <f>'Inventory Takeoff'!C805</f>
        <v>Not Used</v>
      </c>
    </row>
    <row r="802" spans="1:7">
      <c r="A802" s="121">
        <f>'Inventory Takeoff'!B806</f>
        <v>824</v>
      </c>
      <c r="B802" s="121">
        <f>'Inventory Takeoff'!H806</f>
        <v>19.21</v>
      </c>
      <c r="C802" s="121" t="s">
        <v>109</v>
      </c>
      <c r="D802" s="121" t="s">
        <v>1054</v>
      </c>
      <c r="E802" s="271" t="str">
        <f>IF('Inventory Takeoff'!J806="","",'Inventory Takeoff'!J806)</f>
        <v/>
      </c>
      <c r="F802" s="121" t="s">
        <v>1053</v>
      </c>
      <c r="G802" s="121" t="str">
        <f>'Inventory Takeoff'!C806</f>
        <v>12" Y</v>
      </c>
    </row>
    <row r="803" spans="1:7">
      <c r="A803" s="121">
        <f>'Inventory Takeoff'!B807</f>
        <v>825</v>
      </c>
      <c r="B803" s="121">
        <f>'Inventory Takeoff'!H807</f>
        <v>0</v>
      </c>
      <c r="C803" s="121" t="s">
        <v>109</v>
      </c>
      <c r="D803" s="121" t="s">
        <v>1054</v>
      </c>
      <c r="E803" s="271" t="str">
        <f>IF('Inventory Takeoff'!J807="","",'Inventory Takeoff'!J807)</f>
        <v/>
      </c>
      <c r="F803" s="121" t="s">
        <v>1053</v>
      </c>
      <c r="G803" s="121" t="str">
        <f>'Inventory Takeoff'!C807</f>
        <v>Not Used</v>
      </c>
    </row>
    <row r="804" spans="1:7">
      <c r="A804" s="121">
        <f>'Inventory Takeoff'!B808</f>
        <v>826</v>
      </c>
      <c r="B804" s="121">
        <f>'Inventory Takeoff'!H808</f>
        <v>0</v>
      </c>
      <c r="C804" s="121" t="s">
        <v>109</v>
      </c>
      <c r="D804" s="121" t="s">
        <v>1054</v>
      </c>
      <c r="E804" s="271" t="str">
        <f>IF('Inventory Takeoff'!J808="","",'Inventory Takeoff'!J808)</f>
        <v/>
      </c>
      <c r="F804" s="121" t="s">
        <v>1053</v>
      </c>
      <c r="G804" s="121" t="str">
        <f>'Inventory Takeoff'!C808</f>
        <v>Not Used</v>
      </c>
    </row>
    <row r="805" spans="1:7">
      <c r="A805" s="121">
        <f>'Inventory Takeoff'!B809</f>
        <v>827</v>
      </c>
      <c r="B805" s="121">
        <f>'Inventory Takeoff'!H809</f>
        <v>0</v>
      </c>
      <c r="C805" s="121" t="s">
        <v>109</v>
      </c>
      <c r="D805" s="121" t="s">
        <v>1054</v>
      </c>
      <c r="E805" s="271" t="str">
        <f>IF('Inventory Takeoff'!J809="","",'Inventory Takeoff'!J809)</f>
        <v/>
      </c>
      <c r="F805" s="121" t="s">
        <v>1053</v>
      </c>
      <c r="G805" s="121" t="str">
        <f>'Inventory Takeoff'!C809</f>
        <v>Not Used</v>
      </c>
    </row>
    <row r="806" spans="1:7">
      <c r="A806" s="121">
        <f>'Inventory Takeoff'!B810</f>
        <v>828</v>
      </c>
      <c r="B806" s="121">
        <f>'Inventory Takeoff'!H810</f>
        <v>24.290000000000003</v>
      </c>
      <c r="C806" s="121" t="s">
        <v>109</v>
      </c>
      <c r="D806" s="121" t="s">
        <v>1054</v>
      </c>
      <c r="E806" s="271" t="str">
        <f>IF('Inventory Takeoff'!J810="","",'Inventory Takeoff'!J810)</f>
        <v/>
      </c>
      <c r="F806" s="121" t="s">
        <v>1053</v>
      </c>
      <c r="G806" s="121" t="str">
        <f>'Inventory Takeoff'!C810</f>
        <v>14" Y</v>
      </c>
    </row>
    <row r="807" spans="1:7">
      <c r="A807" s="121">
        <f>'Inventory Takeoff'!B811</f>
        <v>829</v>
      </c>
      <c r="B807" s="121">
        <f>'Inventory Takeoff'!H811</f>
        <v>0</v>
      </c>
      <c r="C807" s="121" t="s">
        <v>109</v>
      </c>
      <c r="D807" s="121" t="s">
        <v>1054</v>
      </c>
      <c r="E807" s="271" t="str">
        <f>IF('Inventory Takeoff'!J811="","",'Inventory Takeoff'!J811)</f>
        <v/>
      </c>
      <c r="F807" s="121" t="s">
        <v>1053</v>
      </c>
      <c r="G807" s="121" t="str">
        <f>'Inventory Takeoff'!C811</f>
        <v>Not Used</v>
      </c>
    </row>
    <row r="808" spans="1:7">
      <c r="A808" s="121">
        <f>'Inventory Takeoff'!B812</f>
        <v>830</v>
      </c>
      <c r="B808" s="121">
        <f>'Inventory Takeoff'!H812</f>
        <v>0</v>
      </c>
      <c r="C808" s="121" t="s">
        <v>109</v>
      </c>
      <c r="D808" s="121" t="s">
        <v>1054</v>
      </c>
      <c r="E808" s="271" t="str">
        <f>IF('Inventory Takeoff'!J812="","",'Inventory Takeoff'!J812)</f>
        <v/>
      </c>
      <c r="F808" s="121" t="s">
        <v>1053</v>
      </c>
      <c r="G808" s="121" t="str">
        <f>'Inventory Takeoff'!C812</f>
        <v>Not Used</v>
      </c>
    </row>
    <row r="809" spans="1:7">
      <c r="A809" s="121">
        <f>'Inventory Takeoff'!B813</f>
        <v>831</v>
      </c>
      <c r="B809" s="121">
        <f>'Inventory Takeoff'!H813</f>
        <v>0</v>
      </c>
      <c r="C809" s="121" t="s">
        <v>109</v>
      </c>
      <c r="D809" s="121" t="s">
        <v>1054</v>
      </c>
      <c r="E809" s="271" t="str">
        <f>IF('Inventory Takeoff'!J813="","",'Inventory Takeoff'!J813)</f>
        <v/>
      </c>
      <c r="F809" s="121" t="s">
        <v>1053</v>
      </c>
      <c r="G809" s="121" t="str">
        <f>'Inventory Takeoff'!C813</f>
        <v>Not Used</v>
      </c>
    </row>
    <row r="810" spans="1:7">
      <c r="A810" s="121">
        <f>'Inventory Takeoff'!B814</f>
        <v>832</v>
      </c>
      <c r="B810" s="121">
        <f>'Inventory Takeoff'!H814</f>
        <v>30.610000000000003</v>
      </c>
      <c r="C810" s="121" t="s">
        <v>109</v>
      </c>
      <c r="D810" s="121" t="s">
        <v>1054</v>
      </c>
      <c r="E810" s="271" t="str">
        <f>IF('Inventory Takeoff'!J814="","",'Inventory Takeoff'!J814)</f>
        <v/>
      </c>
      <c r="F810" s="121" t="s">
        <v>1053</v>
      </c>
      <c r="G810" s="121" t="str">
        <f>'Inventory Takeoff'!C814</f>
        <v>16" Y</v>
      </c>
    </row>
    <row r="811" spans="1:7">
      <c r="A811" s="121">
        <f>'Inventory Takeoff'!B815</f>
        <v>833</v>
      </c>
      <c r="B811" s="121">
        <f>'Inventory Takeoff'!H815</f>
        <v>0</v>
      </c>
      <c r="C811" s="121" t="s">
        <v>109</v>
      </c>
      <c r="D811" s="121" t="s">
        <v>1054</v>
      </c>
      <c r="E811" s="271" t="str">
        <f>IF('Inventory Takeoff'!J815="","",'Inventory Takeoff'!J815)</f>
        <v/>
      </c>
      <c r="F811" s="121" t="s">
        <v>1053</v>
      </c>
      <c r="G811" s="121" t="str">
        <f>'Inventory Takeoff'!C815</f>
        <v>Not Used</v>
      </c>
    </row>
    <row r="812" spans="1:7">
      <c r="A812" s="121">
        <f>'Inventory Takeoff'!B816</f>
        <v>834</v>
      </c>
      <c r="B812" s="121">
        <f>'Inventory Takeoff'!H816</f>
        <v>0</v>
      </c>
      <c r="C812" s="121" t="s">
        <v>109</v>
      </c>
      <c r="D812" s="121" t="s">
        <v>1054</v>
      </c>
      <c r="E812" s="271" t="str">
        <f>IF('Inventory Takeoff'!J816="","",'Inventory Takeoff'!J816)</f>
        <v/>
      </c>
      <c r="F812" s="121" t="s">
        <v>1053</v>
      </c>
      <c r="G812" s="121" t="str">
        <f>'Inventory Takeoff'!C816</f>
        <v>Not Used</v>
      </c>
    </row>
    <row r="813" spans="1:7">
      <c r="A813" s="121">
        <f>'Inventory Takeoff'!B817</f>
        <v>835</v>
      </c>
      <c r="B813" s="121">
        <f>'Inventory Takeoff'!H817</f>
        <v>0</v>
      </c>
      <c r="C813" s="121" t="s">
        <v>109</v>
      </c>
      <c r="D813" s="121" t="s">
        <v>1054</v>
      </c>
      <c r="E813" s="271" t="str">
        <f>IF('Inventory Takeoff'!J817="","",'Inventory Takeoff'!J817)</f>
        <v/>
      </c>
      <c r="F813" s="121" t="s">
        <v>1053</v>
      </c>
      <c r="G813" s="121" t="str">
        <f>'Inventory Takeoff'!C817</f>
        <v>Not Used</v>
      </c>
    </row>
    <row r="814" spans="1:7">
      <c r="A814" s="121">
        <f>'Inventory Takeoff'!B818</f>
        <v>836</v>
      </c>
      <c r="B814" s="121">
        <f>'Inventory Takeoff'!H818</f>
        <v>1.21</v>
      </c>
      <c r="C814" s="121" t="s">
        <v>109</v>
      </c>
      <c r="D814" s="121" t="s">
        <v>1052</v>
      </c>
      <c r="E814" s="271" t="str">
        <f>IF('Inventory Takeoff'!J818="","",'Inventory Takeoff'!J818)</f>
        <v/>
      </c>
      <c r="F814" s="121" t="s">
        <v>1053</v>
      </c>
      <c r="G814" s="121" t="str">
        <f>'Inventory Takeoff'!C818</f>
        <v>Welding Rod</v>
      </c>
    </row>
    <row r="815" spans="1:7">
      <c r="A815" s="121">
        <f>'Inventory Takeoff'!B819</f>
        <v>837</v>
      </c>
      <c r="B815" s="121">
        <f>'Inventory Takeoff'!H819</f>
        <v>0</v>
      </c>
      <c r="C815" s="121" t="s">
        <v>109</v>
      </c>
      <c r="D815" s="121" t="s">
        <v>1054</v>
      </c>
      <c r="E815" s="271" t="str">
        <f>IF('Inventory Takeoff'!J819="","",'Inventory Takeoff'!J819)</f>
        <v/>
      </c>
      <c r="F815" s="121" t="s">
        <v>1053</v>
      </c>
      <c r="G815" s="121" t="str">
        <f>'Inventory Takeoff'!C819</f>
        <v>Not Used</v>
      </c>
    </row>
    <row r="816" spans="1:7">
      <c r="A816" s="121">
        <f>'Inventory Takeoff'!B820</f>
        <v>838</v>
      </c>
      <c r="B816" s="121">
        <f>'Inventory Takeoff'!H820</f>
        <v>0</v>
      </c>
      <c r="C816" s="121" t="s">
        <v>109</v>
      </c>
      <c r="D816" s="121" t="s">
        <v>1054</v>
      </c>
      <c r="E816" s="271" t="str">
        <f>IF('Inventory Takeoff'!J820="","",'Inventory Takeoff'!J820)</f>
        <v/>
      </c>
      <c r="F816" s="121" t="s">
        <v>1053</v>
      </c>
      <c r="G816" s="121" t="str">
        <f>'Inventory Takeoff'!C820</f>
        <v>Not Used</v>
      </c>
    </row>
    <row r="817" spans="1:7">
      <c r="A817" s="121">
        <f>'Inventory Takeoff'!B821</f>
        <v>839</v>
      </c>
      <c r="B817" s="121">
        <f>'Inventory Takeoff'!H821</f>
        <v>0</v>
      </c>
      <c r="C817" s="121" t="s">
        <v>109</v>
      </c>
      <c r="D817" s="121" t="s">
        <v>1054</v>
      </c>
      <c r="E817" s="271" t="str">
        <f>IF('Inventory Takeoff'!J821="","",'Inventory Takeoff'!J821)</f>
        <v/>
      </c>
      <c r="F817" s="121" t="s">
        <v>1053</v>
      </c>
      <c r="G817" s="121" t="str">
        <f>'Inventory Takeoff'!C821</f>
        <v>Not Used</v>
      </c>
    </row>
    <row r="818" spans="1:7">
      <c r="A818" s="121">
        <f>'Inventory Takeoff'!B822</f>
        <v>840</v>
      </c>
      <c r="B818" s="121">
        <f>'Inventory Takeoff'!H822</f>
        <v>5.6</v>
      </c>
      <c r="C818" s="121" t="s">
        <v>109</v>
      </c>
      <c r="D818" s="121" t="s">
        <v>1054</v>
      </c>
      <c r="E818" s="271" t="str">
        <f>IF('Inventory Takeoff'!J822="","",'Inventory Takeoff'!J822)</f>
        <v/>
      </c>
      <c r="F818" s="121" t="s">
        <v>1053</v>
      </c>
      <c r="G818" s="121" t="str">
        <f>'Inventory Takeoff'!C822</f>
        <v>Welding ANTI Splatter</v>
      </c>
    </row>
    <row r="819" spans="1:7">
      <c r="A819" s="121">
        <f>'Inventory Takeoff'!B823</f>
        <v>841</v>
      </c>
      <c r="B819" s="121">
        <f>'Inventory Takeoff'!H823</f>
        <v>0</v>
      </c>
      <c r="C819" s="121" t="s">
        <v>109</v>
      </c>
      <c r="D819" s="121" t="s">
        <v>1054</v>
      </c>
      <c r="E819" s="271" t="str">
        <f>IF('Inventory Takeoff'!J823="","",'Inventory Takeoff'!J823)</f>
        <v/>
      </c>
      <c r="F819" s="121" t="s">
        <v>1053</v>
      </c>
      <c r="G819" s="121" t="str">
        <f>'Inventory Takeoff'!C823</f>
        <v>Not Used</v>
      </c>
    </row>
    <row r="820" spans="1:7">
      <c r="A820" s="121">
        <f>'Inventory Takeoff'!B824</f>
        <v>842</v>
      </c>
      <c r="B820" s="121">
        <f>'Inventory Takeoff'!H824</f>
        <v>1.34</v>
      </c>
      <c r="C820" s="121" t="s">
        <v>109</v>
      </c>
      <c r="D820" s="121" t="s">
        <v>1052</v>
      </c>
      <c r="E820" s="271" t="str">
        <f>IF('Inventory Takeoff'!J824="","",'Inventory Takeoff'!J824)</f>
        <v/>
      </c>
      <c r="F820" s="121" t="s">
        <v>1053</v>
      </c>
      <c r="G820" s="121" t="str">
        <f>'Inventory Takeoff'!C824</f>
        <v>Welding Gas</v>
      </c>
    </row>
    <row r="821" spans="1:7">
      <c r="A821" s="121">
        <f>'Inventory Takeoff'!B825</f>
        <v>843</v>
      </c>
      <c r="B821" s="121">
        <f>'Inventory Takeoff'!H825</f>
        <v>9.76</v>
      </c>
      <c r="C821" s="121" t="s">
        <v>109</v>
      </c>
      <c r="D821" s="121" t="s">
        <v>1054</v>
      </c>
      <c r="E821" s="271">
        <f>IF('Inventory Takeoff'!J825="","",'Inventory Takeoff'!J825)</f>
        <v>46066</v>
      </c>
      <c r="F821" s="121" t="s">
        <v>1053</v>
      </c>
      <c r="G821" s="121" t="str">
        <f>'Inventory Takeoff'!C825</f>
        <v>3" Endcap</v>
      </c>
    </row>
    <row r="822" spans="1:7">
      <c r="A822" s="121">
        <f>'Inventory Takeoff'!B826</f>
        <v>844</v>
      </c>
      <c r="B822" s="121">
        <f>'Inventory Takeoff'!H826</f>
        <v>9.76</v>
      </c>
      <c r="C822" s="121" t="s">
        <v>109</v>
      </c>
      <c r="D822" s="121" t="s">
        <v>1054</v>
      </c>
      <c r="E822" s="271">
        <f>IF('Inventory Takeoff'!J826="","",'Inventory Takeoff'!J826)</f>
        <v>46066</v>
      </c>
      <c r="F822" s="121" t="s">
        <v>1053</v>
      </c>
      <c r="G822" s="121" t="str">
        <f>'Inventory Takeoff'!C826</f>
        <v>4" Endcap</v>
      </c>
    </row>
    <row r="823" spans="1:7">
      <c r="A823" s="121">
        <f>'Inventory Takeoff'!B827</f>
        <v>845</v>
      </c>
      <c r="B823" s="121">
        <f>'Inventory Takeoff'!H827</f>
        <v>10.54</v>
      </c>
      <c r="C823" s="121" t="s">
        <v>109</v>
      </c>
      <c r="D823" s="121" t="s">
        <v>1054</v>
      </c>
      <c r="E823" s="271">
        <f>IF('Inventory Takeoff'!J827="","",'Inventory Takeoff'!J827)</f>
        <v>46066</v>
      </c>
      <c r="F823" s="121" t="s">
        <v>1053</v>
      </c>
      <c r="G823" s="121" t="str">
        <f>'Inventory Takeoff'!C827</f>
        <v>5" Endcap</v>
      </c>
    </row>
    <row r="824" spans="1:7">
      <c r="A824" s="121">
        <f>'Inventory Takeoff'!B828</f>
        <v>846</v>
      </c>
      <c r="B824" s="121">
        <f>'Inventory Takeoff'!H828</f>
        <v>10.31</v>
      </c>
      <c r="C824" s="121" t="s">
        <v>109</v>
      </c>
      <c r="D824" s="121" t="s">
        <v>1054</v>
      </c>
      <c r="E824" s="271">
        <f>IF('Inventory Takeoff'!J828="","",'Inventory Takeoff'!J828)</f>
        <v>46066</v>
      </c>
      <c r="F824" s="121" t="s">
        <v>1053</v>
      </c>
      <c r="G824" s="121" t="str">
        <f>'Inventory Takeoff'!C828</f>
        <v>6" Endcap</v>
      </c>
    </row>
    <row r="825" spans="1:7">
      <c r="A825" s="121">
        <f>'Inventory Takeoff'!B829</f>
        <v>847</v>
      </c>
      <c r="B825" s="121">
        <f>'Inventory Takeoff'!H829</f>
        <v>12.04</v>
      </c>
      <c r="C825" s="121" t="s">
        <v>109</v>
      </c>
      <c r="D825" s="121" t="s">
        <v>1054</v>
      </c>
      <c r="E825" s="271">
        <f>IF('Inventory Takeoff'!J829="","",'Inventory Takeoff'!J829)</f>
        <v>46066</v>
      </c>
      <c r="F825" s="121" t="s">
        <v>1053</v>
      </c>
      <c r="G825" s="121" t="str">
        <f>'Inventory Takeoff'!C829</f>
        <v>7" Endcap</v>
      </c>
    </row>
    <row r="826" spans="1:7">
      <c r="A826" s="121">
        <f>'Inventory Takeoff'!B830</f>
        <v>848</v>
      </c>
      <c r="B826" s="121">
        <f>'Inventory Takeoff'!H830</f>
        <v>13.049999999999999</v>
      </c>
      <c r="C826" s="121" t="s">
        <v>109</v>
      </c>
      <c r="D826" s="121" t="s">
        <v>1054</v>
      </c>
      <c r="E826" s="271">
        <f>IF('Inventory Takeoff'!J830="","",'Inventory Takeoff'!J830)</f>
        <v>46066</v>
      </c>
      <c r="F826" s="121" t="s">
        <v>1053</v>
      </c>
      <c r="G826" s="121" t="str">
        <f>'Inventory Takeoff'!C830</f>
        <v>8" Endcap</v>
      </c>
    </row>
    <row r="827" spans="1:7">
      <c r="A827" s="121">
        <f>'Inventory Takeoff'!B831</f>
        <v>849</v>
      </c>
      <c r="B827" s="121">
        <f>'Inventory Takeoff'!H831</f>
        <v>15.049999999999999</v>
      </c>
      <c r="C827" s="121" t="s">
        <v>109</v>
      </c>
      <c r="D827" s="121" t="s">
        <v>1054</v>
      </c>
      <c r="E827" s="271">
        <f>IF('Inventory Takeoff'!J831="","",'Inventory Takeoff'!J831)</f>
        <v>46066</v>
      </c>
      <c r="F827" s="121" t="s">
        <v>1053</v>
      </c>
      <c r="G827" s="121" t="str">
        <f>'Inventory Takeoff'!C831</f>
        <v>9" Endcap</v>
      </c>
    </row>
    <row r="828" spans="1:7">
      <c r="A828" s="121">
        <f>'Inventory Takeoff'!B832</f>
        <v>850</v>
      </c>
      <c r="B828" s="121">
        <f>'Inventory Takeoff'!H832</f>
        <v>16.080000000000002</v>
      </c>
      <c r="C828" s="121" t="s">
        <v>109</v>
      </c>
      <c r="D828" s="121" t="s">
        <v>1054</v>
      </c>
      <c r="E828" s="271">
        <f>IF('Inventory Takeoff'!J832="","",'Inventory Takeoff'!J832)</f>
        <v>46066</v>
      </c>
      <c r="F828" s="121" t="s">
        <v>1053</v>
      </c>
      <c r="G828" s="121" t="str">
        <f>'Inventory Takeoff'!C832</f>
        <v>10" Endcap</v>
      </c>
    </row>
    <row r="829" spans="1:7">
      <c r="A829" s="121">
        <f>'Inventory Takeoff'!B833</f>
        <v>851</v>
      </c>
      <c r="B829" s="121">
        <f>'Inventory Takeoff'!H833</f>
        <v>17.560000000000002</v>
      </c>
      <c r="C829" s="121" t="s">
        <v>109</v>
      </c>
      <c r="D829" s="121" t="s">
        <v>1054</v>
      </c>
      <c r="E829" s="271">
        <f>IF('Inventory Takeoff'!J833="","",'Inventory Takeoff'!J833)</f>
        <v>46066</v>
      </c>
      <c r="F829" s="121" t="s">
        <v>1053</v>
      </c>
      <c r="G829" s="121" t="str">
        <f>'Inventory Takeoff'!C833</f>
        <v>12" Endcap</v>
      </c>
    </row>
    <row r="830" spans="1:7">
      <c r="A830" s="121">
        <f>'Inventory Takeoff'!B834</f>
        <v>852</v>
      </c>
      <c r="B830" s="121">
        <f>'Inventory Takeoff'!H834</f>
        <v>24.450000000000003</v>
      </c>
      <c r="C830" s="121" t="s">
        <v>109</v>
      </c>
      <c r="D830" s="121" t="s">
        <v>1054</v>
      </c>
      <c r="E830" s="271">
        <f>IF('Inventory Takeoff'!J834="","",'Inventory Takeoff'!J834)</f>
        <v>46066</v>
      </c>
      <c r="F830" s="121" t="s">
        <v>1053</v>
      </c>
      <c r="G830" s="121" t="str">
        <f>'Inventory Takeoff'!C834</f>
        <v>14" Endcap</v>
      </c>
    </row>
    <row r="831" spans="1:7">
      <c r="A831" s="121">
        <f>'Inventory Takeoff'!B835</f>
        <v>853</v>
      </c>
      <c r="B831" s="121">
        <f>'Inventory Takeoff'!H835</f>
        <v>43.73</v>
      </c>
      <c r="C831" s="121" t="s">
        <v>109</v>
      </c>
      <c r="D831" s="121" t="s">
        <v>1054</v>
      </c>
      <c r="E831" s="271">
        <f>IF('Inventory Takeoff'!J835="","",'Inventory Takeoff'!J835)</f>
        <v>46066</v>
      </c>
      <c r="F831" s="121" t="s">
        <v>1053</v>
      </c>
      <c r="G831" s="121" t="str">
        <f>'Inventory Takeoff'!C835</f>
        <v>16" Endcap</v>
      </c>
    </row>
    <row r="832" spans="1:7">
      <c r="A832" s="121">
        <f>'Inventory Takeoff'!B836</f>
        <v>854</v>
      </c>
      <c r="B832" s="121">
        <f>'Inventory Takeoff'!H836</f>
        <v>0</v>
      </c>
      <c r="C832" s="121" t="s">
        <v>109</v>
      </c>
      <c r="D832" s="121" t="s">
        <v>1054</v>
      </c>
      <c r="E832" s="271" t="str">
        <f>IF('Inventory Takeoff'!J836="","",'Inventory Takeoff'!J836)</f>
        <v/>
      </c>
      <c r="F832" s="121" t="s">
        <v>1053</v>
      </c>
      <c r="G832" s="121" t="str">
        <f>'Inventory Takeoff'!C836</f>
        <v>Miscellaneous</v>
      </c>
    </row>
    <row r="833" spans="1:7">
      <c r="A833" s="121">
        <f>'Inventory Takeoff'!B837</f>
        <v>855</v>
      </c>
      <c r="B833" s="121">
        <f>'Inventory Takeoff'!H837</f>
        <v>6.84</v>
      </c>
      <c r="C833" s="121" t="s">
        <v>109</v>
      </c>
      <c r="D833" s="121" t="s">
        <v>1054</v>
      </c>
      <c r="E833" s="271" t="str">
        <f>IF('Inventory Takeoff'!J837="","",'Inventory Takeoff'!J837)</f>
        <v/>
      </c>
      <c r="F833" s="121" t="s">
        <v>1053</v>
      </c>
      <c r="G833" s="121" t="str">
        <f>'Inventory Takeoff'!C837</f>
        <v>Handle (Stand Off)</v>
      </c>
    </row>
    <row r="834" spans="1:7">
      <c r="A834" s="121">
        <f>'Inventory Takeoff'!B838</f>
        <v>856</v>
      </c>
      <c r="B834" s="121">
        <f>'Inventory Takeoff'!H838</f>
        <v>15.82</v>
      </c>
      <c r="C834" s="121" t="s">
        <v>109</v>
      </c>
      <c r="D834" s="121" t="s">
        <v>1054</v>
      </c>
      <c r="E834" s="271">
        <f>IF('Inventory Takeoff'!J838="","",'Inventory Takeoff'!J838)</f>
        <v>44949</v>
      </c>
      <c r="F834" s="121" t="s">
        <v>1053</v>
      </c>
      <c r="G834" s="121" t="str">
        <f>'Inventory Takeoff'!C838</f>
        <v>Safety Glasses</v>
      </c>
    </row>
    <row r="835" spans="1:7">
      <c r="A835" s="121">
        <f>'Inventory Takeoff'!B839</f>
        <v>857</v>
      </c>
      <c r="B835" s="121">
        <f>'Inventory Takeoff'!H839</f>
        <v>1.2</v>
      </c>
      <c r="C835" s="121" t="s">
        <v>109</v>
      </c>
      <c r="D835" s="121" t="s">
        <v>1052</v>
      </c>
      <c r="E835" s="271">
        <f>IF('Inventory Takeoff'!J839="","",'Inventory Takeoff'!J839)</f>
        <v>44551</v>
      </c>
      <c r="F835" s="121" t="s">
        <v>1053</v>
      </c>
      <c r="G835" s="121" t="str">
        <f>'Inventory Takeoff'!C839</f>
        <v>Sound Attenuation 1"</v>
      </c>
    </row>
    <row r="836" spans="1:7">
      <c r="A836" s="121">
        <f>'Inventory Takeoff'!B840</f>
        <v>858</v>
      </c>
      <c r="B836" s="121">
        <f>'Inventory Takeoff'!H840</f>
        <v>2.2799999999999998</v>
      </c>
      <c r="C836" s="121" t="s">
        <v>109</v>
      </c>
      <c r="D836" s="121" t="s">
        <v>1052</v>
      </c>
      <c r="E836" s="271">
        <f>IF('Inventory Takeoff'!J840="","",'Inventory Takeoff'!J840)</f>
        <v>44551</v>
      </c>
      <c r="F836" s="121" t="s">
        <v>1053</v>
      </c>
      <c r="G836" s="121" t="str">
        <f>'Inventory Takeoff'!C840</f>
        <v>Sound Attenuation 2"</v>
      </c>
    </row>
    <row r="837" spans="1:7">
      <c r="A837" s="121">
        <f>'Inventory Takeoff'!B841</f>
        <v>859</v>
      </c>
      <c r="B837" s="121">
        <f>'Inventory Takeoff'!H841</f>
        <v>1.1300000000000001</v>
      </c>
      <c r="C837" s="121" t="s">
        <v>109</v>
      </c>
      <c r="D837" s="121" t="s">
        <v>1052</v>
      </c>
      <c r="E837" s="271">
        <f>IF('Inventory Takeoff'!J841="","",'Inventory Takeoff'!J841)</f>
        <v>44551</v>
      </c>
      <c r="F837" s="121" t="s">
        <v>1053</v>
      </c>
      <c r="G837" s="121" t="str">
        <f>'Inventory Takeoff'!C841</f>
        <v>Sound Attenuation 1/2"</v>
      </c>
    </row>
    <row r="838" spans="1:7">
      <c r="A838" s="121">
        <f>'Inventory Takeoff'!B842</f>
        <v>860</v>
      </c>
      <c r="B838" s="121">
        <f>'Inventory Takeoff'!H842</f>
        <v>11.26</v>
      </c>
      <c r="C838" s="121" t="s">
        <v>109</v>
      </c>
      <c r="D838" s="121" t="s">
        <v>1054</v>
      </c>
      <c r="E838" s="271">
        <f>IF('Inventory Takeoff'!J842="","",'Inventory Takeoff'!J842)</f>
        <v>44949</v>
      </c>
      <c r="F838" s="121" t="s">
        <v>1053</v>
      </c>
      <c r="G838" s="121" t="str">
        <f>'Inventory Takeoff'!C842</f>
        <v>Safety Gloves</v>
      </c>
    </row>
    <row r="839" spans="1:7">
      <c r="A839" s="121">
        <f>'Inventory Takeoff'!B843</f>
        <v>861</v>
      </c>
      <c r="B839" s="121">
        <f>'Inventory Takeoff'!H843</f>
        <v>12.65</v>
      </c>
      <c r="C839" s="121" t="s">
        <v>109</v>
      </c>
      <c r="D839" s="121" t="s">
        <v>1054</v>
      </c>
      <c r="E839" s="271">
        <f>IF('Inventory Takeoff'!J843="","",'Inventory Takeoff'!J843)</f>
        <v>44949</v>
      </c>
      <c r="F839" s="121" t="s">
        <v>1053</v>
      </c>
      <c r="G839" s="121" t="str">
        <f>'Inventory Takeoff'!C843</f>
        <v>Caulk Guns</v>
      </c>
    </row>
    <row r="840" spans="1:7">
      <c r="A840" s="121">
        <f>'Inventory Takeoff'!B844</f>
        <v>862</v>
      </c>
      <c r="B840" s="121">
        <f>'Inventory Takeoff'!H844</f>
        <v>0</v>
      </c>
      <c r="C840" s="121" t="s">
        <v>109</v>
      </c>
      <c r="D840" s="121" t="s">
        <v>1054</v>
      </c>
      <c r="E840" s="271" t="str">
        <f>IF('Inventory Takeoff'!J844="","",'Inventory Takeoff'!J844)</f>
        <v/>
      </c>
      <c r="F840" s="121" t="s">
        <v>1053</v>
      </c>
      <c r="G840" s="121" t="str">
        <f>'Inventory Takeoff'!C844</f>
        <v>Not Used</v>
      </c>
    </row>
    <row r="841" spans="1:7">
      <c r="A841" s="121">
        <f>'Inventory Takeoff'!B845</f>
        <v>863</v>
      </c>
      <c r="B841" s="121">
        <f>'Inventory Takeoff'!H845</f>
        <v>0</v>
      </c>
      <c r="C841" s="121" t="s">
        <v>109</v>
      </c>
      <c r="D841" s="121" t="s">
        <v>1054</v>
      </c>
      <c r="E841" s="271" t="str">
        <f>IF('Inventory Takeoff'!J845="","",'Inventory Takeoff'!J845)</f>
        <v/>
      </c>
      <c r="F841" s="121" t="s">
        <v>1053</v>
      </c>
      <c r="G841" s="121" t="str">
        <f>'Inventory Takeoff'!C845</f>
        <v>Not Used</v>
      </c>
    </row>
    <row r="842" spans="1:7">
      <c r="A842" s="121">
        <f>'Inventory Takeoff'!B846</f>
        <v>864</v>
      </c>
      <c r="B842" s="121">
        <f>'Inventory Takeoff'!H846</f>
        <v>0</v>
      </c>
      <c r="C842" s="121" t="s">
        <v>109</v>
      </c>
      <c r="D842" s="121" t="s">
        <v>1054</v>
      </c>
      <c r="E842" s="271" t="str">
        <f>IF('Inventory Takeoff'!J846="","",'Inventory Takeoff'!J846)</f>
        <v/>
      </c>
      <c r="F842" s="121" t="s">
        <v>1053</v>
      </c>
      <c r="G842" s="121" t="str">
        <f>'Inventory Takeoff'!C846</f>
        <v>Not Used</v>
      </c>
    </row>
    <row r="843" spans="1:7">
      <c r="A843" s="121">
        <f>'Inventory Takeoff'!B847</f>
        <v>865</v>
      </c>
      <c r="B843" s="121">
        <f>'Inventory Takeoff'!H847</f>
        <v>0.25</v>
      </c>
      <c r="C843" s="121" t="s">
        <v>109</v>
      </c>
      <c r="D843" s="121" t="s">
        <v>1054</v>
      </c>
      <c r="E843" s="271" t="str">
        <f>IF('Inventory Takeoff'!J847="","",'Inventory Takeoff'!J847)</f>
        <v/>
      </c>
      <c r="F843" s="121" t="s">
        <v>1053</v>
      </c>
      <c r="G843" s="121" t="str">
        <f>'Inventory Takeoff'!C847</f>
        <v>Stick Pin/Clip</v>
      </c>
    </row>
    <row r="844" spans="1:7">
      <c r="A844" s="121">
        <f>'Inventory Takeoff'!B848</f>
        <v>866</v>
      </c>
      <c r="B844" s="121">
        <f>'Inventory Takeoff'!H848</f>
        <v>16.240000000000002</v>
      </c>
      <c r="C844" s="121" t="s">
        <v>109</v>
      </c>
      <c r="D844" s="121" t="s">
        <v>1054</v>
      </c>
      <c r="E844" s="271">
        <f>IF('Inventory Takeoff'!J848="","",'Inventory Takeoff'!J848)</f>
        <v>44476</v>
      </c>
      <c r="F844" s="121" t="s">
        <v>1053</v>
      </c>
      <c r="G844" s="121" t="str">
        <f>'Inventory Takeoff'!C848</f>
        <v>Stick Wire</v>
      </c>
    </row>
    <row r="845" spans="1:7">
      <c r="A845" s="121">
        <f>'Inventory Takeoff'!B849</f>
        <v>867</v>
      </c>
      <c r="B845" s="121">
        <f>'Inventory Takeoff'!H849</f>
        <v>0</v>
      </c>
      <c r="C845" s="121" t="s">
        <v>109</v>
      </c>
      <c r="D845" s="121" t="s">
        <v>1054</v>
      </c>
      <c r="E845" s="271" t="str">
        <f>IF('Inventory Takeoff'!J849="","",'Inventory Takeoff'!J849)</f>
        <v/>
      </c>
      <c r="F845" s="121" t="s">
        <v>1053</v>
      </c>
      <c r="G845" s="121" t="str">
        <f>'Inventory Takeoff'!C849</f>
        <v>Not Used</v>
      </c>
    </row>
    <row r="846" spans="1:7">
      <c r="A846" s="121">
        <f>'Inventory Takeoff'!B850</f>
        <v>868</v>
      </c>
      <c r="B846" s="121">
        <f>'Inventory Takeoff'!H850</f>
        <v>5.5699999999999994</v>
      </c>
      <c r="C846" s="121" t="s">
        <v>109</v>
      </c>
      <c r="D846" s="121" t="s">
        <v>1054</v>
      </c>
      <c r="E846" s="271">
        <f>IF('Inventory Takeoff'!J850="","",'Inventory Takeoff'!J850)</f>
        <v>44949</v>
      </c>
      <c r="F846" s="121" t="s">
        <v>1053</v>
      </c>
      <c r="G846" s="121" t="str">
        <f>'Inventory Takeoff'!C850</f>
        <v>Drill Chuck 1/4</v>
      </c>
    </row>
    <row r="847" spans="1:7">
      <c r="A847" s="121">
        <f>'Inventory Takeoff'!B851</f>
        <v>869</v>
      </c>
      <c r="B847" s="121">
        <f>'Inventory Takeoff'!H851</f>
        <v>6.49</v>
      </c>
      <c r="C847" s="121" t="s">
        <v>109</v>
      </c>
      <c r="D847" s="121" t="s">
        <v>1054</v>
      </c>
      <c r="E847" s="271">
        <f>IF('Inventory Takeoff'!J851="","",'Inventory Takeoff'!J851)</f>
        <v>44949</v>
      </c>
      <c r="F847" s="121" t="s">
        <v>1053</v>
      </c>
      <c r="G847" s="121" t="str">
        <f>'Inventory Takeoff'!C851</f>
        <v>Drill Chuck 5/16</v>
      </c>
    </row>
    <row r="848" spans="1:7">
      <c r="A848" s="121">
        <f>'Inventory Takeoff'!B852</f>
        <v>870</v>
      </c>
      <c r="B848" s="121">
        <f>'Inventory Takeoff'!H852</f>
        <v>0</v>
      </c>
      <c r="C848" s="121" t="s">
        <v>109</v>
      </c>
      <c r="D848" s="121" t="s">
        <v>1054</v>
      </c>
      <c r="E848" s="271" t="str">
        <f>IF('Inventory Takeoff'!J852="","",'Inventory Takeoff'!J852)</f>
        <v/>
      </c>
      <c r="F848" s="121" t="s">
        <v>1053</v>
      </c>
      <c r="G848" s="121" t="str">
        <f>'Inventory Takeoff'!C852</f>
        <v>Not Used</v>
      </c>
    </row>
    <row r="849" spans="1:7">
      <c r="A849" s="121">
        <f>'Inventory Takeoff'!B853</f>
        <v>871</v>
      </c>
      <c r="B849" s="121">
        <f>'Inventory Takeoff'!H853</f>
        <v>48.15</v>
      </c>
      <c r="C849" s="121" t="s">
        <v>109</v>
      </c>
      <c r="D849" s="121" t="s">
        <v>1054</v>
      </c>
      <c r="E849" s="271" t="str">
        <f>IF('Inventory Takeoff'!J853="","",'Inventory Takeoff'!J853)</f>
        <v/>
      </c>
      <c r="F849" s="121" t="s">
        <v>1053</v>
      </c>
      <c r="G849" s="121" t="str">
        <f>'Inventory Takeoff'!C853</f>
        <v>Visqueen</v>
      </c>
    </row>
    <row r="850" spans="1:7">
      <c r="A850" s="121">
        <f>'Inventory Takeoff'!B854</f>
        <v>872</v>
      </c>
      <c r="B850" s="121">
        <f>'Inventory Takeoff'!H854</f>
        <v>4.9799999999999995</v>
      </c>
      <c r="C850" s="121" t="s">
        <v>109</v>
      </c>
      <c r="D850" s="121" t="s">
        <v>1054</v>
      </c>
      <c r="E850" s="271">
        <f>IF('Inventory Takeoff'!J854="","",'Inventory Takeoff'!J854)</f>
        <v>44949</v>
      </c>
      <c r="F850" s="121" t="s">
        <v>1053</v>
      </c>
      <c r="G850" s="121" t="str">
        <f>'Inventory Takeoff'!C854</f>
        <v>Beam Clamp</v>
      </c>
    </row>
    <row r="851" spans="1:7">
      <c r="A851" s="121">
        <f>'Inventory Takeoff'!B855</f>
        <v>873</v>
      </c>
      <c r="B851" s="121">
        <f>'Inventory Takeoff'!H855</f>
        <v>0</v>
      </c>
      <c r="C851" s="121" t="s">
        <v>109</v>
      </c>
      <c r="D851" s="121" t="s">
        <v>1054</v>
      </c>
      <c r="E851" s="271" t="str">
        <f>IF('Inventory Takeoff'!J855="","",'Inventory Takeoff'!J855)</f>
        <v/>
      </c>
      <c r="F851" s="121" t="s">
        <v>1053</v>
      </c>
      <c r="G851" s="121" t="str">
        <f>'Inventory Takeoff'!C855</f>
        <v>Not Used</v>
      </c>
    </row>
    <row r="852" spans="1:7">
      <c r="A852" s="121">
        <f>'Inventory Takeoff'!B856</f>
        <v>874</v>
      </c>
      <c r="B852" s="121">
        <f>'Inventory Takeoff'!H856</f>
        <v>0</v>
      </c>
      <c r="C852" s="121" t="s">
        <v>109</v>
      </c>
      <c r="D852" s="121" t="s">
        <v>1054</v>
      </c>
      <c r="E852" s="271" t="str">
        <f>IF('Inventory Takeoff'!J856="","",'Inventory Takeoff'!J856)</f>
        <v/>
      </c>
      <c r="F852" s="121" t="s">
        <v>1053</v>
      </c>
      <c r="G852" s="121" t="str">
        <f>'Inventory Takeoff'!C856</f>
        <v>Not Used</v>
      </c>
    </row>
    <row r="853" spans="1:7">
      <c r="A853" s="121">
        <f>'Inventory Takeoff'!B857</f>
        <v>875</v>
      </c>
      <c r="B853" s="121">
        <f>'Inventory Takeoff'!H857</f>
        <v>0</v>
      </c>
      <c r="C853" s="121" t="s">
        <v>109</v>
      </c>
      <c r="D853" s="121" t="s">
        <v>1054</v>
      </c>
      <c r="E853" s="271" t="str">
        <f>IF('Inventory Takeoff'!J857="","",'Inventory Takeoff'!J857)</f>
        <v/>
      </c>
      <c r="F853" s="121" t="s">
        <v>1053</v>
      </c>
      <c r="G853" s="121" t="str">
        <f>'Inventory Takeoff'!C857</f>
        <v>Not Used</v>
      </c>
    </row>
    <row r="854" spans="1:7">
      <c r="A854" s="121">
        <f>'Inventory Takeoff'!B858</f>
        <v>876</v>
      </c>
      <c r="B854" s="121">
        <f>'Inventory Takeoff'!H858</f>
        <v>0</v>
      </c>
      <c r="C854" s="121" t="s">
        <v>109</v>
      </c>
      <c r="D854" s="121" t="s">
        <v>1054</v>
      </c>
      <c r="E854" s="271" t="str">
        <f>IF('Inventory Takeoff'!J858="","",'Inventory Takeoff'!J858)</f>
        <v/>
      </c>
      <c r="F854" s="121" t="s">
        <v>1053</v>
      </c>
      <c r="G854" s="121" t="str">
        <f>'Inventory Takeoff'!C858</f>
        <v>Not Used</v>
      </c>
    </row>
    <row r="855" spans="1:7">
      <c r="A855" s="121">
        <f>'Inventory Takeoff'!B859</f>
        <v>877</v>
      </c>
      <c r="B855" s="121">
        <f>'Inventory Takeoff'!H859</f>
        <v>0</v>
      </c>
      <c r="C855" s="121" t="s">
        <v>109</v>
      </c>
      <c r="D855" s="121" t="s">
        <v>1054</v>
      </c>
      <c r="E855" s="271" t="str">
        <f>IF('Inventory Takeoff'!J859="","",'Inventory Takeoff'!J859)</f>
        <v/>
      </c>
      <c r="F855" s="121" t="s">
        <v>1053</v>
      </c>
      <c r="G855" s="121" t="str">
        <f>'Inventory Takeoff'!C859</f>
        <v>Not Used</v>
      </c>
    </row>
    <row r="856" spans="1:7">
      <c r="A856" s="121">
        <f>'Inventory Takeoff'!B860</f>
        <v>878</v>
      </c>
      <c r="B856" s="121">
        <f>'Inventory Takeoff'!H860</f>
        <v>1.4</v>
      </c>
      <c r="C856" s="121" t="s">
        <v>109</v>
      </c>
      <c r="D856" s="121" t="s">
        <v>1054</v>
      </c>
      <c r="E856" s="271">
        <f>IF('Inventory Takeoff'!J860="","",'Inventory Takeoff'!J860)</f>
        <v>44949</v>
      </c>
      <c r="F856" s="121" t="s">
        <v>1053</v>
      </c>
      <c r="G856" s="121" t="str">
        <f>'Inventory Takeoff'!C860</f>
        <v>1/4 Strut Nut</v>
      </c>
    </row>
    <row r="857" spans="1:7">
      <c r="A857" s="121">
        <f>'Inventory Takeoff'!B861</f>
        <v>879</v>
      </c>
      <c r="B857" s="121">
        <f>'Inventory Takeoff'!H861</f>
        <v>1.35</v>
      </c>
      <c r="C857" s="121" t="s">
        <v>109</v>
      </c>
      <c r="D857" s="121" t="s">
        <v>1054</v>
      </c>
      <c r="E857" s="271">
        <f>IF('Inventory Takeoff'!J861="","",'Inventory Takeoff'!J861)</f>
        <v>44949</v>
      </c>
      <c r="F857" s="121" t="s">
        <v>1053</v>
      </c>
      <c r="G857" s="121" t="str">
        <f>'Inventory Takeoff'!C861</f>
        <v>3/8 Strut Nut</v>
      </c>
    </row>
    <row r="858" spans="1:7">
      <c r="A858" s="121">
        <f>'Inventory Takeoff'!B862</f>
        <v>880</v>
      </c>
      <c r="B858" s="121">
        <f>'Inventory Takeoff'!H862</f>
        <v>1.32</v>
      </c>
      <c r="C858" s="121" t="s">
        <v>109</v>
      </c>
      <c r="D858" s="121" t="s">
        <v>1054</v>
      </c>
      <c r="E858" s="271">
        <f>IF('Inventory Takeoff'!J862="","",'Inventory Takeoff'!J862)</f>
        <v>44949</v>
      </c>
      <c r="F858" s="121" t="s">
        <v>1053</v>
      </c>
      <c r="G858" s="121" t="str">
        <f>'Inventory Takeoff'!C862</f>
        <v>1/2 Strut Nut</v>
      </c>
    </row>
    <row r="859" spans="1:7">
      <c r="A859" s="121">
        <f>'Inventory Takeoff'!B863</f>
        <v>881</v>
      </c>
      <c r="B859" s="121">
        <f>'Inventory Takeoff'!H863</f>
        <v>0</v>
      </c>
      <c r="C859" s="121" t="s">
        <v>109</v>
      </c>
      <c r="D859" s="121" t="s">
        <v>1054</v>
      </c>
      <c r="E859" s="271" t="str">
        <f>IF('Inventory Takeoff'!J863="","",'Inventory Takeoff'!J863)</f>
        <v/>
      </c>
      <c r="F859" s="121" t="s">
        <v>1053</v>
      </c>
      <c r="G859" s="121" t="str">
        <f>'Inventory Takeoff'!C863</f>
        <v>Not Used</v>
      </c>
    </row>
    <row r="860" spans="1:7">
      <c r="A860" s="121">
        <f>'Inventory Takeoff'!B864</f>
        <v>882</v>
      </c>
      <c r="B860" s="121">
        <f>'Inventory Takeoff'!H864</f>
        <v>0</v>
      </c>
      <c r="C860" s="121" t="s">
        <v>109</v>
      </c>
      <c r="D860" s="121" t="s">
        <v>1054</v>
      </c>
      <c r="E860" s="271" t="str">
        <f>IF('Inventory Takeoff'!J864="","",'Inventory Takeoff'!J864)</f>
        <v/>
      </c>
      <c r="F860" s="121" t="s">
        <v>1053</v>
      </c>
      <c r="G860" s="121" t="str">
        <f>'Inventory Takeoff'!C864</f>
        <v>Not Used</v>
      </c>
    </row>
    <row r="861" spans="1:7">
      <c r="A861" s="121">
        <f>'Inventory Takeoff'!B865</f>
        <v>883</v>
      </c>
      <c r="B861" s="121">
        <f>'Inventory Takeoff'!H865</f>
        <v>0</v>
      </c>
      <c r="C861" s="121" t="s">
        <v>109</v>
      </c>
      <c r="D861" s="121" t="s">
        <v>1054</v>
      </c>
      <c r="E861" s="271" t="str">
        <f>IF('Inventory Takeoff'!J865="","",'Inventory Takeoff'!J865)</f>
        <v/>
      </c>
      <c r="F861" s="121" t="s">
        <v>1053</v>
      </c>
      <c r="G861" s="121" t="str">
        <f>'Inventory Takeoff'!C865</f>
        <v>Not Used</v>
      </c>
    </row>
    <row r="862" spans="1:7">
      <c r="A862" s="121">
        <f>'Inventory Takeoff'!B866</f>
        <v>884</v>
      </c>
      <c r="B862" s="121">
        <f>'Inventory Takeoff'!H866</f>
        <v>0</v>
      </c>
      <c r="C862" s="121" t="s">
        <v>109</v>
      </c>
      <c r="D862" s="121" t="s">
        <v>1054</v>
      </c>
      <c r="E862" s="271" t="str">
        <f>IF('Inventory Takeoff'!J866="","",'Inventory Takeoff'!J866)</f>
        <v/>
      </c>
      <c r="F862" s="121" t="s">
        <v>1053</v>
      </c>
      <c r="G862" s="121" t="str">
        <f>'Inventory Takeoff'!C866</f>
        <v>Not Used</v>
      </c>
    </row>
    <row r="863" spans="1:7">
      <c r="A863" s="121">
        <f>'Inventory Takeoff'!B867</f>
        <v>885</v>
      </c>
      <c r="B863" s="121">
        <f>'Inventory Takeoff'!H867</f>
        <v>0</v>
      </c>
      <c r="C863" s="121" t="s">
        <v>109</v>
      </c>
      <c r="D863" s="121" t="s">
        <v>1054</v>
      </c>
      <c r="E863" s="271" t="str">
        <f>IF('Inventory Takeoff'!J867="","",'Inventory Takeoff'!J867)</f>
        <v/>
      </c>
      <c r="F863" s="121" t="s">
        <v>1053</v>
      </c>
      <c r="G863" s="121" t="str">
        <f>'Inventory Takeoff'!C867</f>
        <v>Not Used</v>
      </c>
    </row>
    <row r="864" spans="1:7">
      <c r="A864" s="121">
        <f>'Inventory Takeoff'!B868</f>
        <v>886</v>
      </c>
      <c r="B864" s="121">
        <f>'Inventory Takeoff'!H868</f>
        <v>17.46</v>
      </c>
      <c r="C864" s="121" t="s">
        <v>109</v>
      </c>
      <c r="D864" s="121" t="s">
        <v>1054</v>
      </c>
      <c r="E864" s="271" t="str">
        <f>IF('Inventory Takeoff'!J868="","",'Inventory Takeoff'!J868)</f>
        <v/>
      </c>
      <c r="F864" s="121" t="s">
        <v>1053</v>
      </c>
      <c r="G864" s="121" t="str">
        <f>'Inventory Takeoff'!C868</f>
        <v>Stick Wire</v>
      </c>
    </row>
    <row r="865" spans="1:7">
      <c r="A865" s="121">
        <f>'Inventory Takeoff'!B869</f>
        <v>887</v>
      </c>
      <c r="B865" s="121">
        <f>'Inventory Takeoff'!H869</f>
        <v>0.39</v>
      </c>
      <c r="C865" s="121" t="s">
        <v>109</v>
      </c>
      <c r="D865" s="121" t="s">
        <v>1054</v>
      </c>
      <c r="E865" s="271" t="str">
        <f>IF('Inventory Takeoff'!J869="","",'Inventory Takeoff'!J869)</f>
        <v/>
      </c>
      <c r="F865" s="121" t="s">
        <v>1053</v>
      </c>
      <c r="G865" s="121" t="str">
        <f>'Inventory Takeoff'!C869</f>
        <v>Ladd Shots</v>
      </c>
    </row>
    <row r="866" spans="1:7">
      <c r="A866" s="121">
        <f>'Inventory Takeoff'!B870</f>
        <v>888</v>
      </c>
      <c r="B866" s="121">
        <f>'Inventory Takeoff'!H870</f>
        <v>0</v>
      </c>
      <c r="C866" s="121" t="s">
        <v>109</v>
      </c>
      <c r="D866" s="121" t="s">
        <v>1054</v>
      </c>
      <c r="E866" s="271" t="str">
        <f>IF('Inventory Takeoff'!J870="","",'Inventory Takeoff'!J870)</f>
        <v/>
      </c>
      <c r="F866" s="121" t="s">
        <v>1053</v>
      </c>
      <c r="G866" s="121" t="str">
        <f>'Inventory Takeoff'!C870</f>
        <v>Not Used</v>
      </c>
    </row>
    <row r="867" spans="1:7">
      <c r="A867" s="121">
        <f>'Inventory Takeoff'!B871</f>
        <v>889</v>
      </c>
      <c r="B867" s="121">
        <f>'Inventory Takeoff'!H871</f>
        <v>0</v>
      </c>
      <c r="C867" s="121" t="s">
        <v>109</v>
      </c>
      <c r="D867" s="121" t="s">
        <v>1054</v>
      </c>
      <c r="E867" s="271" t="str">
        <f>IF('Inventory Takeoff'!J871="","",'Inventory Takeoff'!J871)</f>
        <v/>
      </c>
      <c r="F867" s="121" t="s">
        <v>1053</v>
      </c>
      <c r="G867" s="121" t="str">
        <f>'Inventory Takeoff'!C871</f>
        <v>Not Used</v>
      </c>
    </row>
    <row r="868" spans="1:7">
      <c r="A868" s="121">
        <f>'Inventory Takeoff'!B872</f>
        <v>890</v>
      </c>
      <c r="B868" s="121">
        <f>'Inventory Takeoff'!H872</f>
        <v>0</v>
      </c>
      <c r="C868" s="121" t="s">
        <v>109</v>
      </c>
      <c r="D868" s="121" t="s">
        <v>1054</v>
      </c>
      <c r="E868" s="271" t="str">
        <f>IF('Inventory Takeoff'!J872="","",'Inventory Takeoff'!J872)</f>
        <v/>
      </c>
      <c r="F868" s="121" t="s">
        <v>1053</v>
      </c>
      <c r="G868" s="121" t="str">
        <f>'Inventory Takeoff'!C872</f>
        <v>Not Used</v>
      </c>
    </row>
    <row r="869" spans="1:7">
      <c r="A869" s="121">
        <f>'Inventory Takeoff'!B873</f>
        <v>891</v>
      </c>
      <c r="B869" s="121">
        <f>'Inventory Takeoff'!H873</f>
        <v>0</v>
      </c>
      <c r="C869" s="121" t="s">
        <v>109</v>
      </c>
      <c r="D869" s="121" t="s">
        <v>1054</v>
      </c>
      <c r="E869" s="271" t="str">
        <f>IF('Inventory Takeoff'!J873="","",'Inventory Takeoff'!J873)</f>
        <v/>
      </c>
      <c r="F869" s="121" t="s">
        <v>1053</v>
      </c>
      <c r="G869" s="121" t="str">
        <f>'Inventory Takeoff'!C873</f>
        <v>Not Used</v>
      </c>
    </row>
    <row r="870" spans="1:7">
      <c r="A870" s="121">
        <f>'Inventory Takeoff'!B874</f>
        <v>892</v>
      </c>
      <c r="B870" s="121">
        <f>'Inventory Takeoff'!H874</f>
        <v>0</v>
      </c>
      <c r="C870" s="121" t="s">
        <v>109</v>
      </c>
      <c r="D870" s="121" t="s">
        <v>1054</v>
      </c>
      <c r="E870" s="271" t="str">
        <f>IF('Inventory Takeoff'!J874="","",'Inventory Takeoff'!J874)</f>
        <v/>
      </c>
      <c r="F870" s="121" t="s">
        <v>1053</v>
      </c>
      <c r="G870" s="121" t="str">
        <f>'Inventory Takeoff'!C874</f>
        <v>Not Used</v>
      </c>
    </row>
    <row r="871" spans="1:7">
      <c r="A871" s="121">
        <f>'Inventory Takeoff'!B875</f>
        <v>893</v>
      </c>
      <c r="B871" s="121">
        <f>'Inventory Takeoff'!H875</f>
        <v>0</v>
      </c>
      <c r="C871" s="121" t="s">
        <v>109</v>
      </c>
      <c r="D871" s="121" t="s">
        <v>1054</v>
      </c>
      <c r="E871" s="271" t="str">
        <f>IF('Inventory Takeoff'!J875="","",'Inventory Takeoff'!J875)</f>
        <v/>
      </c>
      <c r="F871" s="121" t="s">
        <v>1053</v>
      </c>
      <c r="G871" s="121" t="str">
        <f>'Inventory Takeoff'!C875</f>
        <v>Not Used</v>
      </c>
    </row>
    <row r="872" spans="1:7">
      <c r="A872" s="121">
        <f>'Inventory Takeoff'!B876</f>
        <v>894</v>
      </c>
      <c r="B872" s="121">
        <f>'Inventory Takeoff'!H876</f>
        <v>0</v>
      </c>
      <c r="C872" s="121" t="s">
        <v>109</v>
      </c>
      <c r="D872" s="121" t="s">
        <v>1054</v>
      </c>
      <c r="E872" s="271" t="str">
        <f>IF('Inventory Takeoff'!J876="","",'Inventory Takeoff'!J876)</f>
        <v/>
      </c>
      <c r="F872" s="121" t="s">
        <v>1053</v>
      </c>
      <c r="G872" s="121" t="str">
        <f>'Inventory Takeoff'!C876</f>
        <v>Not Used</v>
      </c>
    </row>
    <row r="873" spans="1:7">
      <c r="A873" s="121">
        <f>'Inventory Takeoff'!B877</f>
        <v>895</v>
      </c>
      <c r="B873" s="121">
        <f>'Inventory Takeoff'!H877</f>
        <v>0</v>
      </c>
      <c r="C873" s="121" t="s">
        <v>109</v>
      </c>
      <c r="D873" s="121" t="s">
        <v>1054</v>
      </c>
      <c r="E873" s="271" t="str">
        <f>IF('Inventory Takeoff'!J877="","",'Inventory Takeoff'!J877)</f>
        <v/>
      </c>
      <c r="F873" s="121" t="s">
        <v>1053</v>
      </c>
      <c r="G873" s="121" t="str">
        <f>'Inventory Takeoff'!C877</f>
        <v>Not Used</v>
      </c>
    </row>
    <row r="874" spans="1:7">
      <c r="A874" s="121">
        <f>'Inventory Takeoff'!B878</f>
        <v>896</v>
      </c>
      <c r="B874" s="121">
        <f>'Inventory Takeoff'!H878</f>
        <v>0</v>
      </c>
      <c r="C874" s="121" t="s">
        <v>109</v>
      </c>
      <c r="D874" s="121" t="s">
        <v>1054</v>
      </c>
      <c r="E874" s="271" t="str">
        <f>IF('Inventory Takeoff'!J878="","",'Inventory Takeoff'!J878)</f>
        <v/>
      </c>
      <c r="F874" s="121" t="s">
        <v>1053</v>
      </c>
      <c r="G874" s="121" t="str">
        <f>'Inventory Takeoff'!C878</f>
        <v>Not Used</v>
      </c>
    </row>
    <row r="875" spans="1:7">
      <c r="A875" s="121">
        <f>'Inventory Takeoff'!B879</f>
        <v>897</v>
      </c>
      <c r="B875" s="121">
        <f>'Inventory Takeoff'!H879</f>
        <v>0</v>
      </c>
      <c r="C875" s="121" t="s">
        <v>109</v>
      </c>
      <c r="D875" s="121" t="s">
        <v>1054</v>
      </c>
      <c r="E875" s="271" t="str">
        <f>IF('Inventory Takeoff'!J879="","",'Inventory Takeoff'!J879)</f>
        <v/>
      </c>
      <c r="F875" s="121" t="s">
        <v>1053</v>
      </c>
      <c r="G875" s="121" t="str">
        <f>'Inventory Takeoff'!C879</f>
        <v>Not Used</v>
      </c>
    </row>
    <row r="876" spans="1:7">
      <c r="A876" s="121">
        <f>'Inventory Takeoff'!B880</f>
        <v>898</v>
      </c>
      <c r="B876" s="121">
        <f>'Inventory Takeoff'!H880</f>
        <v>10.01</v>
      </c>
      <c r="C876" s="121" t="s">
        <v>109</v>
      </c>
      <c r="D876" s="121" t="s">
        <v>1054</v>
      </c>
      <c r="E876" s="271">
        <f>IF('Inventory Takeoff'!J880="","",'Inventory Takeoff'!J880)</f>
        <v>44949</v>
      </c>
      <c r="F876" s="121" t="s">
        <v>1053</v>
      </c>
      <c r="G876" s="121" t="str">
        <f>'Inventory Takeoff'!C880</f>
        <v>Sikaflex</v>
      </c>
    </row>
    <row r="877" spans="1:7">
      <c r="A877" s="121">
        <f>'Inventory Takeoff'!B881</f>
        <v>899</v>
      </c>
      <c r="B877" s="121">
        <f>'Inventory Takeoff'!H881</f>
        <v>1.2</v>
      </c>
      <c r="C877" s="121" t="s">
        <v>109</v>
      </c>
      <c r="D877" s="121" t="s">
        <v>1054</v>
      </c>
      <c r="E877" s="271">
        <f>IF('Inventory Takeoff'!J881="","",'Inventory Takeoff'!J881)</f>
        <v>44949</v>
      </c>
      <c r="F877" s="121" t="s">
        <v>1053</v>
      </c>
      <c r="G877" s="121" t="str">
        <f>'Inventory Takeoff'!C881</f>
        <v>Caddy Clip</v>
      </c>
    </row>
    <row r="878" spans="1:7">
      <c r="A878" s="121">
        <f>'Inventory Takeoff'!B882</f>
        <v>900</v>
      </c>
      <c r="B878" s="121">
        <f>'Inventory Takeoff'!H882</f>
        <v>0</v>
      </c>
      <c r="C878" s="121" t="s">
        <v>109</v>
      </c>
      <c r="D878" s="121" t="s">
        <v>1054</v>
      </c>
      <c r="E878" s="271" t="str">
        <f>IF('Inventory Takeoff'!J882="","",'Inventory Takeoff'!J882)</f>
        <v/>
      </c>
      <c r="F878" s="121" t="s">
        <v>1053</v>
      </c>
      <c r="G878" s="121" t="str">
        <f>'Inventory Takeoff'!C882</f>
        <v>Not Used</v>
      </c>
    </row>
    <row r="879" spans="1:7">
      <c r="A879" s="121">
        <f>'Inventory Takeoff'!B883</f>
        <v>901</v>
      </c>
      <c r="B879" s="121">
        <f>'Inventory Takeoff'!H883</f>
        <v>0</v>
      </c>
      <c r="C879" s="121" t="s">
        <v>109</v>
      </c>
      <c r="D879" s="121" t="s">
        <v>1054</v>
      </c>
      <c r="E879" s="271" t="str">
        <f>IF('Inventory Takeoff'!J883="","",'Inventory Takeoff'!J883)</f>
        <v/>
      </c>
      <c r="F879" s="121" t="s">
        <v>1053</v>
      </c>
      <c r="G879" s="121" t="str">
        <f>'Inventory Takeoff'!C883</f>
        <v>Not Used</v>
      </c>
    </row>
    <row r="880" spans="1:7">
      <c r="A880" s="121">
        <f>'Inventory Takeoff'!B884</f>
        <v>902</v>
      </c>
      <c r="B880" s="121">
        <f>'Inventory Takeoff'!H884</f>
        <v>0</v>
      </c>
      <c r="C880" s="121" t="s">
        <v>109</v>
      </c>
      <c r="D880" s="121" t="s">
        <v>1054</v>
      </c>
      <c r="E880" s="271" t="str">
        <f>IF('Inventory Takeoff'!J884="","",'Inventory Takeoff'!J884)</f>
        <v/>
      </c>
      <c r="F880" s="121" t="s">
        <v>1053</v>
      </c>
      <c r="G880" s="121" t="str">
        <f>'Inventory Takeoff'!C884</f>
        <v>Not Used</v>
      </c>
    </row>
    <row r="881" spans="1:7">
      <c r="A881" s="121">
        <f>'Inventory Takeoff'!B885</f>
        <v>903</v>
      </c>
      <c r="B881" s="121">
        <f>'Inventory Takeoff'!H885</f>
        <v>0.65</v>
      </c>
      <c r="C881" s="121" t="s">
        <v>109</v>
      </c>
      <c r="D881" s="121" t="s">
        <v>1054</v>
      </c>
      <c r="E881" s="271">
        <f>IF('Inventory Takeoff'!J885="","",'Inventory Takeoff'!J885)</f>
        <v>44949</v>
      </c>
      <c r="F881" s="121" t="s">
        <v>1053</v>
      </c>
      <c r="G881" s="121" t="str">
        <f>'Inventory Takeoff'!C885</f>
        <v>TDC Corners</v>
      </c>
    </row>
    <row r="882" spans="1:7">
      <c r="A882" s="121">
        <f>'Inventory Takeoff'!B886</f>
        <v>904</v>
      </c>
      <c r="B882" s="121">
        <f>'Inventory Takeoff'!H886</f>
        <v>0.59</v>
      </c>
      <c r="C882" s="121" t="s">
        <v>109</v>
      </c>
      <c r="D882" s="121" t="s">
        <v>1054</v>
      </c>
      <c r="E882" s="271">
        <f>IF('Inventory Takeoff'!J886="","",'Inventory Takeoff'!J886)</f>
        <v>44949</v>
      </c>
      <c r="F882" s="121" t="s">
        <v>1053</v>
      </c>
      <c r="G882" s="121" t="str">
        <f>'Inventory Takeoff'!C886</f>
        <v>TDC Cleats</v>
      </c>
    </row>
    <row r="883" spans="1:7">
      <c r="A883" s="121">
        <f>'Inventory Takeoff'!B887</f>
        <v>905</v>
      </c>
      <c r="B883" s="121">
        <f>'Inventory Takeoff'!H887</f>
        <v>0</v>
      </c>
      <c r="C883" s="121" t="s">
        <v>109</v>
      </c>
      <c r="D883" s="121" t="s">
        <v>1054</v>
      </c>
      <c r="E883" s="271" t="str">
        <f>IF('Inventory Takeoff'!J887="","",'Inventory Takeoff'!J887)</f>
        <v/>
      </c>
      <c r="F883" s="121" t="s">
        <v>1053</v>
      </c>
      <c r="G883" s="121" t="str">
        <f>'Inventory Takeoff'!C887</f>
        <v>Not Used</v>
      </c>
    </row>
    <row r="884" spans="1:7">
      <c r="A884" s="121">
        <f>'Inventory Takeoff'!B888</f>
        <v>906</v>
      </c>
      <c r="B884" s="121">
        <f>'Inventory Takeoff'!H888</f>
        <v>0</v>
      </c>
      <c r="C884" s="121" t="s">
        <v>109</v>
      </c>
      <c r="D884" s="121" t="s">
        <v>1054</v>
      </c>
      <c r="E884" s="271" t="str">
        <f>IF('Inventory Takeoff'!J888="","",'Inventory Takeoff'!J888)</f>
        <v/>
      </c>
      <c r="F884" s="121" t="s">
        <v>1053</v>
      </c>
      <c r="G884" s="121" t="str">
        <f>'Inventory Takeoff'!C888</f>
        <v>Not Used</v>
      </c>
    </row>
    <row r="885" spans="1:7">
      <c r="A885" s="121">
        <f>'Inventory Takeoff'!B889</f>
        <v>907</v>
      </c>
      <c r="B885" s="121">
        <f>'Inventory Takeoff'!H889</f>
        <v>0</v>
      </c>
      <c r="C885" s="121" t="s">
        <v>109</v>
      </c>
      <c r="D885" s="121" t="s">
        <v>1054</v>
      </c>
      <c r="E885" s="271" t="str">
        <f>IF('Inventory Takeoff'!J889="","",'Inventory Takeoff'!J889)</f>
        <v/>
      </c>
      <c r="F885" s="121" t="s">
        <v>1053</v>
      </c>
      <c r="G885" s="121" t="str">
        <f>'Inventory Takeoff'!C889</f>
        <v>Not Used</v>
      </c>
    </row>
    <row r="886" spans="1:7">
      <c r="A886" s="121">
        <f>'Inventory Takeoff'!B890</f>
        <v>908</v>
      </c>
      <c r="B886" s="121">
        <f>'Inventory Takeoff'!H890</f>
        <v>0</v>
      </c>
      <c r="C886" s="121" t="s">
        <v>109</v>
      </c>
      <c r="D886" s="121" t="s">
        <v>1054</v>
      </c>
      <c r="E886" s="271" t="str">
        <f>IF('Inventory Takeoff'!J890="","",'Inventory Takeoff'!J890)</f>
        <v/>
      </c>
      <c r="F886" s="121" t="s">
        <v>1053</v>
      </c>
      <c r="G886" s="121" t="str">
        <f>'Inventory Takeoff'!C890</f>
        <v>Not Used</v>
      </c>
    </row>
    <row r="887" spans="1:7">
      <c r="A887" s="121">
        <f>'Inventory Takeoff'!B891</f>
        <v>909</v>
      </c>
      <c r="B887" s="121">
        <f>'Inventory Takeoff'!H891</f>
        <v>0</v>
      </c>
      <c r="C887" s="121" t="s">
        <v>109</v>
      </c>
      <c r="D887" s="121" t="s">
        <v>1054</v>
      </c>
      <c r="E887" s="271" t="str">
        <f>IF('Inventory Takeoff'!J891="","",'Inventory Takeoff'!J891)</f>
        <v/>
      </c>
      <c r="F887" s="121" t="s">
        <v>1053</v>
      </c>
      <c r="G887" s="121" t="str">
        <f>'Inventory Takeoff'!C891</f>
        <v>Not Used</v>
      </c>
    </row>
    <row r="888" spans="1:7">
      <c r="A888" s="121">
        <f>'Inventory Takeoff'!B892</f>
        <v>910</v>
      </c>
      <c r="B888" s="121">
        <f>'Inventory Takeoff'!H892</f>
        <v>0</v>
      </c>
      <c r="C888" s="121" t="s">
        <v>109</v>
      </c>
      <c r="D888" s="121" t="s">
        <v>1054</v>
      </c>
      <c r="E888" s="271" t="str">
        <f>IF('Inventory Takeoff'!J892="","",'Inventory Takeoff'!J892)</f>
        <v/>
      </c>
      <c r="F888" s="121" t="s">
        <v>1053</v>
      </c>
      <c r="G888" s="121" t="str">
        <f>'Inventory Takeoff'!C892</f>
        <v>Not Used</v>
      </c>
    </row>
    <row r="889" spans="1:7">
      <c r="A889" s="121">
        <f>'Inventory Takeoff'!B893</f>
        <v>911</v>
      </c>
      <c r="B889" s="121">
        <f>'Inventory Takeoff'!H893</f>
        <v>0.61</v>
      </c>
      <c r="C889" s="121" t="s">
        <v>109</v>
      </c>
      <c r="D889" s="121" t="s">
        <v>1054</v>
      </c>
      <c r="E889" s="271" t="str">
        <f>IF('Inventory Takeoff'!J893="","",'Inventory Takeoff'!J893)</f>
        <v/>
      </c>
      <c r="F889" s="121" t="s">
        <v>1053</v>
      </c>
      <c r="G889" s="121" t="str">
        <f>'Inventory Takeoff'!C893</f>
        <v>Nail-ins</v>
      </c>
    </row>
    <row r="890" spans="1:7">
      <c r="A890" s="121">
        <f>'Inventory Takeoff'!B894</f>
        <v>912</v>
      </c>
      <c r="B890" s="121">
        <f>'Inventory Takeoff'!H894</f>
        <v>30.78</v>
      </c>
      <c r="C890" s="121" t="s">
        <v>109</v>
      </c>
      <c r="D890" s="121" t="s">
        <v>1054</v>
      </c>
      <c r="E890" s="271">
        <f>IF('Inventory Takeoff'!J894="","",'Inventory Takeoff'!J894)</f>
        <v>44949</v>
      </c>
      <c r="F890" s="121" t="s">
        <v>1053</v>
      </c>
      <c r="G890" s="121" t="str">
        <f>'Inventory Takeoff'!C894</f>
        <v>Caulking - "739" Clean Room</v>
      </c>
    </row>
    <row r="891" spans="1:7">
      <c r="A891" s="121">
        <f>'Inventory Takeoff'!B895</f>
        <v>913</v>
      </c>
      <c r="B891" s="121">
        <f>'Inventory Takeoff'!H895</f>
        <v>10.09</v>
      </c>
      <c r="C891" s="121" t="s">
        <v>109</v>
      </c>
      <c r="D891" s="121" t="s">
        <v>1054</v>
      </c>
      <c r="E891" s="271">
        <f>IF('Inventory Takeoff'!J895="","",'Inventory Takeoff'!J895)</f>
        <v>44949</v>
      </c>
      <c r="F891" s="121" t="s">
        <v>1053</v>
      </c>
      <c r="G891" s="121" t="str">
        <f>'Inventory Takeoff'!C895</f>
        <v>Danger/Caution Tape</v>
      </c>
    </row>
    <row r="892" spans="1:7">
      <c r="A892" s="121">
        <f>'Inventory Takeoff'!B896</f>
        <v>914</v>
      </c>
      <c r="B892" s="121">
        <f>'Inventory Takeoff'!H896</f>
        <v>34.54</v>
      </c>
      <c r="C892" s="121" t="s">
        <v>109</v>
      </c>
      <c r="D892" s="121" t="s">
        <v>1054</v>
      </c>
      <c r="E892" s="271">
        <f>IF('Inventory Takeoff'!J896="","",'Inventory Takeoff'!J896)</f>
        <v>44949</v>
      </c>
      <c r="F892" s="121" t="s">
        <v>1053</v>
      </c>
      <c r="G892" s="121" t="str">
        <f>'Inventory Takeoff'!C896</f>
        <v>Dust Masks</v>
      </c>
    </row>
    <row r="893" spans="1:7">
      <c r="A893" s="121">
        <f>'Inventory Takeoff'!B897</f>
        <v>915</v>
      </c>
      <c r="B893" s="121">
        <f>'Inventory Takeoff'!H897</f>
        <v>32.409999999999997</v>
      </c>
      <c r="C893" s="121" t="s">
        <v>109</v>
      </c>
      <c r="D893" s="121" t="s">
        <v>1054</v>
      </c>
      <c r="E893" s="271" t="str">
        <f>IF('Inventory Takeoff'!J897="","",'Inventory Takeoff'!J897)</f>
        <v/>
      </c>
      <c r="F893" s="121" t="s">
        <v>1053</v>
      </c>
      <c r="G893" s="121" t="str">
        <f>'Inventory Takeoff'!C897</f>
        <v>Filter Media</v>
      </c>
    </row>
    <row r="894" spans="1:7">
      <c r="A894" s="121">
        <f>'Inventory Takeoff'!B898</f>
        <v>916</v>
      </c>
      <c r="B894" s="121">
        <f>'Inventory Takeoff'!H898</f>
        <v>33.86</v>
      </c>
      <c r="C894" s="121" t="s">
        <v>109</v>
      </c>
      <c r="D894" s="121" t="s">
        <v>1054</v>
      </c>
      <c r="E894" s="271" t="str">
        <f>IF('Inventory Takeoff'!J898="","",'Inventory Takeoff'!J898)</f>
        <v/>
      </c>
      <c r="F894" s="121" t="s">
        <v>1053</v>
      </c>
      <c r="G894" s="121" t="str">
        <f>'Inventory Takeoff'!C898</f>
        <v>Hardcast Sticky Tape - Roll</v>
      </c>
    </row>
    <row r="895" spans="1:7">
      <c r="A895" s="121">
        <f>'Inventory Takeoff'!B899</f>
        <v>917</v>
      </c>
      <c r="B895" s="121">
        <f>'Inventory Takeoff'!H899</f>
        <v>14.379999999999999</v>
      </c>
      <c r="C895" s="121" t="s">
        <v>109</v>
      </c>
      <c r="D895" s="121" t="s">
        <v>1054</v>
      </c>
      <c r="E895" s="271" t="str">
        <f>IF('Inventory Takeoff'!J899="","",'Inventory Takeoff'!J899)</f>
        <v/>
      </c>
      <c r="F895" s="121" t="s">
        <v>1053</v>
      </c>
      <c r="G895" s="121" t="str">
        <f>'Inventory Takeoff'!C899</f>
        <v>Ladd/Cobra Shot</v>
      </c>
    </row>
    <row r="896" spans="1:7">
      <c r="A896" s="121">
        <f>'Inventory Takeoff'!B900</f>
        <v>918</v>
      </c>
      <c r="B896" s="121">
        <f>'Inventory Takeoff'!H900</f>
        <v>5.28</v>
      </c>
      <c r="C896" s="121" t="s">
        <v>109</v>
      </c>
      <c r="D896" s="121" t="s">
        <v>1054</v>
      </c>
      <c r="E896" s="271" t="str">
        <f>IF('Inventory Takeoff'!J900="","",'Inventory Takeoff'!J900)</f>
        <v/>
      </c>
      <c r="F896" s="121" t="s">
        <v>1053</v>
      </c>
      <c r="G896" s="121" t="str">
        <f>'Inventory Takeoff'!C900</f>
        <v>Ladd/Cobra Pins (Box 100)</v>
      </c>
    </row>
    <row r="897" spans="1:7">
      <c r="A897" s="121">
        <f>'Inventory Takeoff'!B901</f>
        <v>919</v>
      </c>
      <c r="B897" s="121">
        <f>'Inventory Takeoff'!H901</f>
        <v>10.709999999999999</v>
      </c>
      <c r="C897" s="121" t="s">
        <v>109</v>
      </c>
      <c r="D897" s="121" t="s">
        <v>1054</v>
      </c>
      <c r="E897" s="271" t="str">
        <f>IF('Inventory Takeoff'!J901="","",'Inventory Takeoff'!J901)</f>
        <v/>
      </c>
      <c r="F897" s="121" t="s">
        <v>1053</v>
      </c>
      <c r="G897" s="121" t="str">
        <f>'Inventory Takeoff'!C901</f>
        <v>Latex Gloves (100/Box)</v>
      </c>
    </row>
    <row r="898" spans="1:7">
      <c r="A898" s="121">
        <f>'Inventory Takeoff'!B902</f>
        <v>920</v>
      </c>
      <c r="B898" s="121">
        <f>'Inventory Takeoff'!H902</f>
        <v>2.31</v>
      </c>
      <c r="C898" s="121" t="s">
        <v>109</v>
      </c>
      <c r="D898" s="121" t="s">
        <v>1052</v>
      </c>
      <c r="E898" s="271">
        <f>IF('Inventory Takeoff'!J902="","",'Inventory Takeoff'!J902)</f>
        <v>44949</v>
      </c>
      <c r="F898" s="121" t="s">
        <v>1053</v>
      </c>
      <c r="G898" s="121" t="str">
        <f>'Inventory Takeoff'!C902</f>
        <v>Rags</v>
      </c>
    </row>
    <row r="899" spans="1:7">
      <c r="A899" s="121">
        <f>'Inventory Takeoff'!B903</f>
        <v>921</v>
      </c>
      <c r="B899" s="121">
        <f>'Inventory Takeoff'!H903</f>
        <v>6.87</v>
      </c>
      <c r="C899" s="121" t="s">
        <v>109</v>
      </c>
      <c r="D899" s="121" t="s">
        <v>1054</v>
      </c>
      <c r="E899" s="271">
        <f>IF('Inventory Takeoff'!J903="","",'Inventory Takeoff'!J903)</f>
        <v>44949</v>
      </c>
      <c r="F899" s="121" t="s">
        <v>1053</v>
      </c>
      <c r="G899" s="121" t="str">
        <f>'Inventory Takeoff'!C903</f>
        <v>Screw Chuck 3/8</v>
      </c>
    </row>
    <row r="900" spans="1:7">
      <c r="A900" s="121">
        <f>'Inventory Takeoff'!B904</f>
        <v>922</v>
      </c>
      <c r="B900" s="121">
        <f>'Inventory Takeoff'!H904</f>
        <v>11.379999999999999</v>
      </c>
      <c r="C900" s="121" t="s">
        <v>109</v>
      </c>
      <c r="D900" s="121" t="s">
        <v>1054</v>
      </c>
      <c r="E900" s="271">
        <f>IF('Inventory Takeoff'!J904="","",'Inventory Takeoff'!J904)</f>
        <v>44949</v>
      </c>
      <c r="F900" s="121" t="s">
        <v>1053</v>
      </c>
      <c r="G900" s="121" t="str">
        <f>'Inventory Takeoff'!C904</f>
        <v>Screw Chuck 7/16</v>
      </c>
    </row>
    <row r="901" spans="1:7">
      <c r="A901" s="121">
        <f>'Inventory Takeoff'!B905</f>
        <v>923</v>
      </c>
      <c r="B901" s="121">
        <f>'Inventory Takeoff'!H905</f>
        <v>71.45</v>
      </c>
      <c r="C901" s="121" t="s">
        <v>109</v>
      </c>
      <c r="D901" s="121" t="s">
        <v>1054</v>
      </c>
      <c r="E901" s="271" t="str">
        <f>IF('Inventory Takeoff'!J905="","",'Inventory Takeoff'!J905)</f>
        <v/>
      </c>
      <c r="F901" s="121" t="s">
        <v>1053</v>
      </c>
      <c r="G901" s="121" t="str">
        <f>'Inventory Takeoff'!C905</f>
        <v>Scru Seal (hose clamp) (50' Box)</v>
      </c>
    </row>
    <row r="902" spans="1:7">
      <c r="A902" s="121">
        <f>'Inventory Takeoff'!B906</f>
        <v>924</v>
      </c>
      <c r="B902" s="121">
        <f>'Inventory Takeoff'!H906</f>
        <v>31.630000000000003</v>
      </c>
      <c r="C902" s="121" t="s">
        <v>109</v>
      </c>
      <c r="D902" s="121" t="s">
        <v>1054</v>
      </c>
      <c r="E902" s="271" t="str">
        <f>IF('Inventory Takeoff'!J906="","",'Inventory Takeoff'!J906)</f>
        <v/>
      </c>
      <c r="F902" s="121" t="s">
        <v>1053</v>
      </c>
      <c r="G902" s="121" t="str">
        <f>'Inventory Takeoff'!C906</f>
        <v>T-Bar Return</v>
      </c>
    </row>
    <row r="903" spans="1:7">
      <c r="A903" s="121">
        <f>'Inventory Takeoff'!B907</f>
        <v>925</v>
      </c>
      <c r="B903" s="121">
        <f>'Inventory Takeoff'!H907</f>
        <v>31.630000000000003</v>
      </c>
      <c r="C903" s="121" t="s">
        <v>109</v>
      </c>
      <c r="D903" s="121" t="s">
        <v>1054</v>
      </c>
      <c r="E903" s="271" t="str">
        <f>IF('Inventory Takeoff'!J907="","",'Inventory Takeoff'!J907)</f>
        <v/>
      </c>
      <c r="F903" s="121" t="s">
        <v>1053</v>
      </c>
      <c r="G903" s="121" t="str">
        <f>'Inventory Takeoff'!C907</f>
        <v>T-Bar Supply</v>
      </c>
    </row>
    <row r="904" spans="1:7">
      <c r="A904" s="121">
        <f>'Inventory Takeoff'!B908</f>
        <v>926</v>
      </c>
      <c r="B904" s="121">
        <f>'Inventory Takeoff'!H908</f>
        <v>1.56</v>
      </c>
      <c r="C904" s="121" t="s">
        <v>109</v>
      </c>
      <c r="D904" s="121" t="s">
        <v>1054</v>
      </c>
      <c r="E904" s="271" t="str">
        <f>IF('Inventory Takeoff'!J908="","",'Inventory Takeoff'!J908)</f>
        <v/>
      </c>
      <c r="F904" s="121" t="s">
        <v>1053</v>
      </c>
      <c r="G904" s="121" t="str">
        <f>'Inventory Takeoff'!C908</f>
        <v>Unistrut Angle</v>
      </c>
    </row>
    <row r="905" spans="1:7">
      <c r="A905" s="121">
        <f>'Inventory Takeoff'!B909</f>
        <v>927</v>
      </c>
      <c r="B905" s="121">
        <f>'Inventory Takeoff'!H909</f>
        <v>4.17</v>
      </c>
      <c r="C905" s="121" t="s">
        <v>109</v>
      </c>
      <c r="D905" s="121" t="s">
        <v>1052</v>
      </c>
      <c r="E905" s="271">
        <f>IF('Inventory Takeoff'!J909="","",'Inventory Takeoff'!J909)</f>
        <v>45147</v>
      </c>
      <c r="F905" s="121" t="s">
        <v>1053</v>
      </c>
      <c r="G905" s="121" t="str">
        <f>'Inventory Takeoff'!C909</f>
        <v>Unistrut 1 5/8"</v>
      </c>
    </row>
    <row r="906" spans="1:7">
      <c r="A906" s="121">
        <f>'Inventory Takeoff'!B910</f>
        <v>928</v>
      </c>
      <c r="B906" s="121">
        <f>'Inventory Takeoff'!H910</f>
        <v>19.680000000000003</v>
      </c>
      <c r="C906" s="121" t="s">
        <v>109</v>
      </c>
      <c r="D906" s="121" t="s">
        <v>1052</v>
      </c>
      <c r="E906" s="271">
        <f>IF('Inventory Takeoff'!J910="","",'Inventory Takeoff'!J910)</f>
        <v>44949</v>
      </c>
      <c r="F906" s="121" t="s">
        <v>1053</v>
      </c>
      <c r="G906" s="121" t="str">
        <f>'Inventory Takeoff'!C910</f>
        <v>Unistrut Double</v>
      </c>
    </row>
    <row r="907" spans="1:7">
      <c r="A907" s="121">
        <f>'Inventory Takeoff'!B911</f>
        <v>929</v>
      </c>
      <c r="B907" s="121">
        <f>'Inventory Takeoff'!H911</f>
        <v>1.17</v>
      </c>
      <c r="C907" s="121" t="s">
        <v>109</v>
      </c>
      <c r="D907" s="121" t="s">
        <v>1054</v>
      </c>
      <c r="E907" s="271">
        <f>IF('Inventory Takeoff'!J911="","",'Inventory Takeoff'!J911)</f>
        <v>44476</v>
      </c>
      <c r="F907" s="121" t="s">
        <v>1053</v>
      </c>
      <c r="G907" s="121" t="str">
        <f>'Inventory Takeoff'!C911</f>
        <v>Stud Anchors 3/8"</v>
      </c>
    </row>
    <row r="908" spans="1:7">
      <c r="A908" s="121">
        <f>'Inventory Takeoff'!B912</f>
        <v>930</v>
      </c>
      <c r="B908" s="121">
        <f>'Inventory Takeoff'!H912</f>
        <v>1.9</v>
      </c>
      <c r="C908" s="121" t="s">
        <v>109</v>
      </c>
      <c r="D908" s="121" t="s">
        <v>1054</v>
      </c>
      <c r="E908" s="271">
        <f>IF('Inventory Takeoff'!J912="","",'Inventory Takeoff'!J912)</f>
        <v>44476</v>
      </c>
      <c r="F908" s="121" t="s">
        <v>1053</v>
      </c>
      <c r="G908" s="121" t="str">
        <f>'Inventory Takeoff'!C912</f>
        <v>Stud Anchors 1/2"</v>
      </c>
    </row>
    <row r="909" spans="1:7">
      <c r="A909" s="121">
        <f>'Inventory Takeoff'!B913</f>
        <v>931</v>
      </c>
      <c r="B909" s="121">
        <f>'Inventory Takeoff'!H913</f>
        <v>1.23</v>
      </c>
      <c r="C909" s="121" t="s">
        <v>109</v>
      </c>
      <c r="D909" s="121" t="s">
        <v>1052</v>
      </c>
      <c r="E909" s="271" t="str">
        <f>IF('Inventory Takeoff'!J913="","",'Inventory Takeoff'!J913)</f>
        <v/>
      </c>
      <c r="F909" s="121" t="s">
        <v>1053</v>
      </c>
      <c r="G909" s="121" t="str">
        <f>'Inventory Takeoff'!C913</f>
        <v>Wood 2 x 4 - 4 x 4</v>
      </c>
    </row>
    <row r="910" spans="1:7">
      <c r="A910" s="121">
        <f>'Inventory Takeoff'!B914</f>
        <v>932</v>
      </c>
      <c r="B910" s="121">
        <f>'Inventory Takeoff'!H914</f>
        <v>15.709999999999999</v>
      </c>
      <c r="C910" s="121" t="s">
        <v>109</v>
      </c>
      <c r="D910" s="121" t="s">
        <v>1054</v>
      </c>
      <c r="E910" s="271" t="str">
        <f>IF('Inventory Takeoff'!J914="","",'Inventory Takeoff'!J914)</f>
        <v/>
      </c>
      <c r="F910" s="121" t="s">
        <v>1053</v>
      </c>
      <c r="G910" s="121" t="str">
        <f>'Inventory Takeoff'!C914</f>
        <v>Mop Disc - 4" - 60</v>
      </c>
    </row>
    <row r="911" spans="1:7">
      <c r="A911" s="121">
        <f>'Inventory Takeoff'!B915</f>
        <v>933</v>
      </c>
      <c r="B911" s="121">
        <f>'Inventory Takeoff'!H915</f>
        <v>0</v>
      </c>
      <c r="C911" s="121" t="s">
        <v>109</v>
      </c>
      <c r="D911" s="121" t="s">
        <v>1054</v>
      </c>
      <c r="E911" s="271" t="str">
        <f>IF('Inventory Takeoff'!J915="","",'Inventory Takeoff'!J915)</f>
        <v/>
      </c>
      <c r="F911" s="121" t="s">
        <v>1053</v>
      </c>
      <c r="G911" s="121" t="str">
        <f>'Inventory Takeoff'!C915</f>
        <v>Not Used</v>
      </c>
    </row>
    <row r="912" spans="1:7">
      <c r="A912" s="121">
        <f>'Inventory Takeoff'!B916</f>
        <v>934</v>
      </c>
      <c r="B912" s="121">
        <f>'Inventory Takeoff'!H916</f>
        <v>31.02</v>
      </c>
      <c r="C912" s="121" t="s">
        <v>109</v>
      </c>
      <c r="D912" s="121" t="s">
        <v>1054</v>
      </c>
      <c r="E912" s="271">
        <f>IF('Inventory Takeoff'!J916="","",'Inventory Takeoff'!J916)</f>
        <v>44476</v>
      </c>
      <c r="F912" s="121" t="s">
        <v>1053</v>
      </c>
      <c r="G912" s="121" t="str">
        <f>'Inventory Takeoff'!C916</f>
        <v>Foil Tape</v>
      </c>
    </row>
    <row r="913" spans="1:7">
      <c r="A913" s="121">
        <f>'Inventory Takeoff'!B917</f>
        <v>935</v>
      </c>
      <c r="B913" s="121">
        <f>'Inventory Takeoff'!H917</f>
        <v>25.3</v>
      </c>
      <c r="C913" s="121" t="s">
        <v>109</v>
      </c>
      <c r="D913" s="121" t="s">
        <v>1054</v>
      </c>
      <c r="E913" s="271" t="str">
        <f>IF('Inventory Takeoff'!J917="","",'Inventory Takeoff'!J917)</f>
        <v/>
      </c>
      <c r="F913" s="121" t="s">
        <v>1053</v>
      </c>
      <c r="G913" s="121" t="str">
        <f>'Inventory Takeoff'!C917</f>
        <v>2" round SS Dbl Threaded pipe 6"</v>
      </c>
    </row>
    <row r="914" spans="1:7">
      <c r="A914" s="121">
        <f>'Inventory Takeoff'!B918</f>
        <v>936</v>
      </c>
      <c r="B914" s="121">
        <f>'Inventory Takeoff'!H918</f>
        <v>11.76</v>
      </c>
      <c r="C914" s="121" t="s">
        <v>109</v>
      </c>
      <c r="D914" s="121" t="s">
        <v>1054</v>
      </c>
      <c r="E914" s="271" t="str">
        <f>IF('Inventory Takeoff'!J918="","",'Inventory Takeoff'!J918)</f>
        <v/>
      </c>
      <c r="F914" s="121" t="s">
        <v>1053</v>
      </c>
      <c r="G914" s="121" t="str">
        <f>'Inventory Takeoff'!C918</f>
        <v>3/8" x 3/8" SS Tube End Reducer</v>
      </c>
    </row>
    <row r="915" spans="1:7">
      <c r="A915" s="121">
        <f>'Inventory Takeoff'!B919</f>
        <v>937</v>
      </c>
      <c r="B915" s="121">
        <f>'Inventory Takeoff'!H919</f>
        <v>18.98</v>
      </c>
      <c r="C915" s="121" t="s">
        <v>109</v>
      </c>
      <c r="D915" s="121" t="s">
        <v>1054</v>
      </c>
      <c r="E915" s="271">
        <f>IF('Inventory Takeoff'!J919="","",'Inventory Takeoff'!J919)</f>
        <v>44698</v>
      </c>
      <c r="F915" s="121" t="s">
        <v>1053</v>
      </c>
      <c r="G915" s="121" t="str">
        <f>'Inventory Takeoff'!C919</f>
        <v>3/8" SS Comp end fitting</v>
      </c>
    </row>
    <row r="916" spans="1:7">
      <c r="A916" s="121">
        <f>'Inventory Takeoff'!B920</f>
        <v>938</v>
      </c>
      <c r="B916" s="121">
        <f>'Inventory Takeoff'!H920</f>
        <v>13.35</v>
      </c>
      <c r="C916" s="121" t="s">
        <v>109</v>
      </c>
      <c r="D916" s="121" t="s">
        <v>1054</v>
      </c>
      <c r="E916" s="271" t="str">
        <f>IF('Inventory Takeoff'!J920="","",'Inventory Takeoff'!J920)</f>
        <v/>
      </c>
      <c r="F916" s="121" t="s">
        <v>1053</v>
      </c>
      <c r="G916" s="121" t="str">
        <f>'Inventory Takeoff'!C920</f>
        <v>3/4" SS Comp caps</v>
      </c>
    </row>
    <row r="917" spans="1:7">
      <c r="A917" s="121">
        <f>'Inventory Takeoff'!B921</f>
        <v>939</v>
      </c>
      <c r="B917" s="121">
        <f>'Inventory Takeoff'!H921</f>
        <v>28.03</v>
      </c>
      <c r="C917" s="121" t="s">
        <v>109</v>
      </c>
      <c r="D917" s="121" t="s">
        <v>1054</v>
      </c>
      <c r="E917" s="271" t="str">
        <f>IF('Inventory Takeoff'!J921="","",'Inventory Takeoff'!J921)</f>
        <v/>
      </c>
      <c r="F917" s="121" t="s">
        <v>1053</v>
      </c>
      <c r="G917" s="121" t="str">
        <f>'Inventory Takeoff'!C921</f>
        <v>3/4" x 3/4" SS Comp fitting</v>
      </c>
    </row>
    <row r="918" spans="1:7">
      <c r="A918" s="121">
        <f>'Inventory Takeoff'!B922</f>
        <v>940</v>
      </c>
      <c r="B918" s="121">
        <f>'Inventory Takeoff'!H922</f>
        <v>43.4</v>
      </c>
      <c r="C918" s="121" t="s">
        <v>109</v>
      </c>
      <c r="D918" s="121" t="s">
        <v>1054</v>
      </c>
      <c r="E918" s="271" t="str">
        <f>IF('Inventory Takeoff'!J922="","",'Inventory Takeoff'!J922)</f>
        <v/>
      </c>
      <c r="F918" s="121" t="s">
        <v>1053</v>
      </c>
      <c r="G918" s="121" t="str">
        <f>'Inventory Takeoff'!C922</f>
        <v>4" x 2.5" Conc Reducer</v>
      </c>
    </row>
    <row r="919" spans="1:7">
      <c r="A919" s="121">
        <f>'Inventory Takeoff'!B923</f>
        <v>941</v>
      </c>
      <c r="B919" s="121">
        <f>'Inventory Takeoff'!H923</f>
        <v>1.62</v>
      </c>
      <c r="C919" s="121" t="s">
        <v>109</v>
      </c>
      <c r="D919" s="121" t="s">
        <v>1054</v>
      </c>
      <c r="E919" s="271" t="str">
        <f>IF('Inventory Takeoff'!J923="","",'Inventory Takeoff'!J923)</f>
        <v/>
      </c>
      <c r="F919" s="121" t="s">
        <v>1053</v>
      </c>
      <c r="G919" s="121" t="str">
        <f>'Inventory Takeoff'!C923</f>
        <v>4" Round EPDM Ring</v>
      </c>
    </row>
    <row r="920" spans="1:7">
      <c r="A920" s="121">
        <f>'Inventory Takeoff'!B924</f>
        <v>942</v>
      </c>
      <c r="B920" s="121">
        <f>'Inventory Takeoff'!H924</f>
        <v>2.11</v>
      </c>
      <c r="C920" s="121" t="s">
        <v>109</v>
      </c>
      <c r="D920" s="121" t="s">
        <v>1054</v>
      </c>
      <c r="E920" s="271">
        <f>IF('Inventory Takeoff'!J924="","",'Inventory Takeoff'!J924)</f>
        <v>44949</v>
      </c>
      <c r="F920" s="121" t="s">
        <v>1053</v>
      </c>
      <c r="G920" s="121" t="str">
        <f>'Inventory Takeoff'!C924</f>
        <v>6" Round EPDM Ring</v>
      </c>
    </row>
    <row r="921" spans="1:7">
      <c r="A921" s="121">
        <f>'Inventory Takeoff'!B925</f>
        <v>943</v>
      </c>
      <c r="B921" s="121">
        <f>'Inventory Takeoff'!H925</f>
        <v>3.94</v>
      </c>
      <c r="C921" s="121" t="s">
        <v>109</v>
      </c>
      <c r="D921" s="121" t="s">
        <v>1054</v>
      </c>
      <c r="E921" s="271" t="str">
        <f>IF('Inventory Takeoff'!J925="","",'Inventory Takeoff'!J925)</f>
        <v/>
      </c>
      <c r="F921" s="121" t="s">
        <v>1053</v>
      </c>
      <c r="G921" s="121" t="str">
        <f>'Inventory Takeoff'!C925</f>
        <v>8" Round EPDM Ring</v>
      </c>
    </row>
    <row r="922" spans="1:7">
      <c r="A922" s="121">
        <f>'Inventory Takeoff'!B926</f>
        <v>944</v>
      </c>
      <c r="B922" s="121">
        <f>'Inventory Takeoff'!H926</f>
        <v>5.2</v>
      </c>
      <c r="C922" s="121" t="s">
        <v>109</v>
      </c>
      <c r="D922" s="121" t="s">
        <v>1054</v>
      </c>
      <c r="E922" s="271">
        <f>IF('Inventory Takeoff'!J926="","",'Inventory Takeoff'!J926)</f>
        <v>44949</v>
      </c>
      <c r="F922" s="121" t="s">
        <v>1053</v>
      </c>
      <c r="G922" s="121" t="str">
        <f>'Inventory Takeoff'!C926</f>
        <v>10" Round EPDM Ring</v>
      </c>
    </row>
    <row r="923" spans="1:7">
      <c r="A923" s="121">
        <f>'Inventory Takeoff'!B927</f>
        <v>945</v>
      </c>
      <c r="B923" s="121">
        <f>'Inventory Takeoff'!H927</f>
        <v>7.39</v>
      </c>
      <c r="C923" s="121" t="s">
        <v>109</v>
      </c>
      <c r="D923" s="121" t="s">
        <v>1054</v>
      </c>
      <c r="E923" s="271" t="str">
        <f>IF('Inventory Takeoff'!J927="","",'Inventory Takeoff'!J927)</f>
        <v/>
      </c>
      <c r="F923" s="121" t="s">
        <v>1053</v>
      </c>
      <c r="G923" s="121" t="str">
        <f>'Inventory Takeoff'!C927</f>
        <v>12" Round EPDM Ring</v>
      </c>
    </row>
    <row r="924" spans="1:7">
      <c r="A924" s="121">
        <f>'Inventory Takeoff'!B928</f>
        <v>946</v>
      </c>
      <c r="B924" s="121">
        <f>'Inventory Takeoff'!H928</f>
        <v>8.33</v>
      </c>
      <c r="C924" s="121" t="s">
        <v>109</v>
      </c>
      <c r="D924" s="121" t="s">
        <v>1054</v>
      </c>
      <c r="E924" s="271" t="str">
        <f>IF('Inventory Takeoff'!J928="","",'Inventory Takeoff'!J928)</f>
        <v/>
      </c>
      <c r="F924" s="121" t="s">
        <v>1053</v>
      </c>
      <c r="G924" s="121" t="str">
        <f>'Inventory Takeoff'!C928</f>
        <v>14" Round EPDM Ring</v>
      </c>
    </row>
    <row r="925" spans="1:7">
      <c r="A925" s="121">
        <f>'Inventory Takeoff'!B929</f>
        <v>947</v>
      </c>
      <c r="B925" s="121">
        <f>'Inventory Takeoff'!H929</f>
        <v>11.79</v>
      </c>
      <c r="C925" s="121" t="s">
        <v>109</v>
      </c>
      <c r="D925" s="121" t="s">
        <v>1054</v>
      </c>
      <c r="E925" s="271">
        <f>IF('Inventory Takeoff'!J929="","",'Inventory Takeoff'!J929)</f>
        <v>44698</v>
      </c>
      <c r="F925" s="121" t="s">
        <v>1053</v>
      </c>
      <c r="G925" s="121" t="str">
        <f>'Inventory Takeoff'!C929</f>
        <v>3/8" x.065x6" SS tubing</v>
      </c>
    </row>
    <row r="926" spans="1:7">
      <c r="A926" s="121">
        <f>'Inventory Takeoff'!B930</f>
        <v>948</v>
      </c>
      <c r="B926" s="121">
        <f>'Inventory Takeoff'!H930</f>
        <v>73.34</v>
      </c>
      <c r="C926" s="121" t="s">
        <v>109</v>
      </c>
      <c r="D926" s="121" t="s">
        <v>1054</v>
      </c>
      <c r="E926" s="271">
        <f>IF('Inventory Takeoff'!J930="","",'Inventory Takeoff'!J930)</f>
        <v>44698</v>
      </c>
      <c r="F926" s="121" t="s">
        <v>1053</v>
      </c>
      <c r="G926" s="121" t="str">
        <f>'Inventory Takeoff'!C930</f>
        <v>3/8" Test Port</v>
      </c>
    </row>
    <row r="927" spans="1:7">
      <c r="A927" s="121">
        <f>'Inventory Takeoff'!B931</f>
        <v>949</v>
      </c>
      <c r="B927" s="121">
        <f>'Inventory Takeoff'!H931</f>
        <v>0</v>
      </c>
      <c r="C927" s="121" t="s">
        <v>109</v>
      </c>
      <c r="D927" s="121" t="s">
        <v>1054</v>
      </c>
      <c r="E927" s="271" t="str">
        <f>IF('Inventory Takeoff'!J931="","",'Inventory Takeoff'!J931)</f>
        <v/>
      </c>
      <c r="F927" s="121" t="s">
        <v>1053</v>
      </c>
      <c r="G927" s="121" t="str">
        <f>'Inventory Takeoff'!C931</f>
        <v>Not Used</v>
      </c>
    </row>
    <row r="928" spans="1:7">
      <c r="A928" s="121">
        <f>'Inventory Takeoff'!B932</f>
        <v>950</v>
      </c>
      <c r="B928" s="121">
        <f>'Inventory Takeoff'!H932</f>
        <v>0.74</v>
      </c>
      <c r="C928" s="121" t="s">
        <v>109</v>
      </c>
      <c r="D928" s="121" t="s">
        <v>1054</v>
      </c>
      <c r="E928" s="271" t="str">
        <f>IF('Inventory Takeoff'!J932="","",'Inventory Takeoff'!J932)</f>
        <v/>
      </c>
      <c r="F928" s="121" t="s">
        <v>1053</v>
      </c>
      <c r="G928" s="121" t="str">
        <f>'Inventory Takeoff'!C932</f>
        <v>Mileage Charge</v>
      </c>
    </row>
    <row r="929" spans="1:7">
      <c r="A929" s="121">
        <f>'Inventory Takeoff'!B933</f>
        <v>951</v>
      </c>
      <c r="B929" s="121">
        <f>'Inventory Takeoff'!H933</f>
        <v>46.78</v>
      </c>
      <c r="C929" s="121" t="s">
        <v>109</v>
      </c>
      <c r="D929" s="121" t="s">
        <v>1054</v>
      </c>
      <c r="E929" s="271">
        <f>IF('Inventory Takeoff'!J933="","",'Inventory Takeoff'!J933)</f>
        <v>45505</v>
      </c>
      <c r="F929" s="121" t="s">
        <v>1053</v>
      </c>
      <c r="G929" s="121" t="str">
        <f>'Inventory Takeoff'!C933</f>
        <v>6" Elgen Conical W / Damper</v>
      </c>
    </row>
    <row r="930" spans="1:7">
      <c r="A930" s="121">
        <f>'Inventory Takeoff'!B934</f>
        <v>952</v>
      </c>
      <c r="B930" s="121">
        <f>'Inventory Takeoff'!H934</f>
        <v>51.64</v>
      </c>
      <c r="C930" s="121" t="s">
        <v>109</v>
      </c>
      <c r="D930" s="121" t="s">
        <v>1054</v>
      </c>
      <c r="E930" s="271">
        <f>IF('Inventory Takeoff'!J934="","",'Inventory Takeoff'!J934)</f>
        <v>45505</v>
      </c>
      <c r="F930" s="121" t="s">
        <v>1053</v>
      </c>
      <c r="G930" s="121" t="str">
        <f>'Inventory Takeoff'!C934</f>
        <v>8" Elgen Conical W / Damper</v>
      </c>
    </row>
    <row r="931" spans="1:7">
      <c r="A931" s="121">
        <f>'Inventory Takeoff'!B935</f>
        <v>953</v>
      </c>
      <c r="B931" s="121">
        <f>'Inventory Takeoff'!H935</f>
        <v>63.53</v>
      </c>
      <c r="C931" s="121" t="s">
        <v>109</v>
      </c>
      <c r="D931" s="121" t="s">
        <v>1054</v>
      </c>
      <c r="E931" s="271">
        <f>IF('Inventory Takeoff'!J935="","",'Inventory Takeoff'!J935)</f>
        <v>45505</v>
      </c>
      <c r="F931" s="121" t="s">
        <v>1053</v>
      </c>
      <c r="G931" s="121" t="str">
        <f>'Inventory Takeoff'!C935</f>
        <v>10" Elgen Conical W / Damper</v>
      </c>
    </row>
    <row r="932" spans="1:7">
      <c r="A932" s="121">
        <f>'Inventory Takeoff'!B936</f>
        <v>954</v>
      </c>
      <c r="B932" s="121">
        <f>'Inventory Takeoff'!H936</f>
        <v>74.95</v>
      </c>
      <c r="C932" s="121" t="s">
        <v>109</v>
      </c>
      <c r="D932" s="121" t="s">
        <v>1054</v>
      </c>
      <c r="E932" s="271">
        <f>IF('Inventory Takeoff'!J936="","",'Inventory Takeoff'!J936)</f>
        <v>45505</v>
      </c>
      <c r="F932" s="121" t="s">
        <v>1053</v>
      </c>
      <c r="G932" s="121" t="str">
        <f>'Inventory Takeoff'!C936</f>
        <v>12" Elgen Conical W / Damper</v>
      </c>
    </row>
    <row r="933" spans="1:7">
      <c r="A933" s="121">
        <f>'Inventory Takeoff'!B937</f>
        <v>955</v>
      </c>
      <c r="B933" s="121">
        <f>'Inventory Takeoff'!H937</f>
        <v>90.86</v>
      </c>
      <c r="C933" s="121" t="s">
        <v>109</v>
      </c>
      <c r="D933" s="121" t="s">
        <v>1054</v>
      </c>
      <c r="E933" s="271">
        <f>IF('Inventory Takeoff'!J937="","",'Inventory Takeoff'!J937)</f>
        <v>45505</v>
      </c>
      <c r="F933" s="121" t="s">
        <v>1053</v>
      </c>
      <c r="G933" s="121" t="str">
        <f>'Inventory Takeoff'!C937</f>
        <v>14" Elgen Conical W / Damper</v>
      </c>
    </row>
    <row r="934" spans="1:7">
      <c r="A934" s="121">
        <f>'Inventory Takeoff'!B938</f>
        <v>956</v>
      </c>
      <c r="B934" s="121">
        <f>'Inventory Takeoff'!H938</f>
        <v>24.770000000000003</v>
      </c>
      <c r="C934" s="121" t="s">
        <v>109</v>
      </c>
      <c r="D934" s="121" t="s">
        <v>1054</v>
      </c>
      <c r="E934" s="271">
        <f>IF('Inventory Takeoff'!J938="","",'Inventory Takeoff'!J938)</f>
        <v>45505</v>
      </c>
      <c r="F934" s="121" t="s">
        <v>1053</v>
      </c>
      <c r="G934" s="121" t="str">
        <f>'Inventory Takeoff'!C938</f>
        <v>6" Elgen DS</v>
      </c>
    </row>
    <row r="935" spans="1:7">
      <c r="A935" s="121">
        <f>'Inventory Takeoff'!B939</f>
        <v>957</v>
      </c>
      <c r="B935" s="121">
        <f>'Inventory Takeoff'!H939</f>
        <v>26.470000000000002</v>
      </c>
      <c r="C935" s="121" t="s">
        <v>109</v>
      </c>
      <c r="D935" s="121" t="s">
        <v>1054</v>
      </c>
      <c r="E935" s="271">
        <f>IF('Inventory Takeoff'!J939="","",'Inventory Takeoff'!J939)</f>
        <v>45505</v>
      </c>
      <c r="F935" s="121" t="s">
        <v>1053</v>
      </c>
      <c r="G935" s="121" t="str">
        <f>'Inventory Takeoff'!C939</f>
        <v>8" Elgen DS</v>
      </c>
    </row>
    <row r="936" spans="1:7">
      <c r="A936" s="121">
        <f>'Inventory Takeoff'!B940</f>
        <v>958</v>
      </c>
      <c r="B936" s="121">
        <f>'Inventory Takeoff'!H940</f>
        <v>17.27</v>
      </c>
      <c r="C936" s="121" t="s">
        <v>109</v>
      </c>
      <c r="D936" s="121" t="s">
        <v>1054</v>
      </c>
      <c r="E936" s="271" t="str">
        <f>IF('Inventory Takeoff'!J940="","",'Inventory Takeoff'!J940)</f>
        <v/>
      </c>
      <c r="F936" s="121" t="s">
        <v>1053</v>
      </c>
      <c r="G936" s="121" t="str">
        <f>'Inventory Takeoff'!C940</f>
        <v>10" Elgen DS</v>
      </c>
    </row>
    <row r="937" spans="1:7">
      <c r="A937" s="121">
        <f>'Inventory Takeoff'!B941</f>
        <v>959</v>
      </c>
      <c r="B937" s="121">
        <f>'Inventory Takeoff'!H941</f>
        <v>18.430000000000003</v>
      </c>
      <c r="C937" s="121" t="s">
        <v>109</v>
      </c>
      <c r="D937" s="121" t="s">
        <v>1054</v>
      </c>
      <c r="E937" s="271" t="str">
        <f>IF('Inventory Takeoff'!J941="","",'Inventory Takeoff'!J941)</f>
        <v/>
      </c>
      <c r="F937" s="121" t="s">
        <v>1053</v>
      </c>
      <c r="G937" s="121" t="str">
        <f>'Inventory Takeoff'!C941</f>
        <v>12" Elgen DS</v>
      </c>
    </row>
    <row r="938" spans="1:7">
      <c r="A938" s="121">
        <f>'Inventory Takeoff'!B942</f>
        <v>960</v>
      </c>
      <c r="B938" s="121">
        <f>'Inventory Takeoff'!H942</f>
        <v>36.659999999999997</v>
      </c>
      <c r="C938" s="121" t="s">
        <v>109</v>
      </c>
      <c r="D938" s="121" t="s">
        <v>1054</v>
      </c>
      <c r="E938" s="271">
        <f>IF('Inventory Takeoff'!J942="","",'Inventory Takeoff'!J942)</f>
        <v>45505</v>
      </c>
      <c r="F938" s="121" t="s">
        <v>1053</v>
      </c>
      <c r="G938" s="121" t="str">
        <f>'Inventory Takeoff'!C942</f>
        <v>14" Elgen DS</v>
      </c>
    </row>
    <row r="939" spans="1:7">
      <c r="A939" s="121">
        <f>'Inventory Takeoff'!B943</f>
        <v>961</v>
      </c>
      <c r="B939" s="121">
        <f>'Inventory Takeoff'!H943</f>
        <v>138.53</v>
      </c>
      <c r="C939" s="121" t="s">
        <v>109</v>
      </c>
      <c r="D939" s="121" t="s">
        <v>1054</v>
      </c>
      <c r="E939" s="271">
        <f>IF('Inventory Takeoff'!J943="","",'Inventory Takeoff'!J943)</f>
        <v>44698</v>
      </c>
      <c r="F939" s="121" t="s">
        <v>1053</v>
      </c>
      <c r="G939" s="121" t="str">
        <f>'Inventory Takeoff'!C943</f>
        <v>3/4" Test Port</v>
      </c>
    </row>
    <row r="940" spans="1:7">
      <c r="A940" s="121">
        <f>'Inventory Takeoff'!B944</f>
        <v>962</v>
      </c>
      <c r="B940" s="121">
        <f>'Inventory Takeoff'!H944</f>
        <v>81.48</v>
      </c>
      <c r="C940" s="121" t="s">
        <v>109</v>
      </c>
      <c r="D940" s="121" t="s">
        <v>1054</v>
      </c>
      <c r="E940" s="271">
        <f>IF('Inventory Takeoff'!J944="","",'Inventory Takeoff'!J944)</f>
        <v>44698</v>
      </c>
      <c r="F940" s="121" t="s">
        <v>1053</v>
      </c>
      <c r="G940" s="121" t="str">
        <f>'Inventory Takeoff'!C944</f>
        <v>1/2" Test Port</v>
      </c>
    </row>
    <row r="941" spans="1:7">
      <c r="A941" s="121">
        <f>'Inventory Takeoff'!B945</f>
        <v>963</v>
      </c>
      <c r="B941" s="121">
        <f>'Inventory Takeoff'!H945</f>
        <v>69.260000000000005</v>
      </c>
      <c r="C941" s="121" t="s">
        <v>109</v>
      </c>
      <c r="D941" s="121" t="s">
        <v>1054</v>
      </c>
      <c r="E941" s="271">
        <f>IF('Inventory Takeoff'!J945="","",'Inventory Takeoff'!J945)</f>
        <v>44698</v>
      </c>
      <c r="F941" s="121" t="s">
        <v>1053</v>
      </c>
      <c r="G941" s="121" t="str">
        <f>'Inventory Takeoff'!C945</f>
        <v>1/4" Test Port</v>
      </c>
    </row>
    <row r="942" spans="1:7">
      <c r="A942" s="121">
        <f>'Inventory Takeoff'!B946</f>
        <v>964</v>
      </c>
      <c r="B942" s="121">
        <f>'Inventory Takeoff'!H946</f>
        <v>187.41</v>
      </c>
      <c r="C942" s="121" t="s">
        <v>109</v>
      </c>
      <c r="D942" s="121" t="s">
        <v>1054</v>
      </c>
      <c r="E942" s="271">
        <f>IF('Inventory Takeoff'!J946="","",'Inventory Takeoff'!J946)</f>
        <v>44698</v>
      </c>
      <c r="F942" s="121" t="s">
        <v>1053</v>
      </c>
      <c r="G942" s="121" t="str">
        <f>'Inventory Takeoff'!C946</f>
        <v>P-Vent Test Port</v>
      </c>
    </row>
    <row r="943" spans="1:7">
      <c r="A943" s="121">
        <f>'Inventory Takeoff'!B947</f>
        <v>965</v>
      </c>
      <c r="B943" s="121">
        <f>'Inventory Takeoff'!H947</f>
        <v>14.56</v>
      </c>
      <c r="C943" s="121" t="s">
        <v>109</v>
      </c>
      <c r="D943" s="121" t="s">
        <v>1054</v>
      </c>
      <c r="E943" s="271">
        <f>IF('Inventory Takeoff'!J947="","",'Inventory Takeoff'!J947)</f>
        <v>44698</v>
      </c>
      <c r="F943" s="121" t="s">
        <v>1053</v>
      </c>
      <c r="G943" s="121" t="str">
        <f>'Inventory Takeoff'!C947</f>
        <v>Ventlock Handle Set</v>
      </c>
    </row>
    <row r="944" spans="1:7">
      <c r="A944" s="121">
        <f>'Inventory Takeoff'!B948</f>
        <v>966</v>
      </c>
      <c r="B944" s="121">
        <f>'Inventory Takeoff'!H948</f>
        <v>2.92</v>
      </c>
      <c r="C944" s="121" t="s">
        <v>109</v>
      </c>
      <c r="D944" s="121" t="s">
        <v>1054</v>
      </c>
      <c r="E944" s="271">
        <f>IF('Inventory Takeoff'!J948="","",'Inventory Takeoff'!J948)</f>
        <v>44698</v>
      </c>
      <c r="F944" s="121" t="s">
        <v>1053</v>
      </c>
      <c r="G944" s="121" t="str">
        <f>'Inventory Takeoff'!C948</f>
        <v>1/2" S.S. Round Rod</v>
      </c>
    </row>
    <row r="945" spans="1:7">
      <c r="A945" s="121">
        <f>'Inventory Takeoff'!B949</f>
        <v>967</v>
      </c>
      <c r="B945" s="121">
        <f>'Inventory Takeoff'!H949</f>
        <v>2.92</v>
      </c>
      <c r="C945" s="121" t="s">
        <v>109</v>
      </c>
      <c r="D945" s="121" t="s">
        <v>1054</v>
      </c>
      <c r="E945" s="271">
        <f>IF('Inventory Takeoff'!J949="","",'Inventory Takeoff'!J949)</f>
        <v>44698</v>
      </c>
      <c r="F945" s="121" t="s">
        <v>1053</v>
      </c>
      <c r="G945" s="121" t="str">
        <f>'Inventory Takeoff'!C949</f>
        <v>3/8" S.S. Square Rod</v>
      </c>
    </row>
    <row r="946" spans="1:7">
      <c r="A946" s="121">
        <f>'Inventory Takeoff'!B950</f>
        <v>968</v>
      </c>
      <c r="B946" s="121">
        <f>'Inventory Takeoff'!H950</f>
        <v>31.630000000000003</v>
      </c>
      <c r="C946" s="121" t="s">
        <v>109</v>
      </c>
      <c r="D946" s="121" t="s">
        <v>1054</v>
      </c>
      <c r="E946" s="271">
        <f>IF('Inventory Takeoff'!J950="","",'Inventory Takeoff'!J950)</f>
        <v>44698</v>
      </c>
      <c r="F946" s="121" t="s">
        <v>1053</v>
      </c>
      <c r="G946" s="121" t="str">
        <f>'Inventory Takeoff'!C950</f>
        <v>3/4" Swagelok Cap</v>
      </c>
    </row>
    <row r="947" spans="1:7">
      <c r="A947" s="121">
        <f>'Inventory Takeoff'!B951</f>
        <v>969</v>
      </c>
      <c r="B947" s="121">
        <f>'Inventory Takeoff'!H951</f>
        <v>69.58</v>
      </c>
      <c r="C947" s="121" t="s">
        <v>109</v>
      </c>
      <c r="D947" s="121" t="s">
        <v>1054</v>
      </c>
      <c r="E947" s="271">
        <f>IF('Inventory Takeoff'!J951="","",'Inventory Takeoff'!J951)</f>
        <v>44698</v>
      </c>
      <c r="F947" s="121" t="s">
        <v>1053</v>
      </c>
      <c r="G947" s="121" t="str">
        <f>'Inventory Takeoff'!C951</f>
        <v>3/4" Swagelok Port Base</v>
      </c>
    </row>
    <row r="948" spans="1:7">
      <c r="A948" s="121">
        <f>'Inventory Takeoff'!B952</f>
        <v>970</v>
      </c>
      <c r="B948" s="121">
        <f>'Inventory Takeoff'!H952</f>
        <v>34.159999999999997</v>
      </c>
      <c r="C948" s="121" t="s">
        <v>109</v>
      </c>
      <c r="D948" s="121" t="s">
        <v>1054</v>
      </c>
      <c r="E948" s="271">
        <f>IF('Inventory Takeoff'!J952="","",'Inventory Takeoff'!J952)</f>
        <v>44698</v>
      </c>
      <c r="F948" s="121" t="s">
        <v>1053</v>
      </c>
      <c r="G948" s="121" t="str">
        <f>'Inventory Takeoff'!C952</f>
        <v>1/2" Swagelok Port</v>
      </c>
    </row>
    <row r="949" spans="1:7">
      <c r="A949" s="121">
        <f>'Inventory Takeoff'!B953</f>
        <v>971</v>
      </c>
      <c r="B949" s="121">
        <f>'Inventory Takeoff'!H953</f>
        <v>21.51</v>
      </c>
      <c r="C949" s="121" t="s">
        <v>109</v>
      </c>
      <c r="D949" s="121" t="s">
        <v>1054</v>
      </c>
      <c r="E949" s="271">
        <f>IF('Inventory Takeoff'!J953="","",'Inventory Takeoff'!J953)</f>
        <v>44698</v>
      </c>
      <c r="F949" s="121" t="s">
        <v>1053</v>
      </c>
      <c r="G949" s="121" t="str">
        <f>'Inventory Takeoff'!C953</f>
        <v>1/4" Swagelok Port</v>
      </c>
    </row>
    <row r="950" spans="1:7">
      <c r="A950" s="121">
        <f>'Inventory Takeoff'!B954</f>
        <v>972</v>
      </c>
      <c r="B950" s="121">
        <f>'Inventory Takeoff'!H954</f>
        <v>24.040000000000003</v>
      </c>
      <c r="C950" s="121" t="s">
        <v>109</v>
      </c>
      <c r="D950" s="121" t="s">
        <v>1054</v>
      </c>
      <c r="E950" s="271">
        <f>IF('Inventory Takeoff'!J954="","",'Inventory Takeoff'!J954)</f>
        <v>44698</v>
      </c>
      <c r="F950" s="121" t="s">
        <v>1053</v>
      </c>
      <c r="G950" s="121" t="str">
        <f>'Inventory Takeoff'!C954</f>
        <v>3/8" Swagelok Port</v>
      </c>
    </row>
    <row r="951" spans="1:7">
      <c r="A951" s="121">
        <f>'Inventory Takeoff'!B955</f>
        <v>973</v>
      </c>
      <c r="B951" s="121">
        <f>'Inventory Takeoff'!H955</f>
        <v>9.1</v>
      </c>
      <c r="C951" s="121" t="s">
        <v>109</v>
      </c>
      <c r="D951" s="121" t="s">
        <v>1054</v>
      </c>
      <c r="E951" s="271">
        <f>IF('Inventory Takeoff'!J955="","",'Inventory Takeoff'!J955)</f>
        <v>46066</v>
      </c>
      <c r="F951" s="121" t="s">
        <v>1053</v>
      </c>
      <c r="G951" s="121" t="str">
        <f>'Inventory Takeoff'!C955</f>
        <v>Spiral Pipe Connector - 3-7/8"</v>
      </c>
    </row>
    <row r="952" spans="1:7">
      <c r="A952" s="121">
        <f>'Inventory Takeoff'!B956</f>
        <v>974</v>
      </c>
      <c r="B952" s="121">
        <f>'Inventory Takeoff'!H956</f>
        <v>9.6999999999999993</v>
      </c>
      <c r="C952" s="121" t="s">
        <v>109</v>
      </c>
      <c r="D952" s="121" t="s">
        <v>1054</v>
      </c>
      <c r="E952" s="271">
        <f>IF('Inventory Takeoff'!J956="","",'Inventory Takeoff'!J956)</f>
        <v>46066</v>
      </c>
      <c r="F952" s="121" t="s">
        <v>1053</v>
      </c>
      <c r="G952" s="121" t="str">
        <f>'Inventory Takeoff'!C956</f>
        <v>Spiral Pipe Connector - 4-7/8"</v>
      </c>
    </row>
    <row r="953" spans="1:7">
      <c r="A953" s="121">
        <f>'Inventory Takeoff'!B957</f>
        <v>975</v>
      </c>
      <c r="B953" s="121">
        <f>'Inventory Takeoff'!H957</f>
        <v>9.1</v>
      </c>
      <c r="C953" s="121" t="s">
        <v>109</v>
      </c>
      <c r="D953" s="121" t="s">
        <v>1054</v>
      </c>
      <c r="E953" s="271">
        <f>IF('Inventory Takeoff'!J957="","",'Inventory Takeoff'!J957)</f>
        <v>46066</v>
      </c>
      <c r="F953" s="121" t="s">
        <v>1053</v>
      </c>
      <c r="G953" s="121" t="str">
        <f>'Inventory Takeoff'!C957</f>
        <v>Spiral Pipe Connector - 5-7/8"</v>
      </c>
    </row>
    <row r="954" spans="1:7">
      <c r="A954" s="121">
        <f>'Inventory Takeoff'!B958</f>
        <v>976</v>
      </c>
      <c r="B954" s="121">
        <f>'Inventory Takeoff'!H958</f>
        <v>10.77</v>
      </c>
      <c r="C954" s="121" t="s">
        <v>109</v>
      </c>
      <c r="D954" s="121" t="s">
        <v>1054</v>
      </c>
      <c r="E954" s="271">
        <f>IF('Inventory Takeoff'!J958="","",'Inventory Takeoff'!J958)</f>
        <v>46066</v>
      </c>
      <c r="F954" s="121" t="s">
        <v>1053</v>
      </c>
      <c r="G954" s="121" t="str">
        <f>'Inventory Takeoff'!C958</f>
        <v>Spiral Pipe Connector - 6-7/8"</v>
      </c>
    </row>
    <row r="955" spans="1:7">
      <c r="A955" s="121">
        <f>'Inventory Takeoff'!B959</f>
        <v>977</v>
      </c>
      <c r="B955" s="121">
        <f>'Inventory Takeoff'!H959</f>
        <v>10.039999999999999</v>
      </c>
      <c r="C955" s="121" t="s">
        <v>109</v>
      </c>
      <c r="D955" s="121" t="s">
        <v>1054</v>
      </c>
      <c r="E955" s="271">
        <f>IF('Inventory Takeoff'!J959="","",'Inventory Takeoff'!J959)</f>
        <v>46066</v>
      </c>
      <c r="F955" s="121" t="s">
        <v>1053</v>
      </c>
      <c r="G955" s="121" t="str">
        <f>'Inventory Takeoff'!C959</f>
        <v>Spiral Pipe Connector - 7-7/8"</v>
      </c>
    </row>
    <row r="956" spans="1:7">
      <c r="A956" s="121">
        <f>'Inventory Takeoff'!B960</f>
        <v>978</v>
      </c>
      <c r="B956" s="121">
        <f>'Inventory Takeoff'!H960</f>
        <v>10.73</v>
      </c>
      <c r="C956" s="121" t="s">
        <v>109</v>
      </c>
      <c r="D956" s="121" t="s">
        <v>1054</v>
      </c>
      <c r="E956" s="271">
        <f>IF('Inventory Takeoff'!J960="","",'Inventory Takeoff'!J960)</f>
        <v>46066</v>
      </c>
      <c r="F956" s="121" t="s">
        <v>1053</v>
      </c>
      <c r="G956" s="121" t="str">
        <f>'Inventory Takeoff'!C960</f>
        <v>Spiral Pipe Connector - 9-7/8"</v>
      </c>
    </row>
    <row r="957" spans="1:7">
      <c r="A957" s="121">
        <f>'Inventory Takeoff'!B961</f>
        <v>979</v>
      </c>
      <c r="B957" s="121">
        <f>'Inventory Takeoff'!H961</f>
        <v>11.09</v>
      </c>
      <c r="C957" s="121" t="s">
        <v>109</v>
      </c>
      <c r="D957" s="121" t="s">
        <v>1054</v>
      </c>
      <c r="E957" s="271">
        <f>IF('Inventory Takeoff'!J961="","",'Inventory Takeoff'!J961)</f>
        <v>46066</v>
      </c>
      <c r="F957" s="121" t="s">
        <v>1053</v>
      </c>
      <c r="G957" s="121" t="str">
        <f>'Inventory Takeoff'!C961</f>
        <v>Spiral Pipe Connector - 11-7/8"</v>
      </c>
    </row>
    <row r="958" spans="1:7">
      <c r="A958" s="121">
        <f>'Inventory Takeoff'!B962</f>
        <v>980</v>
      </c>
      <c r="B958" s="121">
        <f>'Inventory Takeoff'!H962</f>
        <v>14.209999999999999</v>
      </c>
      <c r="C958" s="121" t="s">
        <v>109</v>
      </c>
      <c r="D958" s="121" t="s">
        <v>1054</v>
      </c>
      <c r="E958" s="271">
        <f>IF('Inventory Takeoff'!J962="","",'Inventory Takeoff'!J962)</f>
        <v>46066</v>
      </c>
      <c r="F958" s="121" t="s">
        <v>1053</v>
      </c>
      <c r="G958" s="121" t="str">
        <f>'Inventory Takeoff'!C962</f>
        <v>Spiral Pipe Connector - 13-7/8"</v>
      </c>
    </row>
    <row r="959" spans="1:7">
      <c r="A959" s="121">
        <f>'Inventory Takeoff'!B963</f>
        <v>981</v>
      </c>
      <c r="B959" s="121">
        <f>'Inventory Takeoff'!H963</f>
        <v>14.25</v>
      </c>
      <c r="C959" s="121" t="s">
        <v>109</v>
      </c>
      <c r="D959" s="121" t="s">
        <v>1054</v>
      </c>
      <c r="E959" s="271">
        <f>IF('Inventory Takeoff'!J963="","",'Inventory Takeoff'!J963)</f>
        <v>46066</v>
      </c>
      <c r="F959" s="121" t="s">
        <v>1053</v>
      </c>
      <c r="G959" s="121" t="str">
        <f>'Inventory Takeoff'!C963</f>
        <v>Spiral Pipe Connector - 15-7/8"</v>
      </c>
    </row>
    <row r="960" spans="1:7">
      <c r="A960" s="121">
        <f>'Inventory Takeoff'!B964</f>
        <v>982</v>
      </c>
      <c r="B960" s="121">
        <f>'Inventory Takeoff'!H964</f>
        <v>18.100000000000001</v>
      </c>
      <c r="C960" s="121" t="s">
        <v>109</v>
      </c>
      <c r="D960" s="121" t="s">
        <v>1054</v>
      </c>
      <c r="E960" s="271">
        <f>IF('Inventory Takeoff'!J964="","",'Inventory Takeoff'!J964)</f>
        <v>46066</v>
      </c>
      <c r="F960" s="121" t="s">
        <v>1053</v>
      </c>
      <c r="G960" s="121" t="str">
        <f>'Inventory Takeoff'!C964</f>
        <v>Spiral Pipe Connector - 17-7/8"</v>
      </c>
    </row>
    <row r="961" spans="1:7">
      <c r="A961" s="121">
        <f>'Inventory Takeoff'!B965</f>
        <v>983</v>
      </c>
      <c r="B961" s="121">
        <f>'Inventory Takeoff'!H965</f>
        <v>19.450000000000003</v>
      </c>
      <c r="C961" s="121" t="s">
        <v>109</v>
      </c>
      <c r="D961" s="121" t="s">
        <v>1054</v>
      </c>
      <c r="E961" s="271">
        <f>IF('Inventory Takeoff'!J965="","",'Inventory Takeoff'!J965)</f>
        <v>46066</v>
      </c>
      <c r="F961" s="121" t="s">
        <v>1053</v>
      </c>
      <c r="G961" s="121" t="str">
        <f>'Inventory Takeoff'!C965</f>
        <v>Spiral Pipe Connector - 19-7/8"</v>
      </c>
    </row>
    <row r="962" spans="1:7">
      <c r="A962" s="121">
        <f>'Inventory Takeoff'!B966</f>
        <v>984</v>
      </c>
      <c r="B962" s="121">
        <f>'Inventory Takeoff'!H966</f>
        <v>21.360000000000003</v>
      </c>
      <c r="C962" s="121" t="s">
        <v>109</v>
      </c>
      <c r="D962" s="121" t="s">
        <v>1054</v>
      </c>
      <c r="E962" s="271">
        <f>IF('Inventory Takeoff'!J966="","",'Inventory Takeoff'!J966)</f>
        <v>46066</v>
      </c>
      <c r="F962" s="121" t="s">
        <v>1053</v>
      </c>
      <c r="G962" s="121" t="str">
        <f>'Inventory Takeoff'!C966</f>
        <v>Spiral Pipe Connector - 21-7/8"</v>
      </c>
    </row>
    <row r="963" spans="1:7">
      <c r="A963" s="121">
        <f>'Inventory Takeoff'!B967</f>
        <v>985</v>
      </c>
      <c r="B963" s="121">
        <f>'Inventory Takeoff'!H967</f>
        <v>20.57</v>
      </c>
      <c r="C963" s="121" t="s">
        <v>109</v>
      </c>
      <c r="D963" s="121" t="s">
        <v>1054</v>
      </c>
      <c r="E963" s="271">
        <f>IF('Inventory Takeoff'!J967="","",'Inventory Takeoff'!J967)</f>
        <v>44949</v>
      </c>
      <c r="F963" s="121" t="s">
        <v>1053</v>
      </c>
      <c r="G963" s="121" t="str">
        <f>'Inventory Takeoff'!C967</f>
        <v>Spiral Pipe Connector - 23-7/8"</v>
      </c>
    </row>
  </sheetData>
  <sheetProtection algorithmName="SHA-512" hashValue="TL8L5LpfkgLCa9JIAk/u68tuLVhgNKX+oRI7/MVapnEQlsJvfq4X7iJNzigy4XA4OvpYugepYy6aoybZ0ATtpQ==" saltValue="TwrGupc9sprNXCCIeP1zpw==" spinCount="100000" sheet="1" objects="1" scenarios="1" formatCells="0" autoFilter="0"/>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5FEA5-8C76-4DD1-8DDF-1B8C3EADCB68}">
  <sheetPr codeName="Sheet12"/>
  <dimension ref="A1:E970"/>
  <sheetViews>
    <sheetView workbookViewId="0">
      <selection activeCell="E964" sqref="C2:E964"/>
    </sheetView>
  </sheetViews>
  <sheetFormatPr defaultColWidth="9.1796875" defaultRowHeight="14.5"/>
  <cols>
    <col min="1" max="1" width="11.1796875" style="286" customWidth="1"/>
    <col min="2" max="2" width="9.453125" style="286" customWidth="1"/>
    <col min="3" max="3" width="34.26953125" style="296" customWidth="1"/>
    <col min="4" max="4" width="11.453125" style="286" customWidth="1"/>
    <col min="5" max="5" width="11.54296875" style="287" customWidth="1"/>
    <col min="6" max="6" width="32.26953125" style="121" customWidth="1"/>
    <col min="7" max="16384" width="9.1796875" style="121"/>
  </cols>
  <sheetData>
    <row r="1" spans="1:5" ht="16" thickBot="1">
      <c r="A1" s="288" t="s">
        <v>1120</v>
      </c>
      <c r="B1" s="288" t="s">
        <v>682</v>
      </c>
      <c r="C1" s="294" t="s">
        <v>65</v>
      </c>
      <c r="D1" s="288" t="s">
        <v>1121</v>
      </c>
      <c r="E1" s="289" t="s">
        <v>1122</v>
      </c>
    </row>
    <row r="2" spans="1:5" ht="16" thickTop="1">
      <c r="A2" s="290">
        <f>'Inventory Takeoff'!B6</f>
        <v>1</v>
      </c>
      <c r="B2" s="290" t="str">
        <f t="shared" ref="B2:B10" si="0">IF(K2+L2=0,"",K2+L2)</f>
        <v/>
      </c>
      <c r="C2" s="298" t="str">
        <f>'Inventory Takeoff'!C6</f>
        <v>26 Gauge Galvanized</v>
      </c>
      <c r="D2" s="290" t="str">
        <f>'Inventory Takeoff'!D6</f>
        <v>Lb</v>
      </c>
      <c r="E2" s="299">
        <f>'Inventory Takeoff'!G6</f>
        <v>1.05</v>
      </c>
    </row>
    <row r="3" spans="1:5" ht="15.5">
      <c r="A3" s="290">
        <f>'Inventory Takeoff'!B7</f>
        <v>2</v>
      </c>
      <c r="B3" s="290" t="str">
        <f t="shared" si="0"/>
        <v/>
      </c>
      <c r="C3" s="295" t="str">
        <f>'Inventory Takeoff'!C7</f>
        <v>24 Gauge Galvanized</v>
      </c>
      <c r="D3" s="297" t="str">
        <f>'Inventory Takeoff'!D7</f>
        <v>Lb</v>
      </c>
      <c r="E3" s="291">
        <f>'Inventory Takeoff'!G7</f>
        <v>1.05</v>
      </c>
    </row>
    <row r="4" spans="1:5" ht="15.5">
      <c r="A4" s="290">
        <f>'Inventory Takeoff'!B8</f>
        <v>3</v>
      </c>
      <c r="B4" s="290" t="str">
        <f t="shared" si="0"/>
        <v/>
      </c>
      <c r="C4" s="295" t="str">
        <f>'Inventory Takeoff'!C8</f>
        <v>22 Gauge Galvanized</v>
      </c>
      <c r="D4" s="297" t="str">
        <f>'Inventory Takeoff'!D8</f>
        <v>Lb</v>
      </c>
      <c r="E4" s="291">
        <f>'Inventory Takeoff'!G8</f>
        <v>1.05</v>
      </c>
    </row>
    <row r="5" spans="1:5" ht="15.5">
      <c r="A5" s="290">
        <f>'Inventory Takeoff'!B9</f>
        <v>4</v>
      </c>
      <c r="B5" s="290" t="str">
        <f t="shared" si="0"/>
        <v/>
      </c>
      <c r="C5" s="295" t="str">
        <f>'Inventory Takeoff'!C9</f>
        <v>20 Gauge Galvanized</v>
      </c>
      <c r="D5" s="297" t="str">
        <f>'Inventory Takeoff'!D9</f>
        <v>Lb</v>
      </c>
      <c r="E5" s="291">
        <f>'Inventory Takeoff'!G9</f>
        <v>1.05</v>
      </c>
    </row>
    <row r="6" spans="1:5" ht="15.5">
      <c r="A6" s="290">
        <f>'Inventory Takeoff'!B10</f>
        <v>5</v>
      </c>
      <c r="B6" s="290" t="str">
        <f t="shared" si="0"/>
        <v/>
      </c>
      <c r="C6" s="295" t="str">
        <f>'Inventory Takeoff'!C10</f>
        <v>18 Gauge Galvanized</v>
      </c>
      <c r="D6" s="297" t="str">
        <f>'Inventory Takeoff'!D10</f>
        <v>Lb</v>
      </c>
      <c r="E6" s="291">
        <f>'Inventory Takeoff'!G10</f>
        <v>1.05</v>
      </c>
    </row>
    <row r="7" spans="1:5" ht="15.5">
      <c r="A7" s="290">
        <f>'Inventory Takeoff'!B11</f>
        <v>6</v>
      </c>
      <c r="B7" s="290" t="str">
        <f t="shared" si="0"/>
        <v/>
      </c>
      <c r="C7" s="295" t="str">
        <f>'Inventory Takeoff'!C11</f>
        <v>16 Gauge Galvanized</v>
      </c>
      <c r="D7" s="297" t="str">
        <f>'Inventory Takeoff'!D11</f>
        <v>Lb</v>
      </c>
      <c r="E7" s="291">
        <f>'Inventory Takeoff'!G11</f>
        <v>1.05</v>
      </c>
    </row>
    <row r="8" spans="1:5" ht="15.5">
      <c r="A8" s="290">
        <f>'Inventory Takeoff'!B12</f>
        <v>7</v>
      </c>
      <c r="B8" s="290" t="str">
        <f t="shared" si="0"/>
        <v/>
      </c>
      <c r="C8" s="295" t="str">
        <f>'Inventory Takeoff'!C12</f>
        <v>14 Gauge Galvanized</v>
      </c>
      <c r="D8" s="297" t="str">
        <f>'Inventory Takeoff'!D12</f>
        <v>Lb</v>
      </c>
      <c r="E8" s="291">
        <f>'Inventory Takeoff'!G12</f>
        <v>1.05</v>
      </c>
    </row>
    <row r="9" spans="1:5" ht="15.5">
      <c r="A9" s="290">
        <f>'Inventory Takeoff'!B13</f>
        <v>8</v>
      </c>
      <c r="B9" s="290" t="str">
        <f t="shared" si="0"/>
        <v/>
      </c>
      <c r="C9" s="295" t="str">
        <f>'Inventory Takeoff'!C13</f>
        <v>12 Gauge Galvanized</v>
      </c>
      <c r="D9" s="297" t="str">
        <f>'Inventory Takeoff'!D13</f>
        <v>Lb</v>
      </c>
      <c r="E9" s="291">
        <f>'Inventory Takeoff'!G13</f>
        <v>1.05</v>
      </c>
    </row>
    <row r="10" spans="1:5" ht="15.5">
      <c r="A10" s="290">
        <f>'Inventory Takeoff'!B14</f>
        <v>9</v>
      </c>
      <c r="B10" s="290" t="str">
        <f t="shared" si="0"/>
        <v/>
      </c>
      <c r="C10" s="295" t="str">
        <f>'Inventory Takeoff'!C14</f>
        <v>10 Gauge Galvanized</v>
      </c>
      <c r="D10" s="297" t="str">
        <f>'Inventory Takeoff'!D14</f>
        <v>Lb</v>
      </c>
      <c r="E10" s="291">
        <f>'Inventory Takeoff'!G14</f>
        <v>1.05</v>
      </c>
    </row>
    <row r="11" spans="1:5" ht="15.5">
      <c r="A11" s="290">
        <f>'Inventory Takeoff'!B15</f>
        <v>10</v>
      </c>
      <c r="B11" s="290"/>
      <c r="C11" s="295" t="str">
        <f>'Inventory Takeoff'!C15</f>
        <v>24 Gauge Stainless Steel - 316</v>
      </c>
      <c r="D11" s="297" t="str">
        <f>'Inventory Takeoff'!D15</f>
        <v>Lb</v>
      </c>
      <c r="E11" s="291">
        <f>'Inventory Takeoff'!G15</f>
        <v>4.8280999999999992</v>
      </c>
    </row>
    <row r="12" spans="1:5" ht="15.5">
      <c r="A12" s="290">
        <f>'Inventory Takeoff'!B16</f>
        <v>11</v>
      </c>
      <c r="B12" s="290" t="e">
        <f>IF(SUMIFS(Ancillary_Length,Ancillary_InventoryCode,A12,Ancillary_BoughtOut,"No")=0,"",SUMIFS(Ancillary_Length,Ancillary_InventoryCode,A12,Ancillary_BoughtOut,"No"))</f>
        <v>#NAME?</v>
      </c>
      <c r="C12" s="295" t="str">
        <f>'Inventory Takeoff'!C16</f>
        <v>Chuck Adapter for Impacts</v>
      </c>
      <c r="D12" s="297" t="str">
        <f>'Inventory Takeoff'!D16</f>
        <v>Each</v>
      </c>
      <c r="E12" s="291">
        <f>'Inventory Takeoff'!G16</f>
        <v>55.46</v>
      </c>
    </row>
    <row r="13" spans="1:5" ht="15.5">
      <c r="A13" s="290">
        <f>'Inventory Takeoff'!B17</f>
        <v>12</v>
      </c>
      <c r="B13" s="290" t="e">
        <f>IF(SUMIFS(Ancillary_Length,Ancillary_InventoryCode,A13,Ancillary_BoughtOut,"No")=0,"",SUMIFS(Ancillary_Length,Ancillary_InventoryCode,A13,Ancillary_BoughtOut,"No"))</f>
        <v>#NAME?</v>
      </c>
      <c r="C13" s="295" t="str">
        <f>'Inventory Takeoff'!C17</f>
        <v>Right Angle Adapter</v>
      </c>
      <c r="D13" s="297" t="str">
        <f>'Inventory Takeoff'!D17</f>
        <v>Each</v>
      </c>
      <c r="E13" s="291">
        <f>'Inventory Takeoff'!G17</f>
        <v>74.199999999999989</v>
      </c>
    </row>
    <row r="14" spans="1:5" ht="15.5">
      <c r="A14" s="290">
        <f>'Inventory Takeoff'!B18</f>
        <v>13</v>
      </c>
      <c r="B14" s="290" t="e">
        <f>IF(SUMIFS(Ancillary_Length,Ancillary_InventoryCode,A14,Ancillary_BoughtOut,"No")=0,"",SUMIFS(Ancillary_Length,Ancillary_InventoryCode,A14,Ancillary_BoughtOut,"No"))</f>
        <v>#NAME?</v>
      </c>
      <c r="C14" s="295" t="str">
        <f>'Inventory Takeoff'!C18</f>
        <v>3/16" Stainless Steel - 316</v>
      </c>
      <c r="D14" s="297" t="str">
        <f>'Inventory Takeoff'!D18</f>
        <v>Lb</v>
      </c>
      <c r="E14" s="291">
        <f>'Inventory Takeoff'!G18</f>
        <v>5.17</v>
      </c>
    </row>
    <row r="15" spans="1:5" ht="15.5">
      <c r="A15" s="290">
        <f>'Inventory Takeoff'!B19</f>
        <v>14</v>
      </c>
      <c r="B15" s="290" t="e">
        <f>IF(SUMIFS(Ancillary_Length,Ancillary_InventoryCode,A15,Ancillary_BoughtOut,"No")=0,"",SUMIFS(Ancillary_Length,Ancillary_InventoryCode,A15,Ancillary_BoughtOut,"No"))</f>
        <v>#NAME?</v>
      </c>
      <c r="C15" s="295" t="str">
        <f>'Inventory Takeoff'!C19</f>
        <v>1/4" Stainless Steel - 316</v>
      </c>
      <c r="D15" s="297" t="str">
        <f>'Inventory Takeoff'!D19</f>
        <v>Lb</v>
      </c>
      <c r="E15" s="291">
        <f>'Inventory Takeoff'!G19</f>
        <v>5.17</v>
      </c>
    </row>
    <row r="16" spans="1:5" ht="15.5">
      <c r="A16" s="290">
        <f>'Inventory Takeoff'!B20</f>
        <v>15</v>
      </c>
      <c r="B16" s="290" t="str">
        <f>IF(SUM(K16:N16)=0,"",SUM(K16:N16))</f>
        <v/>
      </c>
      <c r="C16" s="295" t="str">
        <f>'Inventory Takeoff'!C20</f>
        <v>Not Used</v>
      </c>
      <c r="D16" s="297">
        <f>'Inventory Takeoff'!D20</f>
        <v>0</v>
      </c>
      <c r="E16" s="291">
        <f>'Inventory Takeoff'!G20</f>
        <v>0</v>
      </c>
    </row>
    <row r="17" spans="1:5" ht="15.5">
      <c r="A17" s="290">
        <f>'Inventory Takeoff'!B21</f>
        <v>16</v>
      </c>
      <c r="B17" s="290" t="str">
        <f t="shared" ref="B17:B24" si="1">IF(SUM(K17:N17)=0,"",SUM(K17:N17))</f>
        <v/>
      </c>
      <c r="C17" s="295" t="str">
        <f>'Inventory Takeoff'!C21</f>
        <v>24 Gauge Stainless Steel - 304</v>
      </c>
      <c r="D17" s="297" t="str">
        <f>'Inventory Takeoff'!D21</f>
        <v>Lb</v>
      </c>
      <c r="E17" s="291">
        <f>'Inventory Takeoff'!G21</f>
        <v>2.7529000000000003</v>
      </c>
    </row>
    <row r="18" spans="1:5" ht="15.5">
      <c r="A18" s="290">
        <f>'Inventory Takeoff'!B22</f>
        <v>17</v>
      </c>
      <c r="B18" s="290" t="str">
        <f t="shared" si="1"/>
        <v/>
      </c>
      <c r="C18" s="295" t="str">
        <f>'Inventory Takeoff'!C22</f>
        <v>22 Gauge Stainless Steel - 304</v>
      </c>
      <c r="D18" s="297" t="str">
        <f>'Inventory Takeoff'!D22</f>
        <v>Lb</v>
      </c>
      <c r="E18" s="291">
        <f>'Inventory Takeoff'!G22</f>
        <v>2.7529000000000003</v>
      </c>
    </row>
    <row r="19" spans="1:5" ht="15.5">
      <c r="A19" s="290">
        <f>'Inventory Takeoff'!B23</f>
        <v>18</v>
      </c>
      <c r="B19" s="290" t="str">
        <f t="shared" si="1"/>
        <v/>
      </c>
      <c r="C19" s="295" t="str">
        <f>'Inventory Takeoff'!C23</f>
        <v>20 Gauge Stainless Steel - 304</v>
      </c>
      <c r="D19" s="297" t="str">
        <f>'Inventory Takeoff'!D23</f>
        <v>Lb</v>
      </c>
      <c r="E19" s="291">
        <f>'Inventory Takeoff'!G23</f>
        <v>2.6913999999999998</v>
      </c>
    </row>
    <row r="20" spans="1:5" ht="15.5">
      <c r="A20" s="290">
        <f>'Inventory Takeoff'!B24</f>
        <v>19</v>
      </c>
      <c r="B20" s="290" t="str">
        <f t="shared" si="1"/>
        <v/>
      </c>
      <c r="C20" s="295" t="str">
        <f>'Inventory Takeoff'!C24</f>
        <v>18 Gauge Stainless Steel - 304</v>
      </c>
      <c r="D20" s="297" t="str">
        <f>'Inventory Takeoff'!D24</f>
        <v>Lb</v>
      </c>
      <c r="E20" s="291">
        <f>'Inventory Takeoff'!G24</f>
        <v>2.6913999999999998</v>
      </c>
    </row>
    <row r="21" spans="1:5" ht="15.5">
      <c r="A21" s="290">
        <f>'Inventory Takeoff'!B25</f>
        <v>20</v>
      </c>
      <c r="B21" s="290" t="str">
        <f t="shared" si="1"/>
        <v/>
      </c>
      <c r="C21" s="295" t="str">
        <f>'Inventory Takeoff'!C25</f>
        <v>16 Gauge Stainless Steel - 304</v>
      </c>
      <c r="D21" s="297" t="str">
        <f>'Inventory Takeoff'!D25</f>
        <v>Lb</v>
      </c>
      <c r="E21" s="291">
        <f>'Inventory Takeoff'!G25</f>
        <v>2.6604999999999999</v>
      </c>
    </row>
    <row r="22" spans="1:5" ht="15.5">
      <c r="A22" s="290">
        <f>'Inventory Takeoff'!B26</f>
        <v>21</v>
      </c>
      <c r="B22" s="290" t="str">
        <f t="shared" si="1"/>
        <v/>
      </c>
      <c r="C22" s="295" t="str">
        <f>'Inventory Takeoff'!C26</f>
        <v>14 Gauge Stainless Steel - 304</v>
      </c>
      <c r="D22" s="297" t="str">
        <f>'Inventory Takeoff'!D26</f>
        <v>Lb</v>
      </c>
      <c r="E22" s="291">
        <f>'Inventory Takeoff'!G26</f>
        <v>2.6604999999999999</v>
      </c>
    </row>
    <row r="23" spans="1:5" ht="15.5">
      <c r="A23" s="290">
        <f>'Inventory Takeoff'!B27</f>
        <v>22</v>
      </c>
      <c r="B23" s="290" t="str">
        <f t="shared" si="1"/>
        <v/>
      </c>
      <c r="C23" s="295" t="str">
        <f>'Inventory Takeoff'!C27</f>
        <v>12 Gauge Stainless Steel - 304</v>
      </c>
      <c r="D23" s="297" t="str">
        <f>'Inventory Takeoff'!D27</f>
        <v>Lb</v>
      </c>
      <c r="E23" s="291">
        <f>'Inventory Takeoff'!G27</f>
        <v>2.6604999999999999</v>
      </c>
    </row>
    <row r="24" spans="1:5" ht="15.5">
      <c r="A24" s="290">
        <f>'Inventory Takeoff'!B28</f>
        <v>23</v>
      </c>
      <c r="B24" s="290" t="str">
        <f t="shared" si="1"/>
        <v/>
      </c>
      <c r="C24" s="295" t="str">
        <f>'Inventory Takeoff'!C28</f>
        <v>10 Gauge Stainless Steel - 304</v>
      </c>
      <c r="D24" s="297" t="str">
        <f>'Inventory Takeoff'!D28</f>
        <v>Lb</v>
      </c>
      <c r="E24" s="291">
        <f>'Inventory Takeoff'!G28</f>
        <v>2.6604999999999999</v>
      </c>
    </row>
    <row r="25" spans="1:5" ht="15.5">
      <c r="A25" s="290">
        <f>'Inventory Takeoff'!B29</f>
        <v>24</v>
      </c>
      <c r="B25" s="290" t="str">
        <f t="shared" ref="B25:B43" si="2">IF(K25+L25=0,"",K25+L25)</f>
        <v/>
      </c>
      <c r="C25" s="295" t="str">
        <f>'Inventory Takeoff'!C29</f>
        <v>Sharpies</v>
      </c>
      <c r="D25" s="297" t="str">
        <f>'Inventory Takeoff'!D29</f>
        <v>Box of 12</v>
      </c>
      <c r="E25" s="291">
        <f>'Inventory Takeoff'!G29</f>
        <v>18.03</v>
      </c>
    </row>
    <row r="26" spans="1:5" ht="15.5">
      <c r="A26" s="290">
        <f>'Inventory Takeoff'!B30</f>
        <v>25</v>
      </c>
      <c r="B26" s="290" t="str">
        <f t="shared" si="2"/>
        <v/>
      </c>
      <c r="C26" s="295" t="str">
        <f>'Inventory Takeoff'!C30</f>
        <v>Water</v>
      </c>
      <c r="D26" s="297" t="str">
        <f>'Inventory Takeoff'!D30</f>
        <v>Case of 24</v>
      </c>
      <c r="E26" s="291">
        <f>'Inventory Takeoff'!G30</f>
        <v>8.85</v>
      </c>
    </row>
    <row r="27" spans="1:5" ht="15.5">
      <c r="A27" s="290">
        <f>'Inventory Takeoff'!B31</f>
        <v>26</v>
      </c>
      <c r="B27" s="290" t="str">
        <f t="shared" si="2"/>
        <v/>
      </c>
      <c r="C27" s="295" t="str">
        <f>'Inventory Takeoff'!C31</f>
        <v>Hilti Zip Screw</v>
      </c>
      <c r="D27" s="297" t="str">
        <f>'Inventory Takeoff'!D31</f>
        <v>Each</v>
      </c>
      <c r="E27" s="291">
        <f>'Inventory Takeoff'!G31</f>
        <v>0.08</v>
      </c>
    </row>
    <row r="28" spans="1:5" ht="15.5">
      <c r="A28" s="290">
        <f>'Inventory Takeoff'!B32</f>
        <v>27</v>
      </c>
      <c r="B28" s="290" t="str">
        <f t="shared" si="2"/>
        <v/>
      </c>
      <c r="C28" s="295" t="str">
        <f>'Inventory Takeoff'!C32</f>
        <v>.032 Aluminum</v>
      </c>
      <c r="D28" s="297" t="str">
        <f>'Inventory Takeoff'!D32</f>
        <v>Lb</v>
      </c>
      <c r="E28" s="291">
        <f>'Inventory Takeoff'!G32</f>
        <v>3.3975</v>
      </c>
    </row>
    <row r="29" spans="1:5" ht="15.5">
      <c r="A29" s="290">
        <f>'Inventory Takeoff'!B33</f>
        <v>28</v>
      </c>
      <c r="B29" s="290" t="str">
        <f t="shared" si="2"/>
        <v/>
      </c>
      <c r="C29" s="295" t="str">
        <f>'Inventory Takeoff'!C33</f>
        <v>.040 Aluminum</v>
      </c>
      <c r="D29" s="297" t="str">
        <f>'Inventory Takeoff'!D33</f>
        <v>Lb</v>
      </c>
      <c r="E29" s="291">
        <f>'Inventory Takeoff'!G33</f>
        <v>3.3975</v>
      </c>
    </row>
    <row r="30" spans="1:5" ht="15.5">
      <c r="A30" s="290">
        <f>'Inventory Takeoff'!B34</f>
        <v>29</v>
      </c>
      <c r="B30" s="290" t="str">
        <f t="shared" si="2"/>
        <v/>
      </c>
      <c r="C30" s="295" t="str">
        <f>'Inventory Takeoff'!C34</f>
        <v>.050 Aluminum</v>
      </c>
      <c r="D30" s="297" t="str">
        <f>'Inventory Takeoff'!D34</f>
        <v>Lb</v>
      </c>
      <c r="E30" s="291">
        <f>'Inventory Takeoff'!G34</f>
        <v>3.3499999999999996</v>
      </c>
    </row>
    <row r="31" spans="1:5" ht="15.5">
      <c r="A31" s="290">
        <f>'Inventory Takeoff'!B35</f>
        <v>30</v>
      </c>
      <c r="B31" s="290" t="str">
        <f t="shared" si="2"/>
        <v/>
      </c>
      <c r="C31" s="295" t="str">
        <f>'Inventory Takeoff'!C35</f>
        <v>.063 Aluminum</v>
      </c>
      <c r="D31" s="297" t="str">
        <f>'Inventory Takeoff'!D35</f>
        <v>Lb</v>
      </c>
      <c r="E31" s="291">
        <f>'Inventory Takeoff'!G35</f>
        <v>3.3499999999999996</v>
      </c>
    </row>
    <row r="32" spans="1:5" ht="15.5">
      <c r="A32" s="290">
        <f>'Inventory Takeoff'!B36</f>
        <v>31</v>
      </c>
      <c r="B32" s="290" t="str">
        <f t="shared" si="2"/>
        <v/>
      </c>
      <c r="C32" s="295" t="str">
        <f>'Inventory Takeoff'!C36</f>
        <v>.080 Aluminum</v>
      </c>
      <c r="D32" s="297" t="str">
        <f>'Inventory Takeoff'!D36</f>
        <v>Lb</v>
      </c>
      <c r="E32" s="291">
        <f>'Inventory Takeoff'!G36</f>
        <v>3.3</v>
      </c>
    </row>
    <row r="33" spans="1:5" ht="15.5">
      <c r="A33" s="290">
        <f>'Inventory Takeoff'!B37</f>
        <v>32</v>
      </c>
      <c r="B33" s="290" t="str">
        <f t="shared" si="2"/>
        <v/>
      </c>
      <c r="C33" s="295" t="str">
        <f>'Inventory Takeoff'!C37</f>
        <v>3/16" Stainless Steel - 304</v>
      </c>
      <c r="D33" s="297" t="str">
        <f>'Inventory Takeoff'!D37</f>
        <v>Lb</v>
      </c>
      <c r="E33" s="291">
        <f>'Inventory Takeoff'!G37</f>
        <v>2.8916500000000003</v>
      </c>
    </row>
    <row r="34" spans="1:5" ht="15.5">
      <c r="A34" s="290">
        <f>'Inventory Takeoff'!B38</f>
        <v>33</v>
      </c>
      <c r="B34" s="290" t="str">
        <f t="shared" si="2"/>
        <v/>
      </c>
      <c r="C34" s="295" t="str">
        <f>'Inventory Takeoff'!C38</f>
        <v>1/4" Stainless Steel - 304</v>
      </c>
      <c r="D34" s="297" t="str">
        <f>'Inventory Takeoff'!D38</f>
        <v>Lb</v>
      </c>
      <c r="E34" s="291">
        <f>'Inventory Takeoff'!G38</f>
        <v>2.8916500000000003</v>
      </c>
    </row>
    <row r="35" spans="1:5" ht="15.5">
      <c r="A35" s="290">
        <f>'Inventory Takeoff'!B39</f>
        <v>34</v>
      </c>
      <c r="B35" s="290"/>
      <c r="C35" s="295" t="str">
        <f>'Inventory Takeoff'!C39</f>
        <v>Not Used</v>
      </c>
      <c r="D35" s="297">
        <f>'Inventory Takeoff'!D39</f>
        <v>0</v>
      </c>
      <c r="E35" s="291">
        <f>'Inventory Takeoff'!G39</f>
        <v>0</v>
      </c>
    </row>
    <row r="36" spans="1:5" ht="15.5">
      <c r="A36" s="290">
        <f>'Inventory Takeoff'!B40</f>
        <v>35</v>
      </c>
      <c r="B36" s="290" t="str">
        <f t="shared" si="2"/>
        <v/>
      </c>
      <c r="C36" s="295" t="str">
        <f>'Inventory Takeoff'!C40</f>
        <v>16 Gauge Black Iron</v>
      </c>
      <c r="D36" s="297" t="str">
        <f>'Inventory Takeoff'!D40</f>
        <v>Lb</v>
      </c>
      <c r="E36" s="291">
        <f>'Inventory Takeoff'!G40</f>
        <v>1.1000000000000001</v>
      </c>
    </row>
    <row r="37" spans="1:5" ht="15.5">
      <c r="A37" s="290">
        <f>'Inventory Takeoff'!B41</f>
        <v>36</v>
      </c>
      <c r="B37" s="290" t="str">
        <f t="shared" si="2"/>
        <v/>
      </c>
      <c r="C37" s="295" t="str">
        <f>'Inventory Takeoff'!C41</f>
        <v>14 Gauge Black Iron</v>
      </c>
      <c r="D37" s="297" t="str">
        <f>'Inventory Takeoff'!D41</f>
        <v>Lb</v>
      </c>
      <c r="E37" s="291">
        <f>'Inventory Takeoff'!G41</f>
        <v>1.1000000000000001</v>
      </c>
    </row>
    <row r="38" spans="1:5" ht="15.5">
      <c r="A38" s="290">
        <f>'Inventory Takeoff'!B42</f>
        <v>37</v>
      </c>
      <c r="B38" s="290" t="str">
        <f t="shared" si="2"/>
        <v/>
      </c>
      <c r="C38" s="295" t="str">
        <f>'Inventory Takeoff'!C42</f>
        <v>12 Gauge Black Iron</v>
      </c>
      <c r="D38" s="297" t="str">
        <f>'Inventory Takeoff'!D42</f>
        <v>Lb</v>
      </c>
      <c r="E38" s="291">
        <f>'Inventory Takeoff'!G42</f>
        <v>1.1000000000000001</v>
      </c>
    </row>
    <row r="39" spans="1:5" ht="15.5">
      <c r="A39" s="290">
        <f>'Inventory Takeoff'!B43</f>
        <v>38</v>
      </c>
      <c r="B39" s="290" t="str">
        <f t="shared" si="2"/>
        <v/>
      </c>
      <c r="C39" s="295" t="str">
        <f>'Inventory Takeoff'!C43</f>
        <v>10 Gauge Black Iron</v>
      </c>
      <c r="D39" s="297" t="str">
        <f>'Inventory Takeoff'!D43</f>
        <v>Lb</v>
      </c>
      <c r="E39" s="291">
        <f>'Inventory Takeoff'!G43</f>
        <v>1.1000000000000001</v>
      </c>
    </row>
    <row r="40" spans="1:5" ht="15.5">
      <c r="A40" s="290">
        <f>'Inventory Takeoff'!B44</f>
        <v>39</v>
      </c>
      <c r="B40" s="290"/>
      <c r="C40" s="295" t="str">
        <f>'Inventory Takeoff'!C44</f>
        <v>Not Used</v>
      </c>
      <c r="D40" s="297">
        <f>'Inventory Takeoff'!D44</f>
        <v>0</v>
      </c>
      <c r="E40" s="291">
        <f>'Inventory Takeoff'!G44</f>
        <v>0</v>
      </c>
    </row>
    <row r="41" spans="1:5" ht="15.5">
      <c r="A41" s="290">
        <f>'Inventory Takeoff'!B45</f>
        <v>40</v>
      </c>
      <c r="B41" s="290"/>
      <c r="C41" s="295" t="str">
        <f>'Inventory Takeoff'!C45</f>
        <v>Not Used</v>
      </c>
      <c r="D41" s="297">
        <f>'Inventory Takeoff'!D45</f>
        <v>0</v>
      </c>
      <c r="E41" s="291">
        <f>'Inventory Takeoff'!G45</f>
        <v>0</v>
      </c>
    </row>
    <row r="42" spans="1:5" ht="15.5">
      <c r="A42" s="290">
        <f>'Inventory Takeoff'!B46</f>
        <v>41</v>
      </c>
      <c r="B42" s="290" t="str">
        <f t="shared" si="2"/>
        <v/>
      </c>
      <c r="C42" s="295" t="str">
        <f>'Inventory Takeoff'!C46</f>
        <v>Black Iron 3/16 Plate</v>
      </c>
      <c r="D42" s="297" t="str">
        <f>'Inventory Takeoff'!D46</f>
        <v>Lb</v>
      </c>
      <c r="E42" s="291">
        <f>'Inventory Takeoff'!G46</f>
        <v>1.3900000000000001</v>
      </c>
    </row>
    <row r="43" spans="1:5" ht="15.5">
      <c r="A43" s="290">
        <f>'Inventory Takeoff'!B47</f>
        <v>42</v>
      </c>
      <c r="B43" s="290" t="str">
        <f t="shared" si="2"/>
        <v/>
      </c>
      <c r="C43" s="295" t="str">
        <f>'Inventory Takeoff'!C47</f>
        <v>Black Iron 1/4 Plate</v>
      </c>
      <c r="D43" s="297" t="str">
        <f>'Inventory Takeoff'!D47</f>
        <v>Lb</v>
      </c>
      <c r="E43" s="291">
        <f>'Inventory Takeoff'!G47</f>
        <v>1.3900000000000001</v>
      </c>
    </row>
    <row r="44" spans="1:5" ht="15.5">
      <c r="A44" s="290">
        <f>'Inventory Takeoff'!B48</f>
        <v>43</v>
      </c>
      <c r="B44" s="290" t="e">
        <f t="shared" ref="B44:B50" si="3">IF(SUMIFS(Ancillary_Length,Ancillary_InventoryCode,A44,Ancillary_BoughtOut,"No")=0,"",SUMIFS(Ancillary_Length,Ancillary_InventoryCode,A44,Ancillary_BoughtOut,"No"))</f>
        <v>#NAME?</v>
      </c>
      <c r="C44" s="295" t="str">
        <f>'Inventory Takeoff'!C48</f>
        <v>26 Gauge EG Metal</v>
      </c>
      <c r="D44" s="297" t="str">
        <f>'Inventory Takeoff'!D48</f>
        <v>Lb</v>
      </c>
      <c r="E44" s="291">
        <f>'Inventory Takeoff'!G48</f>
        <v>1.37</v>
      </c>
    </row>
    <row r="45" spans="1:5" ht="15.5">
      <c r="A45" s="290">
        <f>'Inventory Takeoff'!B49</f>
        <v>44</v>
      </c>
      <c r="B45" s="290" t="e">
        <f t="shared" si="3"/>
        <v>#NAME?</v>
      </c>
      <c r="C45" s="295" t="str">
        <f>'Inventory Takeoff'!C49</f>
        <v>24 Gauge EG Metal</v>
      </c>
      <c r="D45" s="297" t="str">
        <f>'Inventory Takeoff'!D49</f>
        <v>Lb</v>
      </c>
      <c r="E45" s="291">
        <f>'Inventory Takeoff'!G49</f>
        <v>1.37</v>
      </c>
    </row>
    <row r="46" spans="1:5" ht="15.5">
      <c r="A46" s="290">
        <f>'Inventory Takeoff'!B50</f>
        <v>45</v>
      </c>
      <c r="B46" s="290" t="e">
        <f t="shared" si="3"/>
        <v>#NAME?</v>
      </c>
      <c r="C46" s="295" t="str">
        <f>'Inventory Takeoff'!C50</f>
        <v>22 Gauge EG Metal</v>
      </c>
      <c r="D46" s="297" t="str">
        <f>'Inventory Takeoff'!D50</f>
        <v>Lb</v>
      </c>
      <c r="E46" s="291">
        <f>'Inventory Takeoff'!G50</f>
        <v>1.37</v>
      </c>
    </row>
    <row r="47" spans="1:5" ht="15.5">
      <c r="A47" s="290">
        <f>'Inventory Takeoff'!B51</f>
        <v>46</v>
      </c>
      <c r="B47" s="290" t="e">
        <f t="shared" si="3"/>
        <v>#NAME?</v>
      </c>
      <c r="C47" s="295" t="str">
        <f>'Inventory Takeoff'!C51</f>
        <v>20 Gauge EG Metal</v>
      </c>
      <c r="D47" s="297" t="str">
        <f>'Inventory Takeoff'!D51</f>
        <v>Lb</v>
      </c>
      <c r="E47" s="291">
        <f>'Inventory Takeoff'!G51</f>
        <v>1.37</v>
      </c>
    </row>
    <row r="48" spans="1:5" ht="15.5">
      <c r="A48" s="290">
        <f>'Inventory Takeoff'!B52</f>
        <v>47</v>
      </c>
      <c r="B48" s="290" t="e">
        <f t="shared" si="3"/>
        <v>#NAME?</v>
      </c>
      <c r="C48" s="295" t="str">
        <f>'Inventory Takeoff'!C52</f>
        <v>18 Gauge EG Metal</v>
      </c>
      <c r="D48" s="297" t="str">
        <f>'Inventory Takeoff'!D52</f>
        <v>Lb</v>
      </c>
      <c r="E48" s="291">
        <f>'Inventory Takeoff'!G52</f>
        <v>1.37</v>
      </c>
    </row>
    <row r="49" spans="1:5" ht="15.5">
      <c r="A49" s="290">
        <f>'Inventory Takeoff'!B53</f>
        <v>48</v>
      </c>
      <c r="B49" s="290" t="e">
        <f t="shared" si="3"/>
        <v>#NAME?</v>
      </c>
      <c r="C49" s="295" t="str">
        <f>'Inventory Takeoff'!C53</f>
        <v>16 Gauge EG Metal</v>
      </c>
      <c r="D49" s="297" t="str">
        <f>'Inventory Takeoff'!D53</f>
        <v>Lb</v>
      </c>
      <c r="E49" s="291">
        <f>'Inventory Takeoff'!G53</f>
        <v>1.37</v>
      </c>
    </row>
    <row r="50" spans="1:5" ht="15.5">
      <c r="A50" s="290">
        <f>'Inventory Takeoff'!B54</f>
        <v>49</v>
      </c>
      <c r="B50" s="290" t="e">
        <f t="shared" si="3"/>
        <v>#NAME?</v>
      </c>
      <c r="C50" s="295" t="str">
        <f>'Inventory Takeoff'!C54</f>
        <v>14 Gauge EG Metal</v>
      </c>
      <c r="D50" s="297" t="str">
        <f>'Inventory Takeoff'!D54</f>
        <v>Lb</v>
      </c>
      <c r="E50" s="291">
        <f>'Inventory Takeoff'!G54</f>
        <v>1.37</v>
      </c>
    </row>
    <row r="51" spans="1:5" ht="15.5">
      <c r="A51" s="290">
        <f>'Inventory Takeoff'!B55</f>
        <v>50</v>
      </c>
      <c r="B51" s="290" t="e">
        <f>IF(SUMIFS(MaterialArea,MaterialName,"PTLK",BoughtOut,"No")=0,"",SUMIFS(MaterialArea,MaterialName,"PTLK",BoughtOut,"No"))</f>
        <v>#NAME?</v>
      </c>
      <c r="C51" s="295" t="str">
        <f>'Inventory Takeoff'!C55</f>
        <v>Painted Metal</v>
      </c>
      <c r="D51" s="297" t="str">
        <f>'Inventory Takeoff'!D55</f>
        <v>Sq Ft</v>
      </c>
      <c r="E51" s="291">
        <f>'Inventory Takeoff'!G55</f>
        <v>3.0300000000000002</v>
      </c>
    </row>
    <row r="52" spans="1:5" ht="15.5">
      <c r="A52" s="290">
        <f>'Inventory Takeoff'!B56</f>
        <v>51</v>
      </c>
      <c r="B52" s="290" t="e">
        <f>IF(SUMIFS(Ancillary_Length,Ancillary_InventoryCode,A52,Ancillary_BoughtOut,"No")=0,"",SUMIFS(Ancillary_Length,Ancillary_InventoryCode,A52,Ancillary_BoughtOut,"No"))</f>
        <v>#NAME?</v>
      </c>
      <c r="C52" s="295" t="str">
        <f>'Inventory Takeoff'!C56</f>
        <v>12 Gauge EG Metal</v>
      </c>
      <c r="D52" s="297" t="str">
        <f>'Inventory Takeoff'!D56</f>
        <v>Lb</v>
      </c>
      <c r="E52" s="292">
        <f>'Inventory Takeoff'!G56</f>
        <v>1.37</v>
      </c>
    </row>
    <row r="53" spans="1:5" ht="15.5">
      <c r="A53" s="290">
        <f>'Inventory Takeoff'!B57</f>
        <v>52</v>
      </c>
      <c r="B53" s="290" t="str">
        <f>IF(K53+L53=0,"",K53+L53)</f>
        <v/>
      </c>
      <c r="C53" s="295" t="str">
        <f>'Inventory Takeoff'!C57</f>
        <v>22 Gauge Stainless Steel - 316</v>
      </c>
      <c r="D53" s="297" t="str">
        <f>'Inventory Takeoff'!D57</f>
        <v>Lb</v>
      </c>
      <c r="E53" s="292">
        <f>'Inventory Takeoff'!G57</f>
        <v>4.8280999999999992</v>
      </c>
    </row>
    <row r="54" spans="1:5" ht="15.5">
      <c r="A54" s="290">
        <f>'Inventory Takeoff'!B58</f>
        <v>53</v>
      </c>
      <c r="B54" s="290" t="str">
        <f>IF(K54+L54=0,"",K54+L54)</f>
        <v/>
      </c>
      <c r="C54" s="295" t="str">
        <f>'Inventory Takeoff'!C58</f>
        <v>20 Gauge Stainless Steel - 316</v>
      </c>
      <c r="D54" s="297" t="str">
        <f>'Inventory Takeoff'!D58</f>
        <v>Lb</v>
      </c>
      <c r="E54" s="292">
        <f>'Inventory Takeoff'!G58</f>
        <v>4.8280999999999992</v>
      </c>
    </row>
    <row r="55" spans="1:5" ht="15.5">
      <c r="A55" s="290">
        <f>'Inventory Takeoff'!B59</f>
        <v>54</v>
      </c>
      <c r="B55" s="290" t="e">
        <f t="shared" ref="B55:B69" si="4">IF(SUMIFS(Ancillary_Qty,Ancillary_InventoryCode,A55)=0,"",SUMIFS(Ancillary_Qty,Ancillary_InventoryCode,A55))</f>
        <v>#NAME?</v>
      </c>
      <c r="C55" s="295" t="str">
        <f>'Inventory Takeoff'!C59</f>
        <v>Duct Access Door 6 x 6</v>
      </c>
      <c r="D55" s="297" t="str">
        <f>'Inventory Takeoff'!D59</f>
        <v>Each</v>
      </c>
      <c r="E55" s="292">
        <f>'Inventory Takeoff'!G59</f>
        <v>45.290000000000006</v>
      </c>
    </row>
    <row r="56" spans="1:5" ht="15.5">
      <c r="A56" s="290">
        <f>'Inventory Takeoff'!B60</f>
        <v>55</v>
      </c>
      <c r="B56" s="290" t="e">
        <f t="shared" si="4"/>
        <v>#NAME?</v>
      </c>
      <c r="C56" s="295" t="str">
        <f>'Inventory Takeoff'!C60</f>
        <v>Duct Access Door 8 x 8</v>
      </c>
      <c r="D56" s="297" t="str">
        <f>'Inventory Takeoff'!D60</f>
        <v>Each</v>
      </c>
      <c r="E56" s="292">
        <f>'Inventory Takeoff'!G60</f>
        <v>51.72</v>
      </c>
    </row>
    <row r="57" spans="1:5" ht="15.5">
      <c r="A57" s="290">
        <f>'Inventory Takeoff'!B61</f>
        <v>56</v>
      </c>
      <c r="B57" s="290" t="e">
        <f t="shared" si="4"/>
        <v>#NAME?</v>
      </c>
      <c r="C57" s="295" t="str">
        <f>'Inventory Takeoff'!C61</f>
        <v>Duct Access Door 10 x 10</v>
      </c>
      <c r="D57" s="297" t="str">
        <f>'Inventory Takeoff'!D61</f>
        <v>Each</v>
      </c>
      <c r="E57" s="292">
        <f>'Inventory Takeoff'!G61</f>
        <v>64.400000000000006</v>
      </c>
    </row>
    <row r="58" spans="1:5" ht="15.5">
      <c r="A58" s="290">
        <f>'Inventory Takeoff'!B62</f>
        <v>57</v>
      </c>
      <c r="B58" s="290" t="e">
        <f t="shared" si="4"/>
        <v>#NAME?</v>
      </c>
      <c r="C58" s="295" t="str">
        <f>'Inventory Takeoff'!C62</f>
        <v>Duct Access Door 12 x 12</v>
      </c>
      <c r="D58" s="297" t="str">
        <f>'Inventory Takeoff'!D62</f>
        <v>Each</v>
      </c>
      <c r="E58" s="292">
        <f>'Inventory Takeoff'!G62</f>
        <v>66.7</v>
      </c>
    </row>
    <row r="59" spans="1:5" ht="15.5">
      <c r="A59" s="290">
        <f>'Inventory Takeoff'!B63</f>
        <v>58</v>
      </c>
      <c r="B59" s="290" t="e">
        <f t="shared" si="4"/>
        <v>#NAME?</v>
      </c>
      <c r="C59" s="295" t="str">
        <f>'Inventory Takeoff'!C63</f>
        <v>Duct Access Door 14 x 14</v>
      </c>
      <c r="D59" s="297" t="str">
        <f>'Inventory Takeoff'!D63</f>
        <v>Each</v>
      </c>
      <c r="E59" s="292">
        <f>'Inventory Takeoff'!G63</f>
        <v>83.95</v>
      </c>
    </row>
    <row r="60" spans="1:5" ht="15.5">
      <c r="A60" s="290">
        <f>'Inventory Takeoff'!B64</f>
        <v>59</v>
      </c>
      <c r="B60" s="290" t="e">
        <f t="shared" si="4"/>
        <v>#NAME?</v>
      </c>
      <c r="C60" s="295" t="str">
        <f>'Inventory Takeoff'!C64</f>
        <v>Duct Access Door 16 x 16</v>
      </c>
      <c r="D60" s="297" t="str">
        <f>'Inventory Takeoff'!D64</f>
        <v>Each</v>
      </c>
      <c r="E60" s="292">
        <f>'Inventory Takeoff'!G64</f>
        <v>95.45</v>
      </c>
    </row>
    <row r="61" spans="1:5" ht="15.5">
      <c r="A61" s="290">
        <f>'Inventory Takeoff'!B65</f>
        <v>60</v>
      </c>
      <c r="B61" s="290" t="e">
        <f t="shared" si="4"/>
        <v>#NAME?</v>
      </c>
      <c r="C61" s="295" t="str">
        <f>'Inventory Takeoff'!C65</f>
        <v>Duct Access Door 18 x 18</v>
      </c>
      <c r="D61" s="297" t="str">
        <f>'Inventory Takeoff'!D65</f>
        <v>Each</v>
      </c>
      <c r="E61" s="292">
        <f>'Inventory Takeoff'!G65</f>
        <v>117.3</v>
      </c>
    </row>
    <row r="62" spans="1:5" ht="15.5">
      <c r="A62" s="290">
        <f>'Inventory Takeoff'!B66</f>
        <v>61</v>
      </c>
      <c r="B62" s="290" t="str">
        <f>IF(K62+L62=0,"",K62+L62)</f>
        <v/>
      </c>
      <c r="C62" s="295" t="str">
        <f>'Inventory Takeoff'!C66</f>
        <v>18 Gauge Stainless Steel - 316</v>
      </c>
      <c r="D62" s="297" t="str">
        <f>'Inventory Takeoff'!D66</f>
        <v>Lb</v>
      </c>
      <c r="E62" s="292">
        <f>'Inventory Takeoff'!G66</f>
        <v>4.8280999999999992</v>
      </c>
    </row>
    <row r="63" spans="1:5" ht="15.5">
      <c r="A63" s="290">
        <f>'Inventory Takeoff'!B67</f>
        <v>62</v>
      </c>
      <c r="B63" s="290" t="e">
        <f t="shared" si="4"/>
        <v>#NAME?</v>
      </c>
      <c r="C63" s="295" t="str">
        <f>'Inventory Takeoff'!C67</f>
        <v>Duct Access Door 24 x 24</v>
      </c>
      <c r="D63" s="297" t="str">
        <f>'Inventory Takeoff'!D67</f>
        <v>Each</v>
      </c>
      <c r="E63" s="292">
        <f>'Inventory Takeoff'!G67</f>
        <v>164.45</v>
      </c>
    </row>
    <row r="64" spans="1:5" ht="15.5">
      <c r="A64" s="290">
        <f>'Inventory Takeoff'!B68</f>
        <v>63</v>
      </c>
      <c r="B64" s="290" t="e">
        <f t="shared" si="4"/>
        <v>#NAME?</v>
      </c>
      <c r="C64" s="295" t="str">
        <f>'Inventory Takeoff'!C68</f>
        <v>A-D Latch 1/4"</v>
      </c>
      <c r="D64" s="297" t="str">
        <f>'Inventory Takeoff'!D68</f>
        <v>Each</v>
      </c>
      <c r="E64" s="292">
        <f>'Inventory Takeoff'!G68</f>
        <v>2.1</v>
      </c>
    </row>
    <row r="65" spans="1:5" ht="15.5">
      <c r="A65" s="290">
        <f>'Inventory Takeoff'!B69</f>
        <v>64</v>
      </c>
      <c r="B65" s="290" t="e">
        <f t="shared" si="4"/>
        <v>#NAME?</v>
      </c>
      <c r="C65" s="295" t="str">
        <f>'Inventory Takeoff'!C69</f>
        <v>A-D Latch 3/8"</v>
      </c>
      <c r="D65" s="297" t="str">
        <f>'Inventory Takeoff'!D69</f>
        <v>Each</v>
      </c>
      <c r="E65" s="292">
        <f>'Inventory Takeoff'!G69</f>
        <v>3.03</v>
      </c>
    </row>
    <row r="66" spans="1:5" ht="15.5">
      <c r="A66" s="290">
        <f>'Inventory Takeoff'!B70</f>
        <v>65</v>
      </c>
      <c r="B66" s="290" t="e">
        <f t="shared" si="4"/>
        <v>#NAME?</v>
      </c>
      <c r="C66" s="295" t="str">
        <f>'Inventory Takeoff'!C70</f>
        <v>A-D Latch 1/2"</v>
      </c>
      <c r="D66" s="297" t="str">
        <f>'Inventory Takeoff'!D70</f>
        <v>Each</v>
      </c>
      <c r="E66" s="292">
        <f>'Inventory Takeoff'!G70</f>
        <v>5.85</v>
      </c>
    </row>
    <row r="67" spans="1:5" ht="15.5">
      <c r="A67" s="290">
        <f>'Inventory Takeoff'!B71</f>
        <v>66</v>
      </c>
      <c r="B67" s="290" t="e">
        <f t="shared" si="4"/>
        <v>#NAME?</v>
      </c>
      <c r="C67" s="295" t="str">
        <f>'Inventory Takeoff'!C71</f>
        <v>Access Door Suitcase Latch</v>
      </c>
      <c r="D67" s="297" t="str">
        <f>'Inventory Takeoff'!D71</f>
        <v>Each</v>
      </c>
      <c r="E67" s="292">
        <f>'Inventory Takeoff'!G71</f>
        <v>1.3299999999999998</v>
      </c>
    </row>
    <row r="68" spans="1:5" ht="15.5">
      <c r="A68" s="290">
        <f>'Inventory Takeoff'!B72</f>
        <v>67</v>
      </c>
      <c r="B68" s="290" t="e">
        <f t="shared" si="4"/>
        <v>#NAME?</v>
      </c>
      <c r="C68" s="295" t="str">
        <f>'Inventory Takeoff'!C72</f>
        <v>Access Door Sash Locks</v>
      </c>
      <c r="D68" s="297" t="str">
        <f>'Inventory Takeoff'!D72</f>
        <v>Each</v>
      </c>
      <c r="E68" s="292">
        <f>'Inventory Takeoff'!G72</f>
        <v>1.3499999999999999</v>
      </c>
    </row>
    <row r="69" spans="1:5" ht="15.5">
      <c r="A69" s="290">
        <f>'Inventory Takeoff'!B73</f>
        <v>68</v>
      </c>
      <c r="B69" s="290" t="e">
        <f t="shared" si="4"/>
        <v>#NAME?</v>
      </c>
      <c r="C69" s="295" t="str">
        <f>'Inventory Takeoff'!C73</f>
        <v>Access Door Greaser Duct 8 x 12</v>
      </c>
      <c r="D69" s="297" t="str">
        <f>'Inventory Takeoff'!D73</f>
        <v>Each</v>
      </c>
      <c r="E69" s="292">
        <f>'Inventory Takeoff'!G73</f>
        <v>263.35000000000002</v>
      </c>
    </row>
    <row r="70" spans="1:5" ht="15.5">
      <c r="A70" s="290">
        <f>'Inventory Takeoff'!B74</f>
        <v>69</v>
      </c>
      <c r="B70" s="290" t="e">
        <f>IF(SUMIFS(Ancillary_Length,Ancillary_InventoryCode,A70,Ancillary_BoughtOut,"No")=0,"",SUMIFS(Ancillary_Length,Ancillary_InventoryCode,A70,Ancillary_BoughtOut,"No",Ancillary_Name,"*shop*")/100)</f>
        <v>#NAME?</v>
      </c>
      <c r="C70" s="295" t="str">
        <f>'Inventory Takeoff'!C74</f>
        <v>Adhesive</v>
      </c>
      <c r="D70" s="297" t="str">
        <f>'Inventory Takeoff'!D74</f>
        <v>Gallon</v>
      </c>
      <c r="E70" s="292">
        <f>'Inventory Takeoff'!G74</f>
        <v>21.2</v>
      </c>
    </row>
    <row r="71" spans="1:5" ht="15.5">
      <c r="A71" s="290">
        <f>'Inventory Takeoff'!B75</f>
        <v>70</v>
      </c>
      <c r="B71" s="290" t="e">
        <f>IF(SUMIFS(Ancillary_Length,Ancillary_InventoryCode,A71,Ancillary_BoughtOut,"No")=0,"",SUMIFS(Ancillary_Length,Ancillary_InventoryCode,A71,Ancillary_BoughtOut,"No"))</f>
        <v>#NAME?</v>
      </c>
      <c r="C71" s="295" t="str">
        <f>'Inventory Takeoff'!C75</f>
        <v>Adhesive Spray Glue Can</v>
      </c>
      <c r="D71" s="297" t="str">
        <f>'Inventory Takeoff'!D75</f>
        <v>Each</v>
      </c>
      <c r="E71" s="292">
        <f>'Inventory Takeoff'!G75</f>
        <v>13.11</v>
      </c>
    </row>
    <row r="72" spans="1:5" ht="15.5">
      <c r="A72" s="290">
        <f>'Inventory Takeoff'!B76</f>
        <v>71</v>
      </c>
      <c r="B72" s="290" t="e">
        <f>IF(SUMIFS(Ancillary_Length,Ancillary_InventoryCode,A72,Ancillary_BoughtOut,"No")=0,"",SUMIFS(Ancillary_Length,Ancillary_InventoryCode,A72,Ancillary_BoughtOut,"No"))</f>
        <v>#NAME?</v>
      </c>
      <c r="C72" s="295" t="str">
        <f>'Inventory Takeoff'!C76</f>
        <v>Allthread 1/4"</v>
      </c>
      <c r="D72" s="297" t="str">
        <f>'Inventory Takeoff'!D76</f>
        <v>Foot</v>
      </c>
      <c r="E72" s="292">
        <f>'Inventory Takeoff'!G76</f>
        <v>0.28999999999999998</v>
      </c>
    </row>
    <row r="73" spans="1:5" ht="15.5">
      <c r="A73" s="290">
        <f>'Inventory Takeoff'!B77</f>
        <v>72</v>
      </c>
      <c r="B73" s="290" t="e">
        <f>IF(SUMIFS(Ancillary_Length,Ancillary_InventoryCode,A73,Ancillary_BoughtOut,"No")=0,"",SUMIFS(Ancillary_Length,Ancillary_InventoryCode,A73,Ancillary_BoughtOut,"No"))</f>
        <v>#NAME?</v>
      </c>
      <c r="C73" s="295" t="str">
        <f>'Inventory Takeoff'!C77</f>
        <v>Allthread 3/8"</v>
      </c>
      <c r="D73" s="297" t="str">
        <f>'Inventory Takeoff'!D77</f>
        <v>Foot</v>
      </c>
      <c r="E73" s="292">
        <f>'Inventory Takeoff'!G77</f>
        <v>0.38</v>
      </c>
    </row>
    <row r="74" spans="1:5" ht="15.5">
      <c r="A74" s="290">
        <f>'Inventory Takeoff'!B78</f>
        <v>73</v>
      </c>
      <c r="B74" s="290" t="e">
        <f>IF(SUMIFS(Ancillary_Length,Ancillary_InventoryCode,A74,Ancillary_BoughtOut,"No")=0,"",SUMIFS(Ancillary_Length,Ancillary_InventoryCode,A74,Ancillary_BoughtOut,"No"))</f>
        <v>#NAME?</v>
      </c>
      <c r="C74" s="295" t="str">
        <f>'Inventory Takeoff'!C78</f>
        <v>Allthread 1/2"</v>
      </c>
      <c r="D74" s="297" t="str">
        <f>'Inventory Takeoff'!D78</f>
        <v>Foot</v>
      </c>
      <c r="E74" s="292">
        <f>'Inventory Takeoff'!G78</f>
        <v>0.76</v>
      </c>
    </row>
    <row r="75" spans="1:5" ht="15.5">
      <c r="A75" s="290">
        <f>'Inventory Takeoff'!B79</f>
        <v>74</v>
      </c>
      <c r="B75" s="290" t="e">
        <f>IF(SUMIFS(Ancillary_Length,Ancillary_InventoryCode,A75,Ancillary_BoughtOut,"No")=0,"",SUMIFS(Ancillary_Length,Ancillary_InventoryCode,A75,Ancillary_BoughtOut,"No"))</f>
        <v>#NAME?</v>
      </c>
      <c r="C75" s="295" t="str">
        <f>'Inventory Takeoff'!C79</f>
        <v>Allthread 5/8"</v>
      </c>
      <c r="D75" s="297" t="str">
        <f>'Inventory Takeoff'!D79</f>
        <v>Foot</v>
      </c>
      <c r="E75" s="292">
        <f>'Inventory Takeoff'!G79</f>
        <v>1.94</v>
      </c>
    </row>
    <row r="76" spans="1:5" ht="15.5">
      <c r="A76" s="290">
        <f>'Inventory Takeoff'!B80</f>
        <v>75</v>
      </c>
      <c r="B76" s="290" t="e">
        <f>IF(SUMIFS(Ancillary_Length,Ancillary_InventoryCode,A76,Ancillary_BoughtOut,"No")=0,"",SUMIFS(Ancillary_Length,Ancillary_InventoryCode,A76,Ancillary_BoughtOut,"No"))</f>
        <v>#NAME?</v>
      </c>
      <c r="C76" s="295" t="str">
        <f>'Inventory Takeoff'!C80</f>
        <v>Allthread 3/4"</v>
      </c>
      <c r="D76" s="297" t="str">
        <f>'Inventory Takeoff'!D80</f>
        <v>Foot</v>
      </c>
      <c r="E76" s="292">
        <f>'Inventory Takeoff'!G80</f>
        <v>2.9099999999999997</v>
      </c>
    </row>
    <row r="77" spans="1:5" ht="15.5">
      <c r="A77" s="290">
        <f>'Inventory Takeoff'!B81</f>
        <v>76</v>
      </c>
      <c r="B77" s="290" t="e">
        <f>IF(SUMIFS(Ancillary_Length,Ancillary_InventoryCode,A77,Ancillary_BoughtOut,"No")=0,"",SUMIFS(Ancillary_Length,Ancillary_InventoryCode,A77,Ancillary_BoughtOut,"No"))</f>
        <v>#NAME?</v>
      </c>
      <c r="C77" s="295" t="str">
        <f>'Inventory Takeoff'!C81</f>
        <v>A-F Ells 1/4"</v>
      </c>
      <c r="D77" s="297" t="str">
        <f>'Inventory Takeoff'!D81</f>
        <v>Each</v>
      </c>
      <c r="E77" s="292">
        <f>'Inventory Takeoff'!G81</f>
        <v>0.36</v>
      </c>
    </row>
    <row r="78" spans="1:5" ht="15.5">
      <c r="A78" s="290">
        <f>'Inventory Takeoff'!B82</f>
        <v>77</v>
      </c>
      <c r="B78" s="290" t="e">
        <f>IF(SUMIFS(Ancillary_Qty,Ancillary_InventoryCode,A78,Ancillary_BoughtOut,"No")=0,"",SUMIFS(Ancillary_Qty,Ancillary_InventoryCode,A78,Ancillary_BoughtOut,"No"))</f>
        <v>#NAME?</v>
      </c>
      <c r="C78" s="295" t="str">
        <f>'Inventory Takeoff'!C82</f>
        <v>Anchor Flush Ells 3/8"</v>
      </c>
      <c r="D78" s="297" t="str">
        <f>'Inventory Takeoff'!D82</f>
        <v>Each</v>
      </c>
      <c r="E78" s="292">
        <f>'Inventory Takeoff'!G82</f>
        <v>0.38</v>
      </c>
    </row>
    <row r="79" spans="1:5" ht="15.5">
      <c r="A79" s="290">
        <f>'Inventory Takeoff'!B83</f>
        <v>78</v>
      </c>
      <c r="B79" s="290" t="e">
        <f>IF(SUMIFS(Ancillary_Qty,Ancillary_InventoryCode,A79,Ancillary_BoughtOut,"No")=0,"",SUMIFS(Ancillary_Qty,Ancillary_InventoryCode,A79,Ancillary_BoughtOut,"No"))</f>
        <v>#NAME?</v>
      </c>
      <c r="C79" s="295" t="str">
        <f>'Inventory Takeoff'!C83</f>
        <v>Anchor Flush Ells 1/2"</v>
      </c>
      <c r="D79" s="297" t="str">
        <f>'Inventory Takeoff'!D83</f>
        <v>Each</v>
      </c>
      <c r="E79" s="292">
        <f>'Inventory Takeoff'!G83</f>
        <v>0.94000000000000006</v>
      </c>
    </row>
    <row r="80" spans="1:5" ht="15.5">
      <c r="A80" s="290">
        <f>'Inventory Takeoff'!B84</f>
        <v>79</v>
      </c>
      <c r="B80" s="290" t="e">
        <f>IF(SUMIFS(Ancillary_Qty,Ancillary_InventoryCode,A80,Ancillary_BoughtOut,"No")=0,"",SUMIFS(Ancillary_Qty,Ancillary_InventoryCode,A80,Ancillary_BoughtOut,"No"))</f>
        <v>#NAME?</v>
      </c>
      <c r="C80" s="295" t="str">
        <f>'Inventory Takeoff'!C84</f>
        <v>Anchor Flush Ells 5/8"</v>
      </c>
      <c r="D80" s="297" t="str">
        <f>'Inventory Takeoff'!D84</f>
        <v>Each</v>
      </c>
      <c r="E80" s="292">
        <f>'Inventory Takeoff'!G84</f>
        <v>1.2999999999999998</v>
      </c>
    </row>
    <row r="81" spans="1:5" ht="15.5">
      <c r="A81" s="290">
        <f>'Inventory Takeoff'!B85</f>
        <v>80</v>
      </c>
      <c r="B81" s="290" t="e">
        <f>IF(SUMIFS(Ancillary_Qty,Ancillary_InventoryCode,A81,Ancillary_BoughtOut,"No")=0,"",SUMIFS(Ancillary_Qty,Ancillary_InventoryCode,A81,Ancillary_BoughtOut,"No"))</f>
        <v>#NAME?</v>
      </c>
      <c r="C81" s="295" t="str">
        <f>'Inventory Takeoff'!C85</f>
        <v>Anchor Flush Ells 3/4"</v>
      </c>
      <c r="D81" s="297" t="str">
        <f>'Inventory Takeoff'!D85</f>
        <v>Each</v>
      </c>
      <c r="E81" s="292">
        <f>'Inventory Takeoff'!G85</f>
        <v>2.79</v>
      </c>
    </row>
    <row r="82" spans="1:5" ht="15.5">
      <c r="A82" s="290">
        <f>'Inventory Takeoff'!B86</f>
        <v>81</v>
      </c>
      <c r="B82" s="290" t="e">
        <f>IF(SUMIFS(Ancillary_Qty,Ancillary_InventoryCode,A82,Ancillary_BoughtOut,"No")=0,"",SUMIFS(Ancillary_Qty,Ancillary_InventoryCode,A82,Ancillary_BoughtOut,"No"))</f>
        <v>#NAME?</v>
      </c>
      <c r="C82" s="295" t="str">
        <f>'Inventory Takeoff'!C86</f>
        <v>Anchor Flush 1/4 x 1 7/8</v>
      </c>
      <c r="D82" s="297" t="str">
        <f>'Inventory Takeoff'!D86</f>
        <v>Each</v>
      </c>
      <c r="E82" s="292">
        <f>'Inventory Takeoff'!G86</f>
        <v>0.33</v>
      </c>
    </row>
    <row r="83" spans="1:5" ht="15.5">
      <c r="A83" s="290">
        <f>'Inventory Takeoff'!B87</f>
        <v>82</v>
      </c>
      <c r="B83" s="290" t="e">
        <f>IF(SUMIFS(Ancillary_Length,Ancillary_InventoryCode,A83,Ancillary_BoughtOut,"No")=0,"",SUMIFS(Ancillary_Length,Ancillary_InventoryCode,A83,Ancillary_BoughtOut,"No"))</f>
        <v>#NAME?</v>
      </c>
      <c r="C83" s="295" t="str">
        <f>'Inventory Takeoff'!C87</f>
        <v>3/8" Strut Washers</v>
      </c>
      <c r="D83" s="297" t="str">
        <f>'Inventory Takeoff'!D87</f>
        <v>Each</v>
      </c>
      <c r="E83" s="292">
        <f>'Inventory Takeoff'!G87</f>
        <v>1.04</v>
      </c>
    </row>
    <row r="84" spans="1:5" ht="15.5">
      <c r="A84" s="290">
        <f>'Inventory Takeoff'!B88</f>
        <v>83</v>
      </c>
      <c r="B84" s="290" t="e">
        <f>IF(SUMIFS(Ancillary_Length,Ancillary_InventoryCode,A84,Ancillary_BoughtOut,"No")=0,"",SUMIFS(Ancillary_Length,Ancillary_InventoryCode,A84,Ancillary_BoughtOut,"No"))</f>
        <v>#NAME?</v>
      </c>
      <c r="C84" s="295" t="str">
        <f>'Inventory Takeoff'!C88</f>
        <v>1/2" Strut Washers</v>
      </c>
      <c r="D84" s="297" t="str">
        <f>'Inventory Takeoff'!D88</f>
        <v>Each</v>
      </c>
      <c r="E84" s="292">
        <f>'Inventory Takeoff'!G88</f>
        <v>1.04</v>
      </c>
    </row>
    <row r="85" spans="1:5" ht="15.5">
      <c r="A85" s="290">
        <f>'Inventory Takeoff'!B89</f>
        <v>84</v>
      </c>
      <c r="B85" s="290" t="e">
        <f>IF(SUMIFS(Ancillary_Length,Ancillary_InventoryCode,A85,Ancillary_BoughtOut,"No")=0,"",SUMIFS(Ancillary_Length,Ancillary_InventoryCode,A85,Ancillary_BoughtOut,"No"))</f>
        <v>#NAME?</v>
      </c>
      <c r="C85" s="295" t="str">
        <f>'Inventory Takeoff'!C89</f>
        <v>4 Mil. Trash Bags (Fish Bags)</v>
      </c>
      <c r="D85" s="297" t="str">
        <f>'Inventory Takeoff'!D89</f>
        <v>Each</v>
      </c>
      <c r="E85" s="292">
        <f>'Inventory Takeoff'!G89</f>
        <v>4.42</v>
      </c>
    </row>
    <row r="86" spans="1:5" ht="15.5">
      <c r="A86" s="290">
        <f>'Inventory Takeoff'!B90</f>
        <v>85</v>
      </c>
      <c r="B86" s="290" t="e">
        <f t="shared" ref="B86:B125" si="5">IF(SUMIFS(Ancillary_Length,Ancillary_InventoryCode,A86,Ancillary_BoughtOut,"No")=0,"",SUMIFS(Ancillary_Length,Ancillary_InventoryCode,A86,Ancillary_BoughtOut,"No"))</f>
        <v>#NAME?</v>
      </c>
      <c r="C86" s="295" t="str">
        <f>'Inventory Takeoff'!C90</f>
        <v>P1026 Strut 90 Bracket</v>
      </c>
      <c r="D86" s="297" t="str">
        <f>'Inventory Takeoff'!D90</f>
        <v>Each</v>
      </c>
      <c r="E86" s="292">
        <f>'Inventory Takeoff'!G90</f>
        <v>2.12</v>
      </c>
    </row>
    <row r="87" spans="1:5" ht="15.5">
      <c r="A87" s="290">
        <f>'Inventory Takeoff'!B91</f>
        <v>86</v>
      </c>
      <c r="B87" s="290" t="e">
        <f t="shared" si="5"/>
        <v>#NAME?</v>
      </c>
      <c r="C87" s="295" t="str">
        <f>'Inventory Takeoff'!C91</f>
        <v>P1325 Strut Fitting 4-Hole</v>
      </c>
      <c r="D87" s="297" t="str">
        <f>'Inventory Takeoff'!D91</f>
        <v>Each</v>
      </c>
      <c r="E87" s="292">
        <f>'Inventory Takeoff'!G91</f>
        <v>5.13</v>
      </c>
    </row>
    <row r="88" spans="1:5" ht="15.5">
      <c r="A88" s="290">
        <f>'Inventory Takeoff'!B92</f>
        <v>87</v>
      </c>
      <c r="B88" s="290" t="e">
        <f t="shared" si="5"/>
        <v>#NAME?</v>
      </c>
      <c r="C88" s="295" t="str">
        <f>'Inventory Takeoff'!C92</f>
        <v>Clean Room Tape</v>
      </c>
      <c r="D88" s="297" t="str">
        <f>'Inventory Takeoff'!D92</f>
        <v>Roll</v>
      </c>
      <c r="E88" s="292">
        <f>'Inventory Takeoff'!G92</f>
        <v>12.83</v>
      </c>
    </row>
    <row r="89" spans="1:5" ht="15.5">
      <c r="A89" s="290">
        <f>'Inventory Takeoff'!B93</f>
        <v>88</v>
      </c>
      <c r="B89" s="290" t="e">
        <f t="shared" si="5"/>
        <v>#NAME?</v>
      </c>
      <c r="C89" s="295" t="str">
        <f>'Inventory Takeoff'!C93</f>
        <v>Vinyl Hanger Strap</v>
      </c>
      <c r="D89" s="297" t="str">
        <f>'Inventory Takeoff'!D93</f>
        <v>Roll</v>
      </c>
      <c r="E89" s="292">
        <f>'Inventory Takeoff'!G93</f>
        <v>44.87</v>
      </c>
    </row>
    <row r="90" spans="1:5" ht="15.5">
      <c r="A90" s="290">
        <f>'Inventory Takeoff'!B94</f>
        <v>89</v>
      </c>
      <c r="B90" s="290" t="e">
        <f t="shared" si="5"/>
        <v>#NAME?</v>
      </c>
      <c r="C90" s="295" t="str">
        <f>'Inventory Takeoff'!C94</f>
        <v>Shrink Wrap</v>
      </c>
      <c r="D90" s="297" t="str">
        <f>'Inventory Takeoff'!D94</f>
        <v>Roll</v>
      </c>
      <c r="E90" s="292">
        <f>'Inventory Takeoff'!G94</f>
        <v>15.43</v>
      </c>
    </row>
    <row r="91" spans="1:5" ht="15.5">
      <c r="A91" s="290">
        <f>'Inventory Takeoff'!B95</f>
        <v>90</v>
      </c>
      <c r="B91" s="290" t="str">
        <f>IF(K91+L91=0,"",K91+L91)</f>
        <v/>
      </c>
      <c r="C91" s="295" t="str">
        <f>'Inventory Takeoff'!C95</f>
        <v>16 Gauge Stainless Steel - 316</v>
      </c>
      <c r="D91" s="297" t="str">
        <f>'Inventory Takeoff'!D95</f>
        <v>Lb</v>
      </c>
      <c r="E91" s="292">
        <f>'Inventory Takeoff'!G95</f>
        <v>4.8280999999999992</v>
      </c>
    </row>
    <row r="92" spans="1:5" ht="15.5">
      <c r="A92" s="290">
        <f>'Inventory Takeoff'!B96</f>
        <v>91</v>
      </c>
      <c r="B92" s="290" t="str">
        <f>IF(K92+L92=0,"",K92+L92)</f>
        <v/>
      </c>
      <c r="C92" s="295" t="str">
        <f>'Inventory Takeoff'!C96</f>
        <v>14 Gauge Stainless Steel - 316</v>
      </c>
      <c r="D92" s="297" t="str">
        <f>'Inventory Takeoff'!D96</f>
        <v>Lb</v>
      </c>
      <c r="E92" s="292">
        <f>'Inventory Takeoff'!G96</f>
        <v>5.17</v>
      </c>
    </row>
    <row r="93" spans="1:5" ht="15.5">
      <c r="A93" s="290">
        <f>'Inventory Takeoff'!B97</f>
        <v>92</v>
      </c>
      <c r="B93" s="290" t="str">
        <f>IF(K93+L93=0,"",K93+L93)</f>
        <v/>
      </c>
      <c r="C93" s="295" t="str">
        <f>'Inventory Takeoff'!C97</f>
        <v>12 Gauge Stainless Steel - 316</v>
      </c>
      <c r="D93" s="297" t="str">
        <f>'Inventory Takeoff'!D97</f>
        <v>Lb</v>
      </c>
      <c r="E93" s="292">
        <f>'Inventory Takeoff'!G97</f>
        <v>5.17</v>
      </c>
    </row>
    <row r="94" spans="1:5" ht="15.5">
      <c r="A94" s="290">
        <f>'Inventory Takeoff'!B98</f>
        <v>93</v>
      </c>
      <c r="B94" s="290" t="str">
        <f>IF(K94+L94=0,"",K94+L94)</f>
        <v/>
      </c>
      <c r="C94" s="295" t="str">
        <f>'Inventory Takeoff'!C98</f>
        <v>10 Gauge Stainless Steel - 316</v>
      </c>
      <c r="D94" s="297" t="str">
        <f>'Inventory Takeoff'!D98</f>
        <v>Lb</v>
      </c>
      <c r="E94" s="292">
        <f>'Inventory Takeoff'!G98</f>
        <v>5.17</v>
      </c>
    </row>
    <row r="95" spans="1:5" ht="15.5">
      <c r="A95" s="290">
        <f>'Inventory Takeoff'!B99</f>
        <v>94</v>
      </c>
      <c r="B95" s="290" t="e">
        <f>IF(SUMIFS(Ancillary_Qty,Ancillary_InventoryCode,A95,Ancillary_BoughtOut,"No")=0,"",SUMIFS(Ancillary_Qty,Ancillary_InventoryCode,A95,Ancillary_BoughtOut,"No"))</f>
        <v>#NAME?</v>
      </c>
      <c r="C95" s="295" t="str">
        <f>'Inventory Takeoff'!C99</f>
        <v>Anchor 3/8 Pipespike</v>
      </c>
      <c r="D95" s="297" t="str">
        <f>'Inventory Takeoff'!D99</f>
        <v>Each</v>
      </c>
      <c r="E95" s="292">
        <f>'Inventory Takeoff'!G99</f>
        <v>0.78</v>
      </c>
    </row>
    <row r="96" spans="1:5" ht="15.5">
      <c r="A96" s="290">
        <f>'Inventory Takeoff'!B100</f>
        <v>95</v>
      </c>
      <c r="B96" s="290" t="e">
        <f>IF(SUMIFS(Ancillary_Qty,Ancillary_InventoryCode,A96,Ancillary_BoughtOut,"No")=0,"",SUMIFS(Ancillary_Qty,Ancillary_InventoryCode,A96,Ancillary_BoughtOut,"No"))</f>
        <v>#NAME?</v>
      </c>
      <c r="C96" s="295" t="str">
        <f>'Inventory Takeoff'!C100</f>
        <v>Anchor 1/4 x 1 Nail</v>
      </c>
      <c r="D96" s="297" t="str">
        <f>'Inventory Takeoff'!D100</f>
        <v>Each</v>
      </c>
      <c r="E96" s="292">
        <f>'Inventory Takeoff'!G100</f>
        <v>0.35</v>
      </c>
    </row>
    <row r="97" spans="1:5" ht="15.5">
      <c r="A97" s="290">
        <f>'Inventory Takeoff'!B101</f>
        <v>96</v>
      </c>
      <c r="B97" s="290" t="e">
        <f t="shared" si="5"/>
        <v>#NAME?</v>
      </c>
      <c r="C97" s="295" t="str">
        <f>'Inventory Takeoff'!C101</f>
        <v>Not Used</v>
      </c>
      <c r="D97" s="297">
        <f>'Inventory Takeoff'!D101</f>
        <v>0</v>
      </c>
      <c r="E97" s="292">
        <f>'Inventory Takeoff'!G101</f>
        <v>0</v>
      </c>
    </row>
    <row r="98" spans="1:5" ht="15.5">
      <c r="A98" s="290">
        <f>'Inventory Takeoff'!B102</f>
        <v>97</v>
      </c>
      <c r="B98" s="290" t="e">
        <f t="shared" si="5"/>
        <v>#NAME?</v>
      </c>
      <c r="C98" s="295" t="str">
        <f>'Inventory Takeoff'!C102</f>
        <v>Angle 1 x 1 - 16 Gauge</v>
      </c>
      <c r="D98" s="297" t="str">
        <f>'Inventory Takeoff'!D102</f>
        <v>Foot</v>
      </c>
      <c r="E98" s="292">
        <f>'Inventory Takeoff'!G102</f>
        <v>0.6100000000000001</v>
      </c>
    </row>
    <row r="99" spans="1:5" ht="15.5">
      <c r="A99" s="290">
        <f>'Inventory Takeoff'!B103</f>
        <v>98</v>
      </c>
      <c r="B99" s="290" t="e">
        <f t="shared" si="5"/>
        <v>#NAME?</v>
      </c>
      <c r="C99" s="295" t="str">
        <f>'Inventory Takeoff'!C103</f>
        <v>Angle 1 1/2 x 1 1/2 - 18 Gauge</v>
      </c>
      <c r="D99" s="297" t="str">
        <f>'Inventory Takeoff'!D103</f>
        <v>Foot</v>
      </c>
      <c r="E99" s="292">
        <f>'Inventory Takeoff'!G103</f>
        <v>0.72</v>
      </c>
    </row>
    <row r="100" spans="1:5" ht="15.5">
      <c r="A100" s="290">
        <f>'Inventory Takeoff'!B104</f>
        <v>99</v>
      </c>
      <c r="B100" s="290" t="e">
        <f t="shared" si="5"/>
        <v>#NAME?</v>
      </c>
      <c r="C100" s="295" t="str">
        <f>'Inventory Takeoff'!C104</f>
        <v>Angle 1 x 1 x 1/8</v>
      </c>
      <c r="D100" s="297" t="str">
        <f>'Inventory Takeoff'!D104</f>
        <v>Foot</v>
      </c>
      <c r="E100" s="292">
        <f>'Inventory Takeoff'!G104</f>
        <v>0.6100000000000001</v>
      </c>
    </row>
    <row r="101" spans="1:5" ht="15.5">
      <c r="A101" s="290">
        <f>'Inventory Takeoff'!B105</f>
        <v>100</v>
      </c>
      <c r="B101" s="290" t="e">
        <f t="shared" si="5"/>
        <v>#NAME?</v>
      </c>
      <c r="C101" s="295" t="str">
        <f>'Inventory Takeoff'!C105</f>
        <v>Angle 1 1/4 x 1 1/4 x 1/8</v>
      </c>
      <c r="D101" s="297" t="str">
        <f>'Inventory Takeoff'!D105</f>
        <v>Foot</v>
      </c>
      <c r="E101" s="292">
        <f>'Inventory Takeoff'!G105</f>
        <v>0.83</v>
      </c>
    </row>
    <row r="102" spans="1:5" ht="15.5">
      <c r="A102" s="290">
        <f>'Inventory Takeoff'!B106</f>
        <v>101</v>
      </c>
      <c r="B102" s="290" t="e">
        <f t="shared" si="5"/>
        <v>#NAME?</v>
      </c>
      <c r="C102" s="295" t="str">
        <f>'Inventory Takeoff'!C106</f>
        <v>Angle 1 1/2 x 1 1/2 x 1/8</v>
      </c>
      <c r="D102" s="297" t="str">
        <f>'Inventory Takeoff'!D106</f>
        <v>Foot</v>
      </c>
      <c r="E102" s="292">
        <f>'Inventory Takeoff'!G106</f>
        <v>1.1500000000000001</v>
      </c>
    </row>
    <row r="103" spans="1:5" ht="15.5">
      <c r="A103" s="290">
        <f>'Inventory Takeoff'!B107</f>
        <v>102</v>
      </c>
      <c r="B103" s="290" t="e">
        <f t="shared" si="5"/>
        <v>#NAME?</v>
      </c>
      <c r="C103" s="295" t="str">
        <f>'Inventory Takeoff'!C107</f>
        <v>Angle 1 1/2 x 1 1/2 x 3/16</v>
      </c>
      <c r="D103" s="297" t="str">
        <f>'Inventory Takeoff'!D107</f>
        <v>Foot</v>
      </c>
      <c r="E103" s="292">
        <f>'Inventory Takeoff'!G107</f>
        <v>1.67</v>
      </c>
    </row>
    <row r="104" spans="1:5" ht="15.5">
      <c r="A104" s="290">
        <f>'Inventory Takeoff'!B108</f>
        <v>103</v>
      </c>
      <c r="B104" s="290" t="e">
        <f t="shared" si="5"/>
        <v>#NAME?</v>
      </c>
      <c r="C104" s="295" t="str">
        <f>'Inventory Takeoff'!C108</f>
        <v>Angle 1/2 x 1 1/2 x 1/4</v>
      </c>
      <c r="D104" s="297" t="str">
        <f>'Inventory Takeoff'!D108</f>
        <v>Foot</v>
      </c>
      <c r="E104" s="291">
        <f>'Inventory Takeoff'!G108</f>
        <v>1.6400000000000001</v>
      </c>
    </row>
    <row r="105" spans="1:5" ht="15.5">
      <c r="A105" s="290">
        <f>'Inventory Takeoff'!B109</f>
        <v>104</v>
      </c>
      <c r="B105" s="290" t="e">
        <f t="shared" si="5"/>
        <v>#NAME?</v>
      </c>
      <c r="C105" s="295" t="str">
        <f>'Inventory Takeoff'!C109</f>
        <v>Angle 2 x 2 x 1/8</v>
      </c>
      <c r="D105" s="297" t="str">
        <f>'Inventory Takeoff'!D109</f>
        <v>Foot</v>
      </c>
      <c r="E105" s="291">
        <f>'Inventory Takeoff'!G109</f>
        <v>1.5299999999999998</v>
      </c>
    </row>
    <row r="106" spans="1:5" ht="15.5">
      <c r="A106" s="290">
        <f>'Inventory Takeoff'!B110</f>
        <v>105</v>
      </c>
      <c r="B106" s="290" t="e">
        <f t="shared" si="5"/>
        <v>#NAME?</v>
      </c>
      <c r="C106" s="295" t="str">
        <f>'Inventory Takeoff'!C110</f>
        <v>Angle 2 x 2 x 3/16</v>
      </c>
      <c r="D106" s="297" t="str">
        <f>'Inventory Takeoff'!D110</f>
        <v>Foot</v>
      </c>
      <c r="E106" s="291">
        <f>'Inventory Takeoff'!G110</f>
        <v>2.27</v>
      </c>
    </row>
    <row r="107" spans="1:5" ht="15.5">
      <c r="A107" s="290">
        <f>'Inventory Takeoff'!B111</f>
        <v>106</v>
      </c>
      <c r="B107" s="290" t="e">
        <f t="shared" si="5"/>
        <v>#NAME?</v>
      </c>
      <c r="C107" s="295" t="str">
        <f>'Inventory Takeoff'!C111</f>
        <v>Angle 2 x 2 x 1/4</v>
      </c>
      <c r="D107" s="297" t="str">
        <f>'Inventory Takeoff'!D111</f>
        <v>Foot</v>
      </c>
      <c r="E107" s="291">
        <f>'Inventory Takeoff'!G111</f>
        <v>2.9699999999999998</v>
      </c>
    </row>
    <row r="108" spans="1:5" ht="15.5">
      <c r="A108" s="290">
        <f>'Inventory Takeoff'!B112</f>
        <v>107</v>
      </c>
      <c r="B108" s="290" t="e">
        <f t="shared" si="5"/>
        <v>#NAME?</v>
      </c>
      <c r="C108" s="295" t="str">
        <f>'Inventory Takeoff'!C112</f>
        <v>Angle 2 x 2 x 3/8</v>
      </c>
      <c r="D108" s="297" t="str">
        <f>'Inventory Takeoff'!D112</f>
        <v>Foot</v>
      </c>
      <c r="E108" s="291">
        <f>'Inventory Takeoff'!G112</f>
        <v>3.71</v>
      </c>
    </row>
    <row r="109" spans="1:5" ht="15.5">
      <c r="A109" s="290">
        <f>'Inventory Takeoff'!B113</f>
        <v>108</v>
      </c>
      <c r="B109" s="290" t="e">
        <f t="shared" si="5"/>
        <v>#NAME?</v>
      </c>
      <c r="C109" s="295" t="str">
        <f>'Inventory Takeoff'!C113</f>
        <v>Angle 2 x 1/2 x 2 1/2 x 1/4</v>
      </c>
      <c r="D109" s="297" t="str">
        <f>'Inventory Takeoff'!D113</f>
        <v>Foot</v>
      </c>
      <c r="E109" s="291">
        <f>'Inventory Takeoff'!G113</f>
        <v>2.7800000000000002</v>
      </c>
    </row>
    <row r="110" spans="1:5" ht="15.5">
      <c r="A110" s="290">
        <f>'Inventory Takeoff'!B114</f>
        <v>109</v>
      </c>
      <c r="B110" s="290" t="e">
        <f t="shared" si="5"/>
        <v>#NAME?</v>
      </c>
      <c r="C110" s="295" t="str">
        <f>'Inventory Takeoff'!C114</f>
        <v>Not Used</v>
      </c>
      <c r="D110" s="297">
        <f>'Inventory Takeoff'!D114</f>
        <v>0</v>
      </c>
      <c r="E110" s="291">
        <f>'Inventory Takeoff'!G114</f>
        <v>0</v>
      </c>
    </row>
    <row r="111" spans="1:5" ht="15.5">
      <c r="A111" s="290">
        <f>'Inventory Takeoff'!B115</f>
        <v>110</v>
      </c>
      <c r="B111" s="290" t="e">
        <f t="shared" si="5"/>
        <v>#NAME?</v>
      </c>
      <c r="C111" s="295" t="str">
        <f>'Inventory Takeoff'!C115</f>
        <v>Angle 3 x 3 x 3/16</v>
      </c>
      <c r="D111" s="297" t="str">
        <f>'Inventory Takeoff'!D115</f>
        <v>Foot</v>
      </c>
      <c r="E111" s="291">
        <f>'Inventory Takeoff'!G115</f>
        <v>3.4499999999999997</v>
      </c>
    </row>
    <row r="112" spans="1:5" ht="15.5">
      <c r="A112" s="290">
        <f>'Inventory Takeoff'!B116</f>
        <v>111</v>
      </c>
      <c r="B112" s="290" t="e">
        <f t="shared" si="5"/>
        <v>#NAME?</v>
      </c>
      <c r="C112" s="295" t="str">
        <f>'Inventory Takeoff'!C116</f>
        <v>Angle 3 x 3 x 1/4</v>
      </c>
      <c r="D112" s="297" t="str">
        <f>'Inventory Takeoff'!D116</f>
        <v>Foot</v>
      </c>
      <c r="E112" s="291">
        <f>'Inventory Takeoff'!G116</f>
        <v>4.5599999999999996</v>
      </c>
    </row>
    <row r="113" spans="1:5" ht="15.5">
      <c r="A113" s="290">
        <f>'Inventory Takeoff'!B117</f>
        <v>112</v>
      </c>
      <c r="B113" s="290" t="e">
        <f t="shared" si="5"/>
        <v>#NAME?</v>
      </c>
      <c r="C113" s="295" t="str">
        <f>'Inventory Takeoff'!C117</f>
        <v>Angle 3 x 3 x 3/8</v>
      </c>
      <c r="D113" s="297" t="str">
        <f>'Inventory Takeoff'!D117</f>
        <v>Foot</v>
      </c>
      <c r="E113" s="291">
        <f>'Inventory Takeoff'!G117</f>
        <v>4.79</v>
      </c>
    </row>
    <row r="114" spans="1:5" ht="15.5">
      <c r="A114" s="290">
        <f>'Inventory Takeoff'!B118</f>
        <v>113</v>
      </c>
      <c r="B114" s="290" t="e">
        <f t="shared" si="5"/>
        <v>#NAME?</v>
      </c>
      <c r="C114" s="295" t="str">
        <f>'Inventory Takeoff'!C118</f>
        <v>Angle 4 x 4 x 1/4</v>
      </c>
      <c r="D114" s="297" t="str">
        <f>'Inventory Takeoff'!D118</f>
        <v>Foot</v>
      </c>
      <c r="E114" s="291">
        <f>'Inventory Takeoff'!G118</f>
        <v>6.07</v>
      </c>
    </row>
    <row r="115" spans="1:5" ht="15.5">
      <c r="A115" s="290">
        <f>'Inventory Takeoff'!B119</f>
        <v>114</v>
      </c>
      <c r="B115" s="290" t="e">
        <f t="shared" si="5"/>
        <v>#NAME?</v>
      </c>
      <c r="C115" s="295" t="str">
        <f>'Inventory Takeoff'!C119</f>
        <v>Angle 4 x 4 x 3/8</v>
      </c>
      <c r="D115" s="297" t="str">
        <f>'Inventory Takeoff'!D119</f>
        <v>Foot</v>
      </c>
      <c r="E115" s="291">
        <f>'Inventory Takeoff'!G119</f>
        <v>6.66</v>
      </c>
    </row>
    <row r="116" spans="1:5" ht="15.5">
      <c r="A116" s="290">
        <f>'Inventory Takeoff'!B120</f>
        <v>115</v>
      </c>
      <c r="B116" s="290"/>
      <c r="C116" s="295" t="str">
        <f>'Inventory Takeoff'!C120</f>
        <v>Angle 4 x 4 x 1/2</v>
      </c>
      <c r="D116" s="297" t="str">
        <f>'Inventory Takeoff'!D120</f>
        <v>Foot</v>
      </c>
      <c r="E116" s="291">
        <f>'Inventory Takeoff'!G120</f>
        <v>11.77</v>
      </c>
    </row>
    <row r="117" spans="1:5" ht="15.5">
      <c r="A117" s="290">
        <f>'Inventory Takeoff'!B121</f>
        <v>116</v>
      </c>
      <c r="B117" s="290"/>
      <c r="C117" s="295" t="str">
        <f>'Inventory Takeoff'!C121</f>
        <v>Angle 6 x 6 x 3/8</v>
      </c>
      <c r="D117" s="297" t="str">
        <f>'Inventory Takeoff'!D121</f>
        <v>Foot</v>
      </c>
      <c r="E117" s="291">
        <f>'Inventory Takeoff'!G121</f>
        <v>13.709999999999999</v>
      </c>
    </row>
    <row r="118" spans="1:5" ht="15.5">
      <c r="A118" s="290">
        <f>'Inventory Takeoff'!B122</f>
        <v>117</v>
      </c>
      <c r="B118" s="290"/>
      <c r="C118" s="295" t="str">
        <f>'Inventory Takeoff'!C122</f>
        <v>Flat Bar 1 x  1/8</v>
      </c>
      <c r="D118" s="297" t="str">
        <f>'Inventory Takeoff'!D122</f>
        <v>Foot</v>
      </c>
      <c r="E118" s="291">
        <f>'Inventory Takeoff'!G122</f>
        <v>1.1000000000000001</v>
      </c>
    </row>
    <row r="119" spans="1:5" ht="15.5">
      <c r="A119" s="290">
        <f>'Inventory Takeoff'!B123</f>
        <v>118</v>
      </c>
      <c r="B119" s="290"/>
      <c r="C119" s="295" t="str">
        <f>'Inventory Takeoff'!C123</f>
        <v>Flat Bar 1.5 x  1/8</v>
      </c>
      <c r="D119" s="297" t="str">
        <f>'Inventory Takeoff'!D123</f>
        <v>Foot</v>
      </c>
      <c r="E119" s="291">
        <f>'Inventory Takeoff'!G123</f>
        <v>1.65</v>
      </c>
    </row>
    <row r="120" spans="1:5" ht="15.5">
      <c r="A120" s="290">
        <f>'Inventory Takeoff'!B124</f>
        <v>119</v>
      </c>
      <c r="B120" s="290"/>
      <c r="C120" s="295" t="str">
        <f>'Inventory Takeoff'!C124</f>
        <v>Flat Bar 1.5 x 3/16</v>
      </c>
      <c r="D120" s="297" t="str">
        <f>'Inventory Takeoff'!D124</f>
        <v>Foot</v>
      </c>
      <c r="E120" s="291">
        <f>'Inventory Takeoff'!G124</f>
        <v>2.4700000000000002</v>
      </c>
    </row>
    <row r="121" spans="1:5" ht="15.5">
      <c r="A121" s="290">
        <f>'Inventory Takeoff'!B125</f>
        <v>120</v>
      </c>
      <c r="B121" s="290" t="e">
        <f t="shared" si="5"/>
        <v>#NAME?</v>
      </c>
      <c r="C121" s="295" t="str">
        <f>'Inventory Takeoff'!C125</f>
        <v>Flat Bar 1 x 1/4</v>
      </c>
      <c r="D121" s="297" t="str">
        <f>'Inventory Takeoff'!D125</f>
        <v>Foot</v>
      </c>
      <c r="E121" s="291">
        <f>'Inventory Takeoff'!G125</f>
        <v>0.65999999999999992</v>
      </c>
    </row>
    <row r="122" spans="1:5" ht="15.5">
      <c r="A122" s="290">
        <f>'Inventory Takeoff'!B126</f>
        <v>121</v>
      </c>
      <c r="B122" s="290"/>
      <c r="C122" s="295" t="str">
        <f>'Inventory Takeoff'!C126</f>
        <v>Flat Bar 2 x 1/4</v>
      </c>
      <c r="D122" s="297" t="str">
        <f>'Inventory Takeoff'!D126</f>
        <v>Foot</v>
      </c>
      <c r="E122" s="291">
        <f>'Inventory Takeoff'!G126</f>
        <v>4.3899999999999997</v>
      </c>
    </row>
    <row r="123" spans="1:5" ht="15.5">
      <c r="A123" s="290">
        <f>'Inventory Takeoff'!B127</f>
        <v>122</v>
      </c>
      <c r="B123" s="290"/>
      <c r="C123" s="295" t="str">
        <f>'Inventory Takeoff'!C127</f>
        <v>Flat Bar 2 x 5/16</v>
      </c>
      <c r="D123" s="297" t="str">
        <f>'Inventory Takeoff'!D127</f>
        <v>Foot</v>
      </c>
      <c r="E123" s="291">
        <f>'Inventory Takeoff'!G127</f>
        <v>10.120000000000001</v>
      </c>
    </row>
    <row r="124" spans="1:5" ht="15.5">
      <c r="A124" s="290">
        <f>'Inventory Takeoff'!B128</f>
        <v>123</v>
      </c>
      <c r="B124" s="290"/>
      <c r="C124" s="295" t="str">
        <f>'Inventory Takeoff'!C128</f>
        <v>Not Used</v>
      </c>
      <c r="D124" s="297">
        <f>'Inventory Takeoff'!D128</f>
        <v>0</v>
      </c>
      <c r="E124" s="291">
        <f>'Inventory Takeoff'!G128</f>
        <v>0</v>
      </c>
    </row>
    <row r="125" spans="1:5" ht="15.5">
      <c r="A125" s="290">
        <f>'Inventory Takeoff'!B129</f>
        <v>124</v>
      </c>
      <c r="B125" s="290" t="e">
        <f t="shared" si="5"/>
        <v>#NAME?</v>
      </c>
      <c r="C125" s="295" t="str">
        <f>'Inventory Takeoff'!C129</f>
        <v>Flat Bar 2 x 1/8</v>
      </c>
      <c r="D125" s="297" t="str">
        <f>'Inventory Takeoff'!D129</f>
        <v>Foot</v>
      </c>
      <c r="E125" s="291">
        <f>'Inventory Takeoff'!G129</f>
        <v>2.2000000000000002</v>
      </c>
    </row>
    <row r="126" spans="1:5" ht="15.5">
      <c r="A126" s="290">
        <f>'Inventory Takeoff'!B130</f>
        <v>125</v>
      </c>
      <c r="B126" s="290"/>
      <c r="C126" s="295" t="str">
        <f>'Inventory Takeoff'!C130</f>
        <v>Not Used</v>
      </c>
      <c r="D126" s="297">
        <f>'Inventory Takeoff'!D130</f>
        <v>0</v>
      </c>
      <c r="E126" s="291">
        <f>'Inventory Takeoff'!G130</f>
        <v>0</v>
      </c>
    </row>
    <row r="127" spans="1:5" ht="15.5">
      <c r="A127" s="290">
        <f>'Inventory Takeoff'!B131</f>
        <v>126</v>
      </c>
      <c r="B127" s="290" t="e">
        <f t="shared" ref="B127:B141" si="6">IF(SUMIFS(Ancillary_Length,Ancillary_InventoryCode,A127,Ancillary_BoughtOut,"No")=0,"",SUMIFS(Ancillary_Length,Ancillary_InventoryCode,A127,Ancillary_BoughtOut,"No"))</f>
        <v>#NAME?</v>
      </c>
      <c r="C127" s="295" t="str">
        <f>'Inventory Takeoff'!C131</f>
        <v>Flat Bar 2 x 3/16</v>
      </c>
      <c r="D127" s="297" t="str">
        <f>'Inventory Takeoff'!D131</f>
        <v>Foot</v>
      </c>
      <c r="E127" s="291">
        <f>'Inventory Takeoff'!G131</f>
        <v>3.3</v>
      </c>
    </row>
    <row r="128" spans="1:5" ht="15.5">
      <c r="A128" s="290">
        <f>'Inventory Takeoff'!B132</f>
        <v>127</v>
      </c>
      <c r="B128" s="290" t="e">
        <f t="shared" si="6"/>
        <v>#NAME?</v>
      </c>
      <c r="C128" s="295" t="str">
        <f>'Inventory Takeoff'!C132</f>
        <v>Flat Bar 2 x 3/8</v>
      </c>
      <c r="D128" s="297" t="str">
        <f>'Inventory Takeoff'!D132</f>
        <v>Foot</v>
      </c>
      <c r="E128" s="291">
        <f>'Inventory Takeoff'!G132</f>
        <v>1.6</v>
      </c>
    </row>
    <row r="129" spans="1:5" ht="15.5">
      <c r="A129" s="290">
        <f>'Inventory Takeoff'!B133</f>
        <v>128</v>
      </c>
      <c r="B129" s="290" t="e">
        <f t="shared" si="6"/>
        <v>#NAME?</v>
      </c>
      <c r="C129" s="295" t="str">
        <f>'Inventory Takeoff'!C133</f>
        <v>Flat Bar 3 x 1/8</v>
      </c>
      <c r="D129" s="297" t="str">
        <f>'Inventory Takeoff'!D133</f>
        <v>Foot</v>
      </c>
      <c r="E129" s="291">
        <f>'Inventory Takeoff'!G133</f>
        <v>1.6</v>
      </c>
    </row>
    <row r="130" spans="1:5" ht="15.5">
      <c r="A130" s="290">
        <f>'Inventory Takeoff'!B134</f>
        <v>129</v>
      </c>
      <c r="B130" s="290"/>
      <c r="C130" s="295" t="str">
        <f>'Inventory Takeoff'!C134</f>
        <v>Flat Bar 3 x 3/16</v>
      </c>
      <c r="D130" s="297" t="str">
        <f>'Inventory Takeoff'!D134</f>
        <v>Foot</v>
      </c>
      <c r="E130" s="291">
        <f>'Inventory Takeoff'!G134</f>
        <v>4.9400000000000004</v>
      </c>
    </row>
    <row r="131" spans="1:5" ht="15.5">
      <c r="A131" s="290">
        <f>'Inventory Takeoff'!B135</f>
        <v>130</v>
      </c>
      <c r="B131" s="290" t="e">
        <f t="shared" si="6"/>
        <v>#NAME?</v>
      </c>
      <c r="C131" s="295" t="str">
        <f>'Inventory Takeoff'!C135</f>
        <v>Flat Bar 3 x 1/4</v>
      </c>
      <c r="D131" s="297" t="str">
        <f>'Inventory Takeoff'!D135</f>
        <v>Foot</v>
      </c>
      <c r="E131" s="291">
        <f>'Inventory Takeoff'!G135</f>
        <v>6.58</v>
      </c>
    </row>
    <row r="132" spans="1:5" ht="15.5">
      <c r="A132" s="290">
        <f>'Inventory Takeoff'!B136</f>
        <v>131</v>
      </c>
      <c r="B132" s="290" t="e">
        <f t="shared" si="6"/>
        <v>#NAME?</v>
      </c>
      <c r="C132" s="295" t="str">
        <f>'Inventory Takeoff'!C136</f>
        <v>Flat Bar 3 x 3/8</v>
      </c>
      <c r="D132" s="297" t="str">
        <f>'Inventory Takeoff'!D136</f>
        <v>Foot</v>
      </c>
      <c r="E132" s="291">
        <f>'Inventory Takeoff'!G136</f>
        <v>2.5299999999999998</v>
      </c>
    </row>
    <row r="133" spans="1:5" ht="15.5">
      <c r="A133" s="290">
        <f>'Inventory Takeoff'!B137</f>
        <v>132</v>
      </c>
      <c r="B133" s="290" t="e">
        <f t="shared" si="6"/>
        <v>#NAME?</v>
      </c>
      <c r="C133" s="295" t="str">
        <f>'Inventory Takeoff'!C137</f>
        <v>Flat Bar 4 x 1/4</v>
      </c>
      <c r="D133" s="297" t="str">
        <f>'Inventory Takeoff'!D137</f>
        <v>Foot</v>
      </c>
      <c r="E133" s="291">
        <f>'Inventory Takeoff'!G137</f>
        <v>4.1100000000000003</v>
      </c>
    </row>
    <row r="134" spans="1:5" ht="15.5">
      <c r="A134" s="290">
        <f>'Inventory Takeoff'!B138</f>
        <v>133</v>
      </c>
      <c r="B134" s="290"/>
      <c r="C134" s="295" t="str">
        <f>'Inventory Takeoff'!C138</f>
        <v>Flat Bar 4 x 1/2</v>
      </c>
      <c r="D134" s="297" t="str">
        <f>'Inventory Takeoff'!D138</f>
        <v>Foot</v>
      </c>
      <c r="E134" s="291">
        <f>'Inventory Takeoff'!G138</f>
        <v>8.23</v>
      </c>
    </row>
    <row r="135" spans="1:5" ht="15.5">
      <c r="A135" s="290">
        <f>'Inventory Takeoff'!B139</f>
        <v>134</v>
      </c>
      <c r="B135" s="290" t="e">
        <f t="shared" si="6"/>
        <v>#NAME?</v>
      </c>
      <c r="C135" s="295" t="str">
        <f>'Inventory Takeoff'!C139</f>
        <v>Flat Bar 6 x 1/4</v>
      </c>
      <c r="D135" s="297" t="str">
        <f>'Inventory Takeoff'!D139</f>
        <v>Foot</v>
      </c>
      <c r="E135" s="291">
        <f>'Inventory Takeoff'!G139</f>
        <v>3.58</v>
      </c>
    </row>
    <row r="136" spans="1:5" ht="15.5">
      <c r="A136" s="290">
        <f>'Inventory Takeoff'!B140</f>
        <v>135</v>
      </c>
      <c r="B136" s="290" t="e">
        <f t="shared" si="6"/>
        <v>#NAME?</v>
      </c>
      <c r="C136" s="295" t="str">
        <f>'Inventory Takeoff'!C140</f>
        <v>Flat Bar 6 x 3/8</v>
      </c>
      <c r="D136" s="297" t="str">
        <f>'Inventory Takeoff'!D140</f>
        <v>Foot</v>
      </c>
      <c r="E136" s="291">
        <f>'Inventory Takeoff'!G140</f>
        <v>9.26</v>
      </c>
    </row>
    <row r="137" spans="1:5" ht="15.5">
      <c r="A137" s="290">
        <f>'Inventory Takeoff'!B141</f>
        <v>136</v>
      </c>
      <c r="B137" s="290" t="e">
        <f t="shared" si="6"/>
        <v>#NAME?</v>
      </c>
      <c r="C137" s="295" t="str">
        <f>'Inventory Takeoff'!C141</f>
        <v>Square Rod 3/8</v>
      </c>
      <c r="D137" s="297" t="str">
        <f>'Inventory Takeoff'!D141</f>
        <v>Foot</v>
      </c>
      <c r="E137" s="291">
        <f>'Inventory Takeoff'!G141</f>
        <v>0.71</v>
      </c>
    </row>
    <row r="138" spans="1:5" ht="15.5">
      <c r="A138" s="290">
        <f>'Inventory Takeoff'!B142</f>
        <v>137</v>
      </c>
      <c r="B138" s="290" t="e">
        <f t="shared" si="6"/>
        <v>#NAME?</v>
      </c>
      <c r="C138" s="295" t="str">
        <f>'Inventory Takeoff'!C142</f>
        <v>Round Rod 1/4</v>
      </c>
      <c r="D138" s="297" t="str">
        <f>'Inventory Takeoff'!D142</f>
        <v>Foot</v>
      </c>
      <c r="E138" s="291">
        <f>'Inventory Takeoff'!G142</f>
        <v>0.19999999999999998</v>
      </c>
    </row>
    <row r="139" spans="1:5" ht="15.5">
      <c r="A139" s="290">
        <f>'Inventory Takeoff'!B143</f>
        <v>138</v>
      </c>
      <c r="B139" s="290" t="e">
        <f t="shared" si="6"/>
        <v>#NAME?</v>
      </c>
      <c r="C139" s="295" t="str">
        <f>'Inventory Takeoff'!C143</f>
        <v>Round Rod 3/8</v>
      </c>
      <c r="D139" s="297" t="str">
        <f>'Inventory Takeoff'!D143</f>
        <v>Foot</v>
      </c>
      <c r="E139" s="291">
        <f>'Inventory Takeoff'!G143</f>
        <v>0.39999999999999997</v>
      </c>
    </row>
    <row r="140" spans="1:5" ht="15.5">
      <c r="A140" s="290">
        <f>'Inventory Takeoff'!B144</f>
        <v>139</v>
      </c>
      <c r="B140" s="290" t="e">
        <f t="shared" si="6"/>
        <v>#NAME?</v>
      </c>
      <c r="C140" s="295" t="str">
        <f>'Inventory Takeoff'!C144</f>
        <v>Round Rod 1/2</v>
      </c>
      <c r="D140" s="297" t="str">
        <f>'Inventory Takeoff'!D144</f>
        <v>Foot</v>
      </c>
      <c r="E140" s="291">
        <f>'Inventory Takeoff'!G144</f>
        <v>0.51</v>
      </c>
    </row>
    <row r="141" spans="1:5" ht="15.5">
      <c r="A141" s="290">
        <f>'Inventory Takeoff'!B145</f>
        <v>140</v>
      </c>
      <c r="B141" s="290" t="e">
        <f t="shared" si="6"/>
        <v>#NAME?</v>
      </c>
      <c r="C141" s="295" t="str">
        <f>'Inventory Takeoff'!C145</f>
        <v>Round Rod 3/4</v>
      </c>
      <c r="D141" s="297" t="str">
        <f>'Inventory Takeoff'!D145</f>
        <v>Foot</v>
      </c>
      <c r="E141" s="291">
        <f>'Inventory Takeoff'!G145</f>
        <v>1.01</v>
      </c>
    </row>
    <row r="142" spans="1:5" ht="15.5">
      <c r="A142" s="290">
        <f>'Inventory Takeoff'!B146</f>
        <v>141</v>
      </c>
      <c r="B142" s="290" t="e">
        <f t="shared" ref="B142:B155" si="7">IF(SUMIFS(Ancillary_Qty,Ancillary_InventoryCode,A142,Ancillary_BoughtOut,"No")=0,"",SUMIFS(Ancillary_Qty,Ancillary_InventoryCode,A142,Ancillary_BoughtOut,"No"))</f>
        <v>#NAME?</v>
      </c>
      <c r="C142" s="295" t="str">
        <f>'Inventory Takeoff'!C146</f>
        <v>Round Angle Rings 4"</v>
      </c>
      <c r="D142" s="297" t="str">
        <f>'Inventory Takeoff'!D146</f>
        <v>Each</v>
      </c>
      <c r="E142" s="291">
        <f>'Inventory Takeoff'!G146</f>
        <v>9.0299999999999994</v>
      </c>
    </row>
    <row r="143" spans="1:5" ht="15.5">
      <c r="A143" s="290">
        <f>'Inventory Takeoff'!B147</f>
        <v>142</v>
      </c>
      <c r="B143" s="290" t="e">
        <f t="shared" si="7"/>
        <v>#NAME?</v>
      </c>
      <c r="C143" s="295" t="str">
        <f>'Inventory Takeoff'!C147</f>
        <v>Round Angle Rings 5"</v>
      </c>
      <c r="D143" s="297" t="str">
        <f>'Inventory Takeoff'!D147</f>
        <v>Each</v>
      </c>
      <c r="E143" s="291">
        <f>'Inventory Takeoff'!G147</f>
        <v>10.85</v>
      </c>
    </row>
    <row r="144" spans="1:5" ht="15.5">
      <c r="A144" s="290">
        <f>'Inventory Takeoff'!B148</f>
        <v>143</v>
      </c>
      <c r="B144" s="290" t="e">
        <f t="shared" si="7"/>
        <v>#NAME?</v>
      </c>
      <c r="C144" s="295" t="str">
        <f>'Inventory Takeoff'!C148</f>
        <v>Round Angle Rings 6"</v>
      </c>
      <c r="D144" s="297" t="str">
        <f>'Inventory Takeoff'!D148</f>
        <v>Each</v>
      </c>
      <c r="E144" s="291">
        <f>'Inventory Takeoff'!G148</f>
        <v>6.53</v>
      </c>
    </row>
    <row r="145" spans="1:5" ht="15.5">
      <c r="A145" s="290">
        <f>'Inventory Takeoff'!B149</f>
        <v>144</v>
      </c>
      <c r="B145" s="290" t="e">
        <f t="shared" si="7"/>
        <v>#NAME?</v>
      </c>
      <c r="C145" s="295" t="str">
        <f>'Inventory Takeoff'!C149</f>
        <v>Round Angle Rings 7"</v>
      </c>
      <c r="D145" s="297" t="str">
        <f>'Inventory Takeoff'!D149</f>
        <v>Each</v>
      </c>
      <c r="E145" s="291">
        <f>'Inventory Takeoff'!G149</f>
        <v>7.93</v>
      </c>
    </row>
    <row r="146" spans="1:5" ht="15.5">
      <c r="A146" s="290">
        <f>'Inventory Takeoff'!B150</f>
        <v>145</v>
      </c>
      <c r="B146" s="290" t="e">
        <f t="shared" si="7"/>
        <v>#NAME?</v>
      </c>
      <c r="C146" s="295" t="str">
        <f>'Inventory Takeoff'!C150</f>
        <v>Round Angle Rings 8"</v>
      </c>
      <c r="D146" s="297" t="str">
        <f>'Inventory Takeoff'!D150</f>
        <v>Each</v>
      </c>
      <c r="E146" s="291">
        <f>'Inventory Takeoff'!G150</f>
        <v>9.1</v>
      </c>
    </row>
    <row r="147" spans="1:5" ht="15.5">
      <c r="A147" s="290">
        <f>'Inventory Takeoff'!B151</f>
        <v>146</v>
      </c>
      <c r="B147" s="290" t="e">
        <f t="shared" si="7"/>
        <v>#NAME?</v>
      </c>
      <c r="C147" s="295" t="str">
        <f>'Inventory Takeoff'!C151</f>
        <v>Round Angle Rings 9"</v>
      </c>
      <c r="D147" s="297" t="str">
        <f>'Inventory Takeoff'!D151</f>
        <v>Each</v>
      </c>
      <c r="E147" s="291">
        <f>'Inventory Takeoff'!G151</f>
        <v>10.469999999999999</v>
      </c>
    </row>
    <row r="148" spans="1:5" ht="15.5">
      <c r="A148" s="290">
        <f>'Inventory Takeoff'!B152</f>
        <v>147</v>
      </c>
      <c r="B148" s="290" t="e">
        <f t="shared" si="7"/>
        <v>#NAME?</v>
      </c>
      <c r="C148" s="295" t="str">
        <f>'Inventory Takeoff'!C152</f>
        <v>Round Angle Rings 10"</v>
      </c>
      <c r="D148" s="297" t="str">
        <f>'Inventory Takeoff'!D152</f>
        <v>Each</v>
      </c>
      <c r="E148" s="291">
        <f>'Inventory Takeoff'!G152</f>
        <v>11.729999999999999</v>
      </c>
    </row>
    <row r="149" spans="1:5" ht="15.5">
      <c r="A149" s="290">
        <f>'Inventory Takeoff'!B153</f>
        <v>148</v>
      </c>
      <c r="B149" s="290" t="e">
        <f t="shared" si="7"/>
        <v>#NAME?</v>
      </c>
      <c r="C149" s="295" t="str">
        <f>'Inventory Takeoff'!C153</f>
        <v>Round Angle Rings 12"</v>
      </c>
      <c r="D149" s="297" t="str">
        <f>'Inventory Takeoff'!D153</f>
        <v>Each</v>
      </c>
      <c r="E149" s="291">
        <f>'Inventory Takeoff'!G153</f>
        <v>15.9</v>
      </c>
    </row>
    <row r="150" spans="1:5" ht="15.5">
      <c r="A150" s="290">
        <f>'Inventory Takeoff'!B154</f>
        <v>149</v>
      </c>
      <c r="B150" s="290" t="e">
        <f t="shared" si="7"/>
        <v>#NAME?</v>
      </c>
      <c r="C150" s="295" t="str">
        <f>'Inventory Takeoff'!C154</f>
        <v>Round Angle Rings 14"</v>
      </c>
      <c r="D150" s="297" t="str">
        <f>'Inventory Takeoff'!D154</f>
        <v>Each</v>
      </c>
      <c r="E150" s="291">
        <f>'Inventory Takeoff'!G154</f>
        <v>19.47</v>
      </c>
    </row>
    <row r="151" spans="1:5" ht="15.5">
      <c r="A151" s="290">
        <f>'Inventory Takeoff'!B155</f>
        <v>150</v>
      </c>
      <c r="B151" s="290" t="e">
        <f t="shared" si="7"/>
        <v>#NAME?</v>
      </c>
      <c r="C151" s="295" t="str">
        <f>'Inventory Takeoff'!C155</f>
        <v>Round Angle Rings 16"</v>
      </c>
      <c r="D151" s="297" t="str">
        <f>'Inventory Takeoff'!D155</f>
        <v>Each</v>
      </c>
      <c r="E151" s="291">
        <f>'Inventory Takeoff'!G155</f>
        <v>23.25</v>
      </c>
    </row>
    <row r="152" spans="1:5" ht="15.5">
      <c r="A152" s="290">
        <f>'Inventory Takeoff'!B156</f>
        <v>151</v>
      </c>
      <c r="B152" s="290" t="e">
        <f t="shared" si="7"/>
        <v>#NAME?</v>
      </c>
      <c r="C152" s="295" t="str">
        <f>'Inventory Takeoff'!C156</f>
        <v>Round Angle Rings 18"</v>
      </c>
      <c r="D152" s="297" t="str">
        <f>'Inventory Takeoff'!D156</f>
        <v>Each</v>
      </c>
      <c r="E152" s="291">
        <f>'Inventory Takeoff'!G156</f>
        <v>25.02</v>
      </c>
    </row>
    <row r="153" spans="1:5" ht="15.5">
      <c r="A153" s="290">
        <f>'Inventory Takeoff'!B157</f>
        <v>152</v>
      </c>
      <c r="B153" s="290" t="e">
        <f t="shared" si="7"/>
        <v>#NAME?</v>
      </c>
      <c r="C153" s="295" t="str">
        <f>'Inventory Takeoff'!C157</f>
        <v>Round Angle Rings 20"</v>
      </c>
      <c r="D153" s="297" t="str">
        <f>'Inventory Takeoff'!D157</f>
        <v>Each</v>
      </c>
      <c r="E153" s="291">
        <f>'Inventory Takeoff'!G157</f>
        <v>27.279999999999998</v>
      </c>
    </row>
    <row r="154" spans="1:5" ht="15.5">
      <c r="A154" s="290">
        <f>'Inventory Takeoff'!B158</f>
        <v>153</v>
      </c>
      <c r="B154" s="290" t="e">
        <f t="shared" si="7"/>
        <v>#NAME?</v>
      </c>
      <c r="C154" s="295" t="str">
        <f>'Inventory Takeoff'!C158</f>
        <v>Round Angle Rings 22"</v>
      </c>
      <c r="D154" s="297" t="str">
        <f>'Inventory Takeoff'!D158</f>
        <v>Each</v>
      </c>
      <c r="E154" s="291">
        <f>'Inventory Takeoff'!G158</f>
        <v>28.79</v>
      </c>
    </row>
    <row r="155" spans="1:5" ht="15.5">
      <c r="A155" s="290">
        <f>'Inventory Takeoff'!B159</f>
        <v>154</v>
      </c>
      <c r="B155" s="290" t="e">
        <f t="shared" si="7"/>
        <v>#NAME?</v>
      </c>
      <c r="C155" s="295" t="str">
        <f>'Inventory Takeoff'!C159</f>
        <v xml:space="preserve">Wood Sawzall Blade </v>
      </c>
      <c r="D155" s="297" t="str">
        <f>'Inventory Takeoff'!D159</f>
        <v>Each</v>
      </c>
      <c r="E155" s="291">
        <f>'Inventory Takeoff'!G159</f>
        <v>2.98</v>
      </c>
    </row>
    <row r="156" spans="1:5" ht="15.5">
      <c r="A156" s="290">
        <f>'Inventory Takeoff'!B160</f>
        <v>155</v>
      </c>
      <c r="B156" s="290" t="e">
        <f>IF(SUMIFS(MaterialConnectorArea,MaterialFacing,C156,BoughtOut,"No")=0,"",SUMIFS(MaterialConnectorArea,MaterialFacing,C156,BoughtOut,"No"))</f>
        <v>#NAME?</v>
      </c>
      <c r="C156" s="295" t="str">
        <f>'Inventory Takeoff'!C160</f>
        <v>Bird Screen 1/4</v>
      </c>
      <c r="D156" s="297" t="str">
        <f>'Inventory Takeoff'!D160</f>
        <v>Sq Ft</v>
      </c>
      <c r="E156" s="291">
        <f>'Inventory Takeoff'!G160</f>
        <v>0.44</v>
      </c>
    </row>
    <row r="157" spans="1:5" ht="15.5">
      <c r="A157" s="290">
        <f>'Inventory Takeoff'!B161</f>
        <v>156</v>
      </c>
      <c r="B157" s="290" t="e">
        <f>IF(SUMIFS(MaterialConnectorArea,MaterialFacing,C157,BoughtOut,"No")=0,"",SUMIFS(MaterialConnectorArea,MaterialFacing,C157,BoughtOut,"No"))</f>
        <v>#NAME?</v>
      </c>
      <c r="C157" s="295" t="str">
        <f>'Inventory Takeoff'!C161</f>
        <v>Bird Screen 1/2</v>
      </c>
      <c r="D157" s="297" t="str">
        <f>'Inventory Takeoff'!D161</f>
        <v>Sq Ft</v>
      </c>
      <c r="E157" s="291">
        <f>'Inventory Takeoff'!G161</f>
        <v>0.87</v>
      </c>
    </row>
    <row r="158" spans="1:5" ht="15.5">
      <c r="A158" s="290">
        <f>'Inventory Takeoff'!B162</f>
        <v>157</v>
      </c>
      <c r="B158" s="290" t="e">
        <f>IF(SUMIFS(MaterialConnectorArea,MaterialFacing,C158,BoughtOut,"No")=0,"",SUMIFS(MaterialConnectorArea,MaterialFacing,C158,BoughtOut,"No"))</f>
        <v>#NAME?</v>
      </c>
      <c r="C158" s="295" t="str">
        <f>'Inventory Takeoff'!C162</f>
        <v>Bird Screen SS 1/2</v>
      </c>
      <c r="D158" s="297" t="str">
        <f>'Inventory Takeoff'!D162</f>
        <v>Sq Ft</v>
      </c>
      <c r="E158" s="291">
        <f>'Inventory Takeoff'!G162</f>
        <v>2.88</v>
      </c>
    </row>
    <row r="159" spans="1:5" ht="15.5">
      <c r="A159" s="290">
        <f>'Inventory Takeoff'!B163</f>
        <v>158</v>
      </c>
      <c r="B159" s="290" t="e">
        <f t="shared" ref="B159:B166" si="8">IF(SUMIFS(Ancillary_Qty,Ancillary_InventoryCode,A159,Ancillary_BoughtOut,"No")=0,"",SUMIFS(Ancillary_Qty,Ancillary_InventoryCode,A159,Ancillary_BoughtOut,"No"))</f>
        <v>#NAME?</v>
      </c>
      <c r="C159" s="295" t="str">
        <f>'Inventory Takeoff'!C163</f>
        <v>Round Angle Rings 3"</v>
      </c>
      <c r="D159" s="297" t="str">
        <f>'Inventory Takeoff'!D163</f>
        <v>Each</v>
      </c>
      <c r="E159" s="291">
        <f>'Inventory Takeoff'!G163</f>
        <v>3.21</v>
      </c>
    </row>
    <row r="160" spans="1:5" ht="15.5">
      <c r="A160" s="290">
        <f>'Inventory Takeoff'!B164</f>
        <v>159</v>
      </c>
      <c r="B160" s="290" t="e">
        <f t="shared" si="8"/>
        <v>#NAME?</v>
      </c>
      <c r="C160" s="295" t="str">
        <f>'Inventory Takeoff'!C164</f>
        <v>AB Metal Blade 7"</v>
      </c>
      <c r="D160" s="297" t="str">
        <f>'Inventory Takeoff'!D164</f>
        <v>Each</v>
      </c>
      <c r="E160" s="291">
        <f>'Inventory Takeoff'!G164</f>
        <v>4</v>
      </c>
    </row>
    <row r="161" spans="1:5" ht="15.5">
      <c r="A161" s="290">
        <f>'Inventory Takeoff'!B165</f>
        <v>160</v>
      </c>
      <c r="B161" s="290" t="e">
        <f t="shared" si="8"/>
        <v>#NAME?</v>
      </c>
      <c r="C161" s="295" t="str">
        <f>'Inventory Takeoff'!C165</f>
        <v>AB Masonry Blade 7"</v>
      </c>
      <c r="D161" s="297" t="str">
        <f>'Inventory Takeoff'!D165</f>
        <v>Each</v>
      </c>
      <c r="E161" s="291">
        <f>'Inventory Takeoff'!G165</f>
        <v>4.1099999999999994</v>
      </c>
    </row>
    <row r="162" spans="1:5" ht="15.5">
      <c r="A162" s="290">
        <f>'Inventory Takeoff'!B166</f>
        <v>161</v>
      </c>
      <c r="B162" s="290" t="e">
        <f t="shared" si="8"/>
        <v>#NAME?</v>
      </c>
      <c r="C162" s="295" t="str">
        <f>'Inventory Takeoff'!C166</f>
        <v>Chopsaw Blade</v>
      </c>
      <c r="D162" s="297" t="str">
        <f>'Inventory Takeoff'!D166</f>
        <v>Each</v>
      </c>
      <c r="E162" s="291">
        <f>'Inventory Takeoff'!G166</f>
        <v>11.25</v>
      </c>
    </row>
    <row r="163" spans="1:5" ht="15.5">
      <c r="A163" s="290">
        <f>'Inventory Takeoff'!B167</f>
        <v>162</v>
      </c>
      <c r="B163" s="290" t="e">
        <f t="shared" si="8"/>
        <v>#NAME?</v>
      </c>
      <c r="C163" s="295" t="str">
        <f>'Inventory Takeoff'!C167</f>
        <v>Port Band Metal Blade</v>
      </c>
      <c r="D163" s="297" t="str">
        <f>'Inventory Takeoff'!D167</f>
        <v>Box</v>
      </c>
      <c r="E163" s="291">
        <f>'Inventory Takeoff'!G167</f>
        <v>39.5</v>
      </c>
    </row>
    <row r="164" spans="1:5" ht="15.5">
      <c r="A164" s="290">
        <f>'Inventory Takeoff'!B168</f>
        <v>163</v>
      </c>
      <c r="B164" s="290" t="e">
        <f t="shared" si="8"/>
        <v>#NAME?</v>
      </c>
      <c r="C164" s="295" t="str">
        <f>'Inventory Takeoff'!C168</f>
        <v>Sawzall Blade</v>
      </c>
      <c r="D164" s="297" t="str">
        <f>'Inventory Takeoff'!D168</f>
        <v>Each</v>
      </c>
      <c r="E164" s="291">
        <f>'Inventory Takeoff'!G168</f>
        <v>2.5</v>
      </c>
    </row>
    <row r="165" spans="1:5" ht="15.5">
      <c r="A165" s="290">
        <f>'Inventory Takeoff'!B169</f>
        <v>164</v>
      </c>
      <c r="B165" s="290" t="e">
        <f t="shared" si="8"/>
        <v>#NAME?</v>
      </c>
      <c r="C165" s="295" t="str">
        <f>'Inventory Takeoff'!C169</f>
        <v>Woodsaw Blade</v>
      </c>
      <c r="D165" s="297" t="str">
        <f>'Inventory Takeoff'!D169</f>
        <v>Each</v>
      </c>
      <c r="E165" s="291">
        <f>'Inventory Takeoff'!G169</f>
        <v>4.3600000000000003</v>
      </c>
    </row>
    <row r="166" spans="1:5" ht="15.5">
      <c r="A166" s="290">
        <f>'Inventory Takeoff'!B170</f>
        <v>165</v>
      </c>
      <c r="B166" s="290" t="e">
        <f t="shared" si="8"/>
        <v>#NAME?</v>
      </c>
      <c r="C166" s="295" t="str">
        <f>'Inventory Takeoff'!C170</f>
        <v>Jigsaw Blade 3"</v>
      </c>
      <c r="D166" s="297" t="str">
        <f>'Inventory Takeoff'!D170</f>
        <v>Each</v>
      </c>
      <c r="E166" s="291">
        <f>'Inventory Takeoff'!G170</f>
        <v>4.3600000000000003</v>
      </c>
    </row>
    <row r="167" spans="1:5" ht="15.5">
      <c r="A167" s="290">
        <f>'Inventory Takeoff'!B171</f>
        <v>166</v>
      </c>
      <c r="B167" s="290" t="e">
        <f t="shared" ref="B167:B185" si="9">IF(SUMIFS(Ancillary_Qty,Ancillary_InventoryCode,A167,Ancillary_BoughtOut,"No",Ancillary_Spool,"&lt;&gt;"&amp;"")=0,"",SUMIFS(Ancillary_Qty,Ancillary_InventoryCode,A167,Ancillary_BoughtOut,"No",Ancillary_Spool,"&lt;&gt;"&amp;""))</f>
        <v>#NAME?</v>
      </c>
      <c r="C167" s="295" t="str">
        <f>'Inventory Takeoff'!C171</f>
        <v>Bolts 1/4 x 1/2</v>
      </c>
      <c r="D167" s="297" t="str">
        <f>'Inventory Takeoff'!D171</f>
        <v>Each</v>
      </c>
      <c r="E167" s="291">
        <f>'Inventory Takeoff'!G171</f>
        <v>0.05</v>
      </c>
    </row>
    <row r="168" spans="1:5" ht="15.5">
      <c r="A168" s="290">
        <f>'Inventory Takeoff'!B172</f>
        <v>167</v>
      </c>
      <c r="B168" s="290" t="e">
        <f t="shared" si="9"/>
        <v>#NAME?</v>
      </c>
      <c r="C168" s="295" t="str">
        <f>'Inventory Takeoff'!C172</f>
        <v>Bolts 1/4 x 1</v>
      </c>
      <c r="D168" s="297" t="str">
        <f>'Inventory Takeoff'!D172</f>
        <v>Each</v>
      </c>
      <c r="E168" s="291">
        <f>'Inventory Takeoff'!G172</f>
        <v>0.1</v>
      </c>
    </row>
    <row r="169" spans="1:5" ht="15.5">
      <c r="A169" s="290">
        <f>'Inventory Takeoff'!B173</f>
        <v>168</v>
      </c>
      <c r="B169" s="290" t="e">
        <f t="shared" si="9"/>
        <v>#NAME?</v>
      </c>
      <c r="C169" s="295" t="str">
        <f>'Inventory Takeoff'!C173</f>
        <v>Bolts 1/4 x 1 1/2</v>
      </c>
      <c r="D169" s="297" t="str">
        <f>'Inventory Takeoff'!D173</f>
        <v>Each</v>
      </c>
      <c r="E169" s="291">
        <f>'Inventory Takeoff'!G173</f>
        <v>0.1</v>
      </c>
    </row>
    <row r="170" spans="1:5" ht="15.5">
      <c r="A170" s="290">
        <f>'Inventory Takeoff'!B174</f>
        <v>169</v>
      </c>
      <c r="B170" s="290" t="e">
        <f t="shared" si="9"/>
        <v>#NAME?</v>
      </c>
      <c r="C170" s="295" t="str">
        <f>'Inventory Takeoff'!C174</f>
        <v>Bolts 1/4 x 2</v>
      </c>
      <c r="D170" s="297" t="str">
        <f>'Inventory Takeoff'!D174</f>
        <v>Each</v>
      </c>
      <c r="E170" s="291">
        <f>'Inventory Takeoff'!G174</f>
        <v>9.0000000000000011E-2</v>
      </c>
    </row>
    <row r="171" spans="1:5" ht="15.5">
      <c r="A171" s="290">
        <f>'Inventory Takeoff'!B175</f>
        <v>170</v>
      </c>
      <c r="B171" s="290" t="e">
        <f t="shared" si="9"/>
        <v>#NAME?</v>
      </c>
      <c r="C171" s="295" t="str">
        <f>'Inventory Takeoff'!C175</f>
        <v>Bolts 1/4 x 3</v>
      </c>
      <c r="D171" s="297" t="str">
        <f>'Inventory Takeoff'!D175</f>
        <v>Each</v>
      </c>
      <c r="E171" s="291">
        <f>'Inventory Takeoff'!G175</f>
        <v>0.1</v>
      </c>
    </row>
    <row r="172" spans="1:5" ht="15.5">
      <c r="A172" s="290">
        <f>'Inventory Takeoff'!B176</f>
        <v>171</v>
      </c>
      <c r="B172" s="290" t="e">
        <f t="shared" si="9"/>
        <v>#NAME?</v>
      </c>
      <c r="C172" s="295" t="str">
        <f>'Inventory Takeoff'!C176</f>
        <v>Bolts 5/16 x 1</v>
      </c>
      <c r="D172" s="297" t="str">
        <f>'Inventory Takeoff'!D176</f>
        <v>Each</v>
      </c>
      <c r="E172" s="291">
        <f>'Inventory Takeoff'!G176</f>
        <v>9.0000000000000011E-2</v>
      </c>
    </row>
    <row r="173" spans="1:5" ht="15.5">
      <c r="A173" s="290">
        <f>'Inventory Takeoff'!B177</f>
        <v>172</v>
      </c>
      <c r="B173" s="290" t="e">
        <f t="shared" si="9"/>
        <v>#NAME?</v>
      </c>
      <c r="C173" s="295" t="str">
        <f>'Inventory Takeoff'!C177</f>
        <v>Bolts 5/16 x 1 1/2</v>
      </c>
      <c r="D173" s="297" t="str">
        <f>'Inventory Takeoff'!D177</f>
        <v>Each</v>
      </c>
      <c r="E173" s="291">
        <f>'Inventory Takeoff'!G177</f>
        <v>0.1</v>
      </c>
    </row>
    <row r="174" spans="1:5" ht="15.5">
      <c r="A174" s="290">
        <f>'Inventory Takeoff'!B178</f>
        <v>173</v>
      </c>
      <c r="B174" s="290" t="e">
        <f t="shared" si="9"/>
        <v>#NAME?</v>
      </c>
      <c r="C174" s="295" t="str">
        <f>'Inventory Takeoff'!C178</f>
        <v>Bolts 3/8 x 1</v>
      </c>
      <c r="D174" s="297" t="str">
        <f>'Inventory Takeoff'!D178</f>
        <v>Each</v>
      </c>
      <c r="E174" s="291">
        <f>'Inventory Takeoff'!G178</f>
        <v>0.15</v>
      </c>
    </row>
    <row r="175" spans="1:5" ht="15.5">
      <c r="A175" s="290">
        <f>'Inventory Takeoff'!B179</f>
        <v>174</v>
      </c>
      <c r="B175" s="290" t="e">
        <f t="shared" si="9"/>
        <v>#NAME?</v>
      </c>
      <c r="C175" s="295" t="str">
        <f>'Inventory Takeoff'!C179</f>
        <v>Bolts 3/8 x 1 1/2</v>
      </c>
      <c r="D175" s="297" t="str">
        <f>'Inventory Takeoff'!D179</f>
        <v>Each</v>
      </c>
      <c r="E175" s="291">
        <f>'Inventory Takeoff'!G179</f>
        <v>0.19</v>
      </c>
    </row>
    <row r="176" spans="1:5" ht="15.5">
      <c r="A176" s="290">
        <f>'Inventory Takeoff'!B180</f>
        <v>175</v>
      </c>
      <c r="B176" s="290" t="e">
        <f t="shared" si="9"/>
        <v>#NAME?</v>
      </c>
      <c r="C176" s="295" t="str">
        <f>'Inventory Takeoff'!C180</f>
        <v>Bolts 3/8 x 2</v>
      </c>
      <c r="D176" s="297" t="str">
        <f>'Inventory Takeoff'!D180</f>
        <v>Each</v>
      </c>
      <c r="E176" s="291">
        <f>'Inventory Takeoff'!G180</f>
        <v>0.17</v>
      </c>
    </row>
    <row r="177" spans="1:5" ht="15.5">
      <c r="A177" s="290">
        <f>'Inventory Takeoff'!B181</f>
        <v>176</v>
      </c>
      <c r="B177" s="290" t="e">
        <f t="shared" si="9"/>
        <v>#NAME?</v>
      </c>
      <c r="C177" s="295" t="str">
        <f>'Inventory Takeoff'!C181</f>
        <v>Bolts 1/2 x 2</v>
      </c>
      <c r="D177" s="297" t="str">
        <f>'Inventory Takeoff'!D181</f>
        <v>Each</v>
      </c>
      <c r="E177" s="291">
        <f>'Inventory Takeoff'!G181</f>
        <v>0.43</v>
      </c>
    </row>
    <row r="178" spans="1:5" ht="15.5">
      <c r="A178" s="290">
        <f>'Inventory Takeoff'!B182</f>
        <v>177</v>
      </c>
      <c r="B178" s="290" t="e">
        <f t="shared" si="9"/>
        <v>#NAME?</v>
      </c>
      <c r="C178" s="295" t="str">
        <f>'Inventory Takeoff'!C182</f>
        <v>Bolts 1/2 x 1 1/2</v>
      </c>
      <c r="D178" s="297" t="str">
        <f>'Inventory Takeoff'!D182</f>
        <v>Each</v>
      </c>
      <c r="E178" s="291">
        <f>'Inventory Takeoff'!G182</f>
        <v>0.28999999999999998</v>
      </c>
    </row>
    <row r="179" spans="1:5" ht="15.5">
      <c r="A179" s="290">
        <f>'Inventory Takeoff'!B183</f>
        <v>178</v>
      </c>
      <c r="B179" s="290" t="e">
        <f t="shared" si="9"/>
        <v>#NAME?</v>
      </c>
      <c r="C179" s="295" t="str">
        <f>'Inventory Takeoff'!C183</f>
        <v>Bolts 1/2 x 2</v>
      </c>
      <c r="D179" s="297" t="str">
        <f>'Inventory Takeoff'!D183</f>
        <v>Each</v>
      </c>
      <c r="E179" s="291">
        <f>'Inventory Takeoff'!G183</f>
        <v>0.51</v>
      </c>
    </row>
    <row r="180" spans="1:5" ht="15.5">
      <c r="A180" s="290">
        <f>'Inventory Takeoff'!B184</f>
        <v>179</v>
      </c>
      <c r="B180" s="290" t="e">
        <f t="shared" si="9"/>
        <v>#NAME?</v>
      </c>
      <c r="C180" s="295" t="str">
        <f>'Inventory Takeoff'!C184</f>
        <v>Bolts 5/8 x 1</v>
      </c>
      <c r="D180" s="297" t="str">
        <f>'Inventory Takeoff'!D184</f>
        <v>Each</v>
      </c>
      <c r="E180" s="291">
        <f>'Inventory Takeoff'!G184</f>
        <v>0.48</v>
      </c>
    </row>
    <row r="181" spans="1:5" ht="15.5">
      <c r="A181" s="290">
        <f>'Inventory Takeoff'!B185</f>
        <v>180</v>
      </c>
      <c r="B181" s="290" t="e">
        <f t="shared" si="9"/>
        <v>#NAME?</v>
      </c>
      <c r="C181" s="295" t="str">
        <f>'Inventory Takeoff'!C185</f>
        <v>Bolts 5/8 x 1 1/2</v>
      </c>
      <c r="D181" s="297" t="str">
        <f>'Inventory Takeoff'!D185</f>
        <v>Each</v>
      </c>
      <c r="E181" s="291">
        <f>'Inventory Takeoff'!G185</f>
        <v>0.48</v>
      </c>
    </row>
    <row r="182" spans="1:5" ht="15.5">
      <c r="A182" s="290">
        <f>'Inventory Takeoff'!B186</f>
        <v>181</v>
      </c>
      <c r="B182" s="290" t="e">
        <f t="shared" si="9"/>
        <v>#NAME?</v>
      </c>
      <c r="C182" s="295" t="str">
        <f>'Inventory Takeoff'!C186</f>
        <v>Bolts 5/8 x 2</v>
      </c>
      <c r="D182" s="297" t="str">
        <f>'Inventory Takeoff'!D186</f>
        <v>Each</v>
      </c>
      <c r="E182" s="291">
        <f>'Inventory Takeoff'!G186</f>
        <v>0.61</v>
      </c>
    </row>
    <row r="183" spans="1:5" ht="15.5">
      <c r="A183" s="290">
        <f>'Inventory Takeoff'!B187</f>
        <v>182</v>
      </c>
      <c r="B183" s="290" t="e">
        <f t="shared" si="9"/>
        <v>#NAME?</v>
      </c>
      <c r="C183" s="295" t="str">
        <f>'Inventory Takeoff'!C187</f>
        <v>Bolts 3/4 x 1 1/2</v>
      </c>
      <c r="D183" s="297" t="str">
        <f>'Inventory Takeoff'!D187</f>
        <v>Each</v>
      </c>
      <c r="E183" s="291">
        <f>'Inventory Takeoff'!G187</f>
        <v>0.73</v>
      </c>
    </row>
    <row r="184" spans="1:5" ht="15.5">
      <c r="A184" s="290">
        <f>'Inventory Takeoff'!B188</f>
        <v>183</v>
      </c>
      <c r="B184" s="290" t="e">
        <f t="shared" si="9"/>
        <v>#NAME?</v>
      </c>
      <c r="C184" s="295" t="str">
        <f>'Inventory Takeoff'!C188</f>
        <v>Bolts 3/4 x 2</v>
      </c>
      <c r="D184" s="297" t="str">
        <f>'Inventory Takeoff'!D188</f>
        <v>Each</v>
      </c>
      <c r="E184" s="291">
        <f>'Inventory Takeoff'!G188</f>
        <v>0.96</v>
      </c>
    </row>
    <row r="185" spans="1:5" ht="15.5">
      <c r="A185" s="290">
        <f>'Inventory Takeoff'!B189</f>
        <v>184</v>
      </c>
      <c r="B185" s="290" t="e">
        <f t="shared" si="9"/>
        <v>#NAME?</v>
      </c>
      <c r="C185" s="295" t="str">
        <f>'Inventory Takeoff'!C189</f>
        <v>Bolts 3/4 x 2 1/2</v>
      </c>
      <c r="D185" s="297" t="str">
        <f>'Inventory Takeoff'!D189</f>
        <v>Each</v>
      </c>
      <c r="E185" s="291">
        <f>'Inventory Takeoff'!G189</f>
        <v>1.01</v>
      </c>
    </row>
    <row r="186" spans="1:5" ht="15.5">
      <c r="A186" s="290">
        <f>'Inventory Takeoff'!B190</f>
        <v>185</v>
      </c>
      <c r="B186" s="290" t="e">
        <f t="shared" ref="B186:B203" si="10">IF(SUMIFS(Ancillary_Qty,Ancillary_InventoryCode,A186,Ancillary_BoughtOut,"No")=0,"",SUMIFS(Ancillary_Qty,Ancillary_InventoryCode,A186,Ancillary_BoughtOut,"No"))</f>
        <v>#NAME?</v>
      </c>
      <c r="C186" s="295" t="str">
        <f>'Inventory Takeoff'!C190</f>
        <v>Bolt Lagg 1/4 x 1</v>
      </c>
      <c r="D186" s="297" t="str">
        <f>'Inventory Takeoff'!D190</f>
        <v>Each</v>
      </c>
      <c r="E186" s="291">
        <f>'Inventory Takeoff'!G190</f>
        <v>0.05</v>
      </c>
    </row>
    <row r="187" spans="1:5" ht="15.5">
      <c r="A187" s="290">
        <f>'Inventory Takeoff'!B191</f>
        <v>186</v>
      </c>
      <c r="B187" s="290" t="e">
        <f t="shared" si="10"/>
        <v>#NAME?</v>
      </c>
      <c r="C187" s="295" t="str">
        <f>'Inventory Takeoff'!C191</f>
        <v>Bolt Lagg 1/4 x 1</v>
      </c>
      <c r="D187" s="297" t="str">
        <f>'Inventory Takeoff'!D191</f>
        <v>Each</v>
      </c>
      <c r="E187" s="291">
        <f>'Inventory Takeoff'!G191</f>
        <v>0.1</v>
      </c>
    </row>
    <row r="188" spans="1:5" ht="15.5">
      <c r="A188" s="290">
        <f>'Inventory Takeoff'!B192</f>
        <v>187</v>
      </c>
      <c r="B188" s="290" t="e">
        <f t="shared" si="10"/>
        <v>#NAME?</v>
      </c>
      <c r="C188" s="295" t="str">
        <f>'Inventory Takeoff'!C192</f>
        <v>Bolt Lagg 1/4 x 2</v>
      </c>
      <c r="D188" s="297" t="str">
        <f>'Inventory Takeoff'!D192</f>
        <v>Each</v>
      </c>
      <c r="E188" s="291">
        <f>'Inventory Takeoff'!G192</f>
        <v>0.13999999999999999</v>
      </c>
    </row>
    <row r="189" spans="1:5" ht="15.5">
      <c r="A189" s="290">
        <f>'Inventory Takeoff'!B193</f>
        <v>188</v>
      </c>
      <c r="B189" s="290" t="e">
        <f t="shared" si="10"/>
        <v>#NAME?</v>
      </c>
      <c r="C189" s="295" t="str">
        <f>'Inventory Takeoff'!C193</f>
        <v>Bolt Lagg 1/4 x 3</v>
      </c>
      <c r="D189" s="297" t="str">
        <f>'Inventory Takeoff'!D193</f>
        <v>Each</v>
      </c>
      <c r="E189" s="291">
        <f>'Inventory Takeoff'!G193</f>
        <v>0.13</v>
      </c>
    </row>
    <row r="190" spans="1:5" ht="15.5">
      <c r="A190" s="290">
        <f>'Inventory Takeoff'!B194</f>
        <v>189</v>
      </c>
      <c r="B190" s="290" t="e">
        <f t="shared" si="10"/>
        <v>#NAME?</v>
      </c>
      <c r="C190" s="295" t="str">
        <f>'Inventory Takeoff'!C194</f>
        <v>Bolt Lagg 3/8 x 1</v>
      </c>
      <c r="D190" s="297" t="str">
        <f>'Inventory Takeoff'!D194</f>
        <v>Each</v>
      </c>
      <c r="E190" s="291">
        <f>'Inventory Takeoff'!G194</f>
        <v>0.13999999999999999</v>
      </c>
    </row>
    <row r="191" spans="1:5" ht="15.5">
      <c r="A191" s="290">
        <f>'Inventory Takeoff'!B195</f>
        <v>190</v>
      </c>
      <c r="B191" s="290" t="e">
        <f t="shared" si="10"/>
        <v>#NAME?</v>
      </c>
      <c r="C191" s="295" t="str">
        <f>'Inventory Takeoff'!C195</f>
        <v>Bolt Lagg 3/8 x 1 1/2</v>
      </c>
      <c r="D191" s="297" t="str">
        <f>'Inventory Takeoff'!D195</f>
        <v>Each</v>
      </c>
      <c r="E191" s="291">
        <f>'Inventory Takeoff'!G195</f>
        <v>0.23</v>
      </c>
    </row>
    <row r="192" spans="1:5" ht="15.5">
      <c r="A192" s="290">
        <f>'Inventory Takeoff'!B196</f>
        <v>191</v>
      </c>
      <c r="B192" s="290" t="e">
        <f t="shared" si="10"/>
        <v>#NAME?</v>
      </c>
      <c r="C192" s="295" t="str">
        <f>'Inventory Takeoff'!C196</f>
        <v>Bolt Lagg 3/8 x 2</v>
      </c>
      <c r="D192" s="297" t="str">
        <f>'Inventory Takeoff'!D196</f>
        <v>Each</v>
      </c>
      <c r="E192" s="291">
        <f>'Inventory Takeoff'!G196</f>
        <v>0.27</v>
      </c>
    </row>
    <row r="193" spans="1:5" ht="15.5">
      <c r="A193" s="290">
        <f>'Inventory Takeoff'!B197</f>
        <v>192</v>
      </c>
      <c r="B193" s="290" t="e">
        <f t="shared" si="10"/>
        <v>#NAME?</v>
      </c>
      <c r="C193" s="295" t="str">
        <f>'Inventory Takeoff'!C197</f>
        <v>Bolt Lagg 3/8 x 2 1/2</v>
      </c>
      <c r="D193" s="297" t="str">
        <f>'Inventory Takeoff'!D197</f>
        <v>Each</v>
      </c>
      <c r="E193" s="291">
        <f>'Inventory Takeoff'!G197</f>
        <v>0.33</v>
      </c>
    </row>
    <row r="194" spans="1:5" ht="15.5">
      <c r="A194" s="290">
        <f>'Inventory Takeoff'!B198</f>
        <v>193</v>
      </c>
      <c r="B194" s="290" t="e">
        <f t="shared" si="10"/>
        <v>#NAME?</v>
      </c>
      <c r="C194" s="295" t="str">
        <f>'Inventory Takeoff'!C198</f>
        <v>Bolt Lagg 3/8 x 3</v>
      </c>
      <c r="D194" s="297" t="str">
        <f>'Inventory Takeoff'!D198</f>
        <v>Each</v>
      </c>
      <c r="E194" s="291">
        <f>'Inventory Takeoff'!G198</f>
        <v>0.42</v>
      </c>
    </row>
    <row r="195" spans="1:5" ht="15.5">
      <c r="A195" s="290">
        <f>'Inventory Takeoff'!B199</f>
        <v>194</v>
      </c>
      <c r="B195" s="290" t="e">
        <f t="shared" si="10"/>
        <v>#NAME?</v>
      </c>
      <c r="C195" s="295" t="str">
        <f>'Inventory Takeoff'!C199</f>
        <v>Bolt Lagg 1/2 x 2</v>
      </c>
      <c r="D195" s="297" t="str">
        <f>'Inventory Takeoff'!D199</f>
        <v>Each</v>
      </c>
      <c r="E195" s="291">
        <f>'Inventory Takeoff'!G199</f>
        <v>0.28999999999999998</v>
      </c>
    </row>
    <row r="196" spans="1:5" ht="15.5">
      <c r="A196" s="290">
        <f>'Inventory Takeoff'!B200</f>
        <v>195</v>
      </c>
      <c r="B196" s="290" t="e">
        <f t="shared" si="10"/>
        <v>#NAME?</v>
      </c>
      <c r="C196" s="295" t="str">
        <f>'Inventory Takeoff'!C200</f>
        <v>Bolt Lagg 1/2 x 3</v>
      </c>
      <c r="D196" s="297" t="str">
        <f>'Inventory Takeoff'!D200</f>
        <v>Each</v>
      </c>
      <c r="E196" s="291">
        <f>'Inventory Takeoff'!G200</f>
        <v>0.55999999999999994</v>
      </c>
    </row>
    <row r="197" spans="1:5" ht="15.5">
      <c r="A197" s="290">
        <f>'Inventory Takeoff'!B201</f>
        <v>196</v>
      </c>
      <c r="B197" s="290" t="e">
        <f t="shared" si="10"/>
        <v>#NAME?</v>
      </c>
      <c r="C197" s="295" t="str">
        <f>'Inventory Takeoff'!C201</f>
        <v>Bolt Stainless Steel 1/4 x 1</v>
      </c>
      <c r="D197" s="297" t="str">
        <f>'Inventory Takeoff'!D201</f>
        <v>Each</v>
      </c>
      <c r="E197" s="291">
        <f>'Inventory Takeoff'!G201</f>
        <v>0.13999999999999999</v>
      </c>
    </row>
    <row r="198" spans="1:5" ht="15.5">
      <c r="A198" s="290">
        <f>'Inventory Takeoff'!B202</f>
        <v>197</v>
      </c>
      <c r="B198" s="290" t="e">
        <f t="shared" si="10"/>
        <v>#NAME?</v>
      </c>
      <c r="C198" s="295" t="str">
        <f>'Inventory Takeoff'!C202</f>
        <v>Bolt Stainless Steel 1/4 x 1 1/2</v>
      </c>
      <c r="D198" s="297" t="str">
        <f>'Inventory Takeoff'!D202</f>
        <v>Each</v>
      </c>
      <c r="E198" s="291">
        <f>'Inventory Takeoff'!G202</f>
        <v>0.27999999999999997</v>
      </c>
    </row>
    <row r="199" spans="1:5" ht="15.5">
      <c r="A199" s="290">
        <f>'Inventory Takeoff'!B203</f>
        <v>198</v>
      </c>
      <c r="B199" s="290" t="e">
        <f t="shared" si="10"/>
        <v>#NAME?</v>
      </c>
      <c r="C199" s="295" t="str">
        <f>'Inventory Takeoff'!C203</f>
        <v>Bolt Stainless Steel 1/4 x 2</v>
      </c>
      <c r="D199" s="297" t="str">
        <f>'Inventory Takeoff'!D203</f>
        <v>Each</v>
      </c>
      <c r="E199" s="291">
        <f>'Inventory Takeoff'!G203</f>
        <v>0.27999999999999997</v>
      </c>
    </row>
    <row r="200" spans="1:5" ht="15.5">
      <c r="A200" s="290">
        <f>'Inventory Takeoff'!B204</f>
        <v>199</v>
      </c>
      <c r="B200" s="290" t="e">
        <f t="shared" si="10"/>
        <v>#NAME?</v>
      </c>
      <c r="C200" s="295" t="str">
        <f>'Inventory Takeoff'!C204</f>
        <v>Bolt Stainless Steel 3/8 x 1</v>
      </c>
      <c r="D200" s="297" t="str">
        <f>'Inventory Takeoff'!D204</f>
        <v>Each</v>
      </c>
      <c r="E200" s="291">
        <f>'Inventory Takeoff'!G204</f>
        <v>0.32</v>
      </c>
    </row>
    <row r="201" spans="1:5" ht="15.5">
      <c r="A201" s="290">
        <f>'Inventory Takeoff'!B205</f>
        <v>200</v>
      </c>
      <c r="B201" s="290" t="e">
        <f t="shared" si="10"/>
        <v>#NAME?</v>
      </c>
      <c r="C201" s="295" t="str">
        <f>'Inventory Takeoff'!C205</f>
        <v>Bolt Stainless Steel 3/8 x 1 1/2</v>
      </c>
      <c r="D201" s="297" t="str">
        <f>'Inventory Takeoff'!D205</f>
        <v>Each</v>
      </c>
      <c r="E201" s="291">
        <f>'Inventory Takeoff'!G205</f>
        <v>0.26</v>
      </c>
    </row>
    <row r="202" spans="1:5" ht="15.5">
      <c r="A202" s="290">
        <f>'Inventory Takeoff'!B206</f>
        <v>201</v>
      </c>
      <c r="B202" s="290" t="e">
        <f t="shared" si="10"/>
        <v>#NAME?</v>
      </c>
      <c r="C202" s="295" t="str">
        <f>'Inventory Takeoff'!C206</f>
        <v>Bolt Stainless Steel 3/8 x 2</v>
      </c>
      <c r="D202" s="297" t="str">
        <f>'Inventory Takeoff'!D206</f>
        <v>Each</v>
      </c>
      <c r="E202" s="291">
        <f>'Inventory Takeoff'!G206</f>
        <v>0.35</v>
      </c>
    </row>
    <row r="203" spans="1:5" ht="15.5">
      <c r="A203" s="290">
        <f>'Inventory Takeoff'!B207</f>
        <v>202</v>
      </c>
      <c r="B203" s="290" t="e">
        <f t="shared" si="10"/>
        <v>#NAME?</v>
      </c>
      <c r="C203" s="295" t="str">
        <f>'Inventory Takeoff'!C207</f>
        <v>Brushes 1 1/2</v>
      </c>
      <c r="D203" s="297" t="str">
        <f>'Inventory Takeoff'!D207</f>
        <v>Each</v>
      </c>
      <c r="E203" s="291">
        <f>'Inventory Takeoff'!G207</f>
        <v>0.32</v>
      </c>
    </row>
    <row r="204" spans="1:5" ht="15.5">
      <c r="A204" s="290">
        <f>'Inventory Takeoff'!B208</f>
        <v>203</v>
      </c>
      <c r="B204" s="290" t="e">
        <f>IF(SUMIFS(Ancillary_Length,Ancillary_InventoryCode,A204,Ancillary_BoughtOut,"No")=0,"",SUMIFS(Ancillary_Length,Ancillary_InventoryCode,A204,Ancillary_BoughtOut,"No",Ancillary_Name,"*shop*")/20)</f>
        <v>#NAME?</v>
      </c>
      <c r="C204" s="295" t="str">
        <f>'Inventory Takeoff'!C208</f>
        <v>Vulkem Caulking - Tube</v>
      </c>
      <c r="D204" s="297" t="str">
        <f>'Inventory Takeoff'!D208</f>
        <v>Each</v>
      </c>
      <c r="E204" s="291">
        <f>'Inventory Takeoff'!G208</f>
        <v>7</v>
      </c>
    </row>
    <row r="205" spans="1:5" ht="15.5">
      <c r="A205" s="290">
        <f>'Inventory Takeoff'!B209</f>
        <v>204</v>
      </c>
      <c r="B205" s="290" t="e">
        <f>IF(SUMIFS(Ancillary_Length,Ancillary_InventoryCode,A205,Ancillary_BoughtOut,"No")=0,"",IF(SUMIFS(Ancillary_Length,Ancillary_InventoryCode,A205,Ancillary_BoughtOut,"No",Ancillary_Name,"*shop*")/20=0,"",SUMIFS(Ancillary_Length,Ancillary_InventoryCode,A205,Ancillary_BoughtOut,"No",Ancillary_Name,"*shop*")/20))</f>
        <v>#NAME?</v>
      </c>
      <c r="C205" s="295" t="str">
        <f>'Inventory Takeoff'!C209</f>
        <v>Silicone Caulking - Tube</v>
      </c>
      <c r="D205" s="297" t="str">
        <f>'Inventory Takeoff'!D209</f>
        <v>Each</v>
      </c>
      <c r="E205" s="291">
        <f>'Inventory Takeoff'!G209</f>
        <v>6.67</v>
      </c>
    </row>
    <row r="206" spans="1:5" ht="15.5">
      <c r="A206" s="290">
        <f>'Inventory Takeoff'!B210</f>
        <v>205</v>
      </c>
      <c r="B206" s="290" t="e">
        <f>IF(SUMIFS(Ancillary_Length,Ancillary_InventoryCode,A206,Ancillary_BoughtOut,"No")=0,"",SUMIFS(Ancillary_Length,Ancillary_InventoryCode,A206,Ancillary_BoughtOut,"No",Ancillary_Name,"*shop*")/20)</f>
        <v>#NAME?</v>
      </c>
      <c r="C206" s="295" t="str">
        <f>'Inventory Takeoff'!C210</f>
        <v>Fire Caulk - Tube</v>
      </c>
      <c r="D206" s="297" t="str">
        <f>'Inventory Takeoff'!D210</f>
        <v>Each</v>
      </c>
      <c r="E206" s="291">
        <f>'Inventory Takeoff'!G210</f>
        <v>21.56</v>
      </c>
    </row>
    <row r="207" spans="1:5" ht="15.5">
      <c r="A207" s="290">
        <f>'Inventory Takeoff'!B211</f>
        <v>206</v>
      </c>
      <c r="B207" s="290" t="e">
        <f>IF(SUMIFS(Ancillary_Length,Ancillary_InventoryCode,A207,Ancillary_BoughtOut,"No")=0,"",SUMIFS(Ancillary_Length,Ancillary_InventoryCode,A207,Ancillary_BoughtOut,"No",Ancillary_Name,"*shop*")/20)</f>
        <v>#NAME?</v>
      </c>
      <c r="C207" s="295" t="str">
        <f>'Inventory Takeoff'!C211</f>
        <v>M1 Caulking - Tube</v>
      </c>
      <c r="D207" s="297" t="str">
        <f>'Inventory Takeoff'!D211</f>
        <v>Each</v>
      </c>
      <c r="E207" s="291">
        <f>'Inventory Takeoff'!G211</f>
        <v>10.220000000000001</v>
      </c>
    </row>
    <row r="208" spans="1:5" ht="15.5">
      <c r="A208" s="290">
        <f>'Inventory Takeoff'!B212</f>
        <v>207</v>
      </c>
      <c r="B208" s="290" t="e">
        <f t="shared" ref="B208:B214" si="11">IF(SUMIFS(Ancillary_Qty,Ancillary_InventoryCode,A208,Ancillary_BoughtOut,"No")=0,"",SUMIFS(Ancillary_Qty,Ancillary_InventoryCode,A208,Ancillary_BoughtOut,"No"))</f>
        <v>#NAME?</v>
      </c>
      <c r="C208" s="295" t="str">
        <f>'Inventory Takeoff'!C212</f>
        <v>Gutterseal</v>
      </c>
      <c r="D208" s="297" t="str">
        <f>'Inventory Takeoff'!D212</f>
        <v>Each</v>
      </c>
      <c r="E208" s="291">
        <f>'Inventory Takeoff'!G212</f>
        <v>33.79</v>
      </c>
    </row>
    <row r="209" spans="1:5" ht="15.5">
      <c r="A209" s="290">
        <f>'Inventory Takeoff'!B213</f>
        <v>208</v>
      </c>
      <c r="B209" s="290" t="e">
        <f t="shared" si="11"/>
        <v>#NAME?</v>
      </c>
      <c r="C209" s="295" t="str">
        <f>'Inventory Takeoff'!C213</f>
        <v>Chain Jack #12</v>
      </c>
      <c r="D209" s="297" t="str">
        <f>'Inventory Takeoff'!D213</f>
        <v>Foot</v>
      </c>
      <c r="E209" s="291">
        <f>'Inventory Takeoff'!G213</f>
        <v>0.44</v>
      </c>
    </row>
    <row r="210" spans="1:5" ht="15.5">
      <c r="A210" s="290">
        <f>'Inventory Takeoff'!B214</f>
        <v>209</v>
      </c>
      <c r="B210" s="290" t="e">
        <f t="shared" si="11"/>
        <v>#NAME?</v>
      </c>
      <c r="C210" s="295" t="str">
        <f>'Inventory Takeoff'!C214</f>
        <v>Concealed Regulator</v>
      </c>
      <c r="D210" s="297" t="str">
        <f>'Inventory Takeoff'!D214</f>
        <v>Each</v>
      </c>
      <c r="E210" s="291">
        <f>'Inventory Takeoff'!G214</f>
        <v>3.94</v>
      </c>
    </row>
    <row r="211" spans="1:5" ht="15.5">
      <c r="A211" s="290">
        <f>'Inventory Takeoff'!B215</f>
        <v>210</v>
      </c>
      <c r="B211" s="290" t="e">
        <f t="shared" si="11"/>
        <v>#NAME?</v>
      </c>
      <c r="C211" s="295" t="str">
        <f>'Inventory Takeoff'!C215</f>
        <v>Conduit 1/2 Locks</v>
      </c>
      <c r="D211" s="297" t="str">
        <f>'Inventory Takeoff'!D215</f>
        <v>Each</v>
      </c>
      <c r="E211" s="291">
        <f>'Inventory Takeoff'!G215</f>
        <v>0.99</v>
      </c>
    </row>
    <row r="212" spans="1:5" ht="15.5">
      <c r="A212" s="290">
        <f>'Inventory Takeoff'!B216</f>
        <v>211</v>
      </c>
      <c r="B212" s="290" t="e">
        <f t="shared" si="11"/>
        <v>#NAME?</v>
      </c>
      <c r="C212" s="295" t="str">
        <f>'Inventory Takeoff'!C216</f>
        <v>Cobra 1" pins</v>
      </c>
      <c r="D212" s="297" t="str">
        <f>'Inventory Takeoff'!D216</f>
        <v>Each</v>
      </c>
      <c r="E212" s="291">
        <f>'Inventory Takeoff'!G216</f>
        <v>0.05</v>
      </c>
    </row>
    <row r="213" spans="1:5" ht="15.5">
      <c r="A213" s="290">
        <f>'Inventory Takeoff'!B217</f>
        <v>212</v>
      </c>
      <c r="B213" s="290" t="e">
        <f t="shared" si="11"/>
        <v>#NAME?</v>
      </c>
      <c r="C213" s="295" t="str">
        <f>'Inventory Takeoff'!C217</f>
        <v>Cobra Shots</v>
      </c>
      <c r="D213" s="297" t="str">
        <f>'Inventory Takeoff'!D217</f>
        <v>Each</v>
      </c>
      <c r="E213" s="291">
        <f>'Inventory Takeoff'!G217</f>
        <v>0.13</v>
      </c>
    </row>
    <row r="214" spans="1:5" ht="15.5">
      <c r="A214" s="290">
        <f>'Inventory Takeoff'!B218</f>
        <v>213</v>
      </c>
      <c r="B214" s="290" t="e">
        <f t="shared" si="11"/>
        <v>#NAME?</v>
      </c>
      <c r="C214" s="295" t="str">
        <f>'Inventory Takeoff'!C218</f>
        <v>3/8 Damper U-Bolts</v>
      </c>
      <c r="D214" s="297" t="str">
        <f>'Inventory Takeoff'!D218</f>
        <v>Each</v>
      </c>
      <c r="E214" s="291">
        <f>'Inventory Takeoff'!G218</f>
        <v>0.42</v>
      </c>
    </row>
    <row r="215" spans="1:5" ht="15.5">
      <c r="A215" s="290">
        <f>'Inventory Takeoff'!B219</f>
        <v>214</v>
      </c>
      <c r="B215" s="290" t="e">
        <f>IF(SUMIFS(Ancillary_Length,Ancillary_InventoryCode,A215,Ancillary_BoughtOut,"No")=0,"",SUMIFS(Ancillary_Length,Ancillary_InventoryCode,A215,Ancillary_BoughtOut,"No"))</f>
        <v>#NAME?</v>
      </c>
      <c r="C215" s="295" t="str">
        <f>'Inventory Takeoff'!C219</f>
        <v>1/2 Conduit</v>
      </c>
      <c r="D215" s="297" t="str">
        <f>'Inventory Takeoff'!D219</f>
        <v>Foot</v>
      </c>
      <c r="E215" s="291">
        <f>'Inventory Takeoff'!G219</f>
        <v>0.64</v>
      </c>
    </row>
    <row r="216" spans="1:5" ht="15.5">
      <c r="A216" s="290">
        <f>'Inventory Takeoff'!B220</f>
        <v>215</v>
      </c>
      <c r="B216" s="290" t="e">
        <f t="shared" ref="B216:B259" si="12">IF(SUMIFS(Ancillary_Qty,Ancillary_InventoryCode,A216,Ancillary_BoughtOut,"No")=0,"",SUMIFS(Ancillary_Qty,Ancillary_InventoryCode,A216,Ancillary_BoughtOut,"No"))</f>
        <v>#NAME?</v>
      </c>
      <c r="C216" s="295" t="str">
        <f>'Inventory Takeoff'!C220</f>
        <v>Damper Quad 3/8 (handle)</v>
      </c>
      <c r="D216" s="297" t="str">
        <f>'Inventory Takeoff'!D220</f>
        <v>Each</v>
      </c>
      <c r="E216" s="291">
        <f>'Inventory Takeoff'!G220</f>
        <v>14.209999999999999</v>
      </c>
    </row>
    <row r="217" spans="1:5" ht="15.5">
      <c r="A217" s="290">
        <f>'Inventory Takeoff'!B221</f>
        <v>216</v>
      </c>
      <c r="B217" s="290" t="e">
        <f t="shared" si="12"/>
        <v>#NAME?</v>
      </c>
      <c r="C217" s="295" t="str">
        <f>'Inventory Takeoff'!C221</f>
        <v>3/8 Damper Bearing</v>
      </c>
      <c r="D217" s="297" t="str">
        <f>'Inventory Takeoff'!D221</f>
        <v>Each</v>
      </c>
      <c r="E217" s="291">
        <f>'Inventory Takeoff'!G221</f>
        <v>3.4400000000000004</v>
      </c>
    </row>
    <row r="218" spans="1:5" ht="15.5">
      <c r="A218" s="290">
        <f>'Inventory Takeoff'!B222</f>
        <v>217</v>
      </c>
      <c r="B218" s="290" t="e">
        <f t="shared" si="12"/>
        <v>#NAME?</v>
      </c>
      <c r="C218" s="295" t="str">
        <f>'Inventory Takeoff'!C222</f>
        <v>Quad Sets</v>
      </c>
      <c r="D218" s="297" t="str">
        <f>'Inventory Takeoff'!D222</f>
        <v>Each</v>
      </c>
      <c r="E218" s="291">
        <f>'Inventory Takeoff'!G222</f>
        <v>10.84</v>
      </c>
    </row>
    <row r="219" spans="1:5" ht="15.5">
      <c r="A219" s="290">
        <f>'Inventory Takeoff'!B223</f>
        <v>218</v>
      </c>
      <c r="B219" s="290" t="e">
        <f t="shared" si="12"/>
        <v>#NAME?</v>
      </c>
      <c r="C219" s="295" t="str">
        <f>'Inventory Takeoff'!C223</f>
        <v>Damper Oppose Brack</v>
      </c>
      <c r="D219" s="297" t="str">
        <f>'Inventory Takeoff'!D223</f>
        <v>Each</v>
      </c>
      <c r="E219" s="291">
        <f>'Inventory Takeoff'!G223</f>
        <v>3.1300000000000003</v>
      </c>
    </row>
    <row r="220" spans="1:5" ht="15.5">
      <c r="A220" s="290">
        <f>'Inventory Takeoff'!B224</f>
        <v>219</v>
      </c>
      <c r="B220" s="290" t="e">
        <f t="shared" si="12"/>
        <v>#NAME?</v>
      </c>
      <c r="C220" s="295" t="str">
        <f>'Inventory Takeoff'!C224</f>
        <v>Damper Parallel Brack</v>
      </c>
      <c r="D220" s="297" t="str">
        <f>'Inventory Takeoff'!D224</f>
        <v>Each</v>
      </c>
      <c r="E220" s="291">
        <f>'Inventory Takeoff'!G224</f>
        <v>1.5899999999999999</v>
      </c>
    </row>
    <row r="221" spans="1:5" ht="15.5">
      <c r="A221" s="290">
        <f>'Inventory Takeoff'!B225</f>
        <v>220</v>
      </c>
      <c r="B221" s="290" t="e">
        <f t="shared" si="12"/>
        <v>#NAME?</v>
      </c>
      <c r="C221" s="295" t="str">
        <f>'Inventory Takeoff'!C225</f>
        <v>Damper 1/2 Bushing</v>
      </c>
      <c r="D221" s="297" t="str">
        <f>'Inventory Takeoff'!D225</f>
        <v>Each</v>
      </c>
      <c r="E221" s="291">
        <f>'Inventory Takeoff'!G225</f>
        <v>0.27999999999999997</v>
      </c>
    </row>
    <row r="222" spans="1:5" ht="15.5">
      <c r="A222" s="290">
        <f>'Inventory Takeoff'!B226</f>
        <v>221</v>
      </c>
      <c r="B222" s="290" t="e">
        <f t="shared" si="12"/>
        <v>#NAME?</v>
      </c>
      <c r="C222" s="295" t="str">
        <f>'Inventory Takeoff'!C226</f>
        <v>Damper 1/2 Slave Pin</v>
      </c>
      <c r="D222" s="297" t="str">
        <f>'Inventory Takeoff'!D226</f>
        <v>Each</v>
      </c>
      <c r="E222" s="291">
        <f>'Inventory Takeoff'!G226</f>
        <v>0.9</v>
      </c>
    </row>
    <row r="223" spans="1:5" ht="15.5">
      <c r="A223" s="290">
        <f>'Inventory Takeoff'!B227</f>
        <v>222</v>
      </c>
      <c r="B223" s="290" t="e">
        <f t="shared" si="12"/>
        <v>#NAME?</v>
      </c>
      <c r="C223" s="295" t="str">
        <f>'Inventory Takeoff'!C227</f>
        <v>Damper Rappit Set</v>
      </c>
      <c r="D223" s="297" t="str">
        <f>'Inventory Takeoff'!D227</f>
        <v>Each</v>
      </c>
      <c r="E223" s="291">
        <f>'Inventory Takeoff'!G227</f>
        <v>4.9800000000000004</v>
      </c>
    </row>
    <row r="224" spans="1:5" ht="15.5">
      <c r="A224" s="290">
        <f>'Inventory Takeoff'!B228</f>
        <v>223</v>
      </c>
      <c r="B224" s="290" t="e">
        <f t="shared" si="12"/>
        <v>#NAME?</v>
      </c>
      <c r="C224" s="295" t="str">
        <f>'Inventory Takeoff'!C228</f>
        <v>Damper 3/8 Coupling</v>
      </c>
      <c r="D224" s="297" t="str">
        <f>'Inventory Takeoff'!D228</f>
        <v>Each</v>
      </c>
      <c r="E224" s="291">
        <f>'Inventory Takeoff'!G228</f>
        <v>1.56</v>
      </c>
    </row>
    <row r="225" spans="1:5" ht="15.5">
      <c r="A225" s="290">
        <f>'Inventory Takeoff'!B229</f>
        <v>224</v>
      </c>
      <c r="B225" s="290" t="e">
        <f t="shared" si="12"/>
        <v>#NAME?</v>
      </c>
      <c r="C225" s="295" t="str">
        <f>'Inventory Takeoff'!C229</f>
        <v>Damper 3/8 Swivel Co.</v>
      </c>
      <c r="D225" s="297" t="str">
        <f>'Inventory Takeoff'!D229</f>
        <v>Each</v>
      </c>
      <c r="E225" s="291">
        <f>'Inventory Takeoff'!G229</f>
        <v>4.03</v>
      </c>
    </row>
    <row r="226" spans="1:5" ht="15.5">
      <c r="A226" s="290">
        <f>'Inventory Takeoff'!B230</f>
        <v>225</v>
      </c>
      <c r="B226" s="290" t="e">
        <f t="shared" si="12"/>
        <v>#NAME?</v>
      </c>
      <c r="C226" s="295" t="str">
        <f>'Inventory Takeoff'!C230</f>
        <v>Damper 90 Angle Dr</v>
      </c>
      <c r="D226" s="297" t="str">
        <f>'Inventory Takeoff'!D230</f>
        <v>Each</v>
      </c>
      <c r="E226" s="291">
        <f>'Inventory Takeoff'!G230</f>
        <v>18.919999999999998</v>
      </c>
    </row>
    <row r="227" spans="1:5" ht="15.5">
      <c r="A227" s="290">
        <f>'Inventory Takeoff'!B231</f>
        <v>226</v>
      </c>
      <c r="B227" s="290" t="e">
        <f t="shared" si="12"/>
        <v>#NAME?</v>
      </c>
      <c r="C227" s="295" t="str">
        <f>'Inventory Takeoff'!C231</f>
        <v>Damper 1/2 Regulator</v>
      </c>
      <c r="D227" s="297" t="str">
        <f>'Inventory Takeoff'!D231</f>
        <v>Each</v>
      </c>
      <c r="E227" s="291">
        <f>'Inventory Takeoff'!G231</f>
        <v>3.01</v>
      </c>
    </row>
    <row r="228" spans="1:5" ht="15.5">
      <c r="A228" s="290">
        <f>'Inventory Takeoff'!B232</f>
        <v>227</v>
      </c>
      <c r="B228" s="290" t="e">
        <f t="shared" si="12"/>
        <v>#NAME?</v>
      </c>
      <c r="C228" s="295" t="str">
        <f>'Inventory Takeoff'!C232</f>
        <v>4" Jiffy Damper</v>
      </c>
      <c r="D228" s="297" t="str">
        <f>'Inventory Takeoff'!D232</f>
        <v>Each</v>
      </c>
      <c r="E228" s="291">
        <f>'Inventory Takeoff'!G232</f>
        <v>1.82</v>
      </c>
    </row>
    <row r="229" spans="1:5" ht="15.5">
      <c r="A229" s="290">
        <f>'Inventory Takeoff'!B233</f>
        <v>228</v>
      </c>
      <c r="B229" s="290" t="e">
        <f t="shared" si="12"/>
        <v>#NAME?</v>
      </c>
      <c r="C229" s="295" t="str">
        <f>'Inventory Takeoff'!C233</f>
        <v>5" Jiffy Damper</v>
      </c>
      <c r="D229" s="297" t="str">
        <f>'Inventory Takeoff'!D233</f>
        <v>Each</v>
      </c>
      <c r="E229" s="291">
        <f>'Inventory Takeoff'!G233</f>
        <v>3.8499999999999996</v>
      </c>
    </row>
    <row r="230" spans="1:5" ht="15.5">
      <c r="A230" s="290">
        <f>'Inventory Takeoff'!B234</f>
        <v>229</v>
      </c>
      <c r="B230" s="290" t="e">
        <f t="shared" si="12"/>
        <v>#NAME?</v>
      </c>
      <c r="C230" s="295" t="str">
        <f>'Inventory Takeoff'!C234</f>
        <v>6" Jiffy Damper</v>
      </c>
      <c r="D230" s="297" t="str">
        <f>'Inventory Takeoff'!D234</f>
        <v>Each</v>
      </c>
      <c r="E230" s="291">
        <f>'Inventory Takeoff'!G234</f>
        <v>5.44</v>
      </c>
    </row>
    <row r="231" spans="1:5" ht="15.5">
      <c r="A231" s="290">
        <f>'Inventory Takeoff'!B235</f>
        <v>230</v>
      </c>
      <c r="B231" s="290" t="e">
        <f t="shared" si="12"/>
        <v>#NAME?</v>
      </c>
      <c r="C231" s="295" t="str">
        <f>'Inventory Takeoff'!C235</f>
        <v>7" Jiffy Damper</v>
      </c>
      <c r="D231" s="297" t="str">
        <f>'Inventory Takeoff'!D235</f>
        <v>Each</v>
      </c>
      <c r="E231" s="291">
        <f>'Inventory Takeoff'!G235</f>
        <v>8.01</v>
      </c>
    </row>
    <row r="232" spans="1:5" ht="15.5">
      <c r="A232" s="290">
        <f>'Inventory Takeoff'!B236</f>
        <v>231</v>
      </c>
      <c r="B232" s="290" t="e">
        <f t="shared" si="12"/>
        <v>#NAME?</v>
      </c>
      <c r="C232" s="295" t="str">
        <f>'Inventory Takeoff'!C236</f>
        <v>8" Jiffy Damper</v>
      </c>
      <c r="D232" s="297" t="str">
        <f>'Inventory Takeoff'!D236</f>
        <v>Each</v>
      </c>
      <c r="E232" s="291">
        <f>'Inventory Takeoff'!G236</f>
        <v>11.39</v>
      </c>
    </row>
    <row r="233" spans="1:5" ht="15.5">
      <c r="A233" s="290">
        <f>'Inventory Takeoff'!B237</f>
        <v>232</v>
      </c>
      <c r="B233" s="290" t="e">
        <f t="shared" si="12"/>
        <v>#NAME?</v>
      </c>
      <c r="C233" s="295" t="str">
        <f>'Inventory Takeoff'!C237</f>
        <v>9" Jiffy Damper</v>
      </c>
      <c r="D233" s="297" t="str">
        <f>'Inventory Takeoff'!D237</f>
        <v>Each</v>
      </c>
      <c r="E233" s="291">
        <f>'Inventory Takeoff'!G237</f>
        <v>11.65</v>
      </c>
    </row>
    <row r="234" spans="1:5" ht="15.5">
      <c r="A234" s="290">
        <f>'Inventory Takeoff'!B238</f>
        <v>233</v>
      </c>
      <c r="B234" s="290" t="e">
        <f t="shared" si="12"/>
        <v>#NAME?</v>
      </c>
      <c r="C234" s="295" t="str">
        <f>'Inventory Takeoff'!C238</f>
        <v>10" Jiffy Damper</v>
      </c>
      <c r="D234" s="297" t="str">
        <f>'Inventory Takeoff'!D238</f>
        <v>Each</v>
      </c>
      <c r="E234" s="291">
        <f>'Inventory Takeoff'!G238</f>
        <v>11.65</v>
      </c>
    </row>
    <row r="235" spans="1:5" ht="15.5">
      <c r="A235" s="290">
        <f>'Inventory Takeoff'!B239</f>
        <v>234</v>
      </c>
      <c r="B235" s="290" t="e">
        <f t="shared" si="12"/>
        <v>#NAME?</v>
      </c>
      <c r="C235" s="295" t="str">
        <f>'Inventory Takeoff'!C239</f>
        <v>12" Jiffy Damper</v>
      </c>
      <c r="D235" s="297" t="str">
        <f>'Inventory Takeoff'!D239</f>
        <v>Each</v>
      </c>
      <c r="E235" s="291">
        <f>'Inventory Takeoff'!G239</f>
        <v>11.91</v>
      </c>
    </row>
    <row r="236" spans="1:5" ht="15.5">
      <c r="A236" s="290">
        <f>'Inventory Takeoff'!B240</f>
        <v>235</v>
      </c>
      <c r="B236" s="290" t="e">
        <f t="shared" si="12"/>
        <v>#NAME?</v>
      </c>
      <c r="C236" s="295" t="str">
        <f>'Inventory Takeoff'!C240</f>
        <v>Drill Bit #30</v>
      </c>
      <c r="D236" s="297" t="str">
        <f>'Inventory Takeoff'!D240</f>
        <v>Each</v>
      </c>
      <c r="E236" s="291">
        <f>'Inventory Takeoff'!G240</f>
        <v>1.45</v>
      </c>
    </row>
    <row r="237" spans="1:5" ht="15.5">
      <c r="A237" s="290">
        <f>'Inventory Takeoff'!B241</f>
        <v>236</v>
      </c>
      <c r="B237" s="290" t="e">
        <f t="shared" si="12"/>
        <v>#NAME?</v>
      </c>
      <c r="C237" s="295" t="str">
        <f>'Inventory Takeoff'!C241</f>
        <v>Drill Bit 1/8</v>
      </c>
      <c r="D237" s="297" t="str">
        <f>'Inventory Takeoff'!D241</f>
        <v>Each</v>
      </c>
      <c r="E237" s="291">
        <f>'Inventory Takeoff'!G241</f>
        <v>1.3399999999999999</v>
      </c>
    </row>
    <row r="238" spans="1:5" ht="15.5">
      <c r="A238" s="290">
        <f>'Inventory Takeoff'!B242</f>
        <v>237</v>
      </c>
      <c r="B238" s="290" t="e">
        <f t="shared" si="12"/>
        <v>#NAME?</v>
      </c>
      <c r="C238" s="295" t="str">
        <f>'Inventory Takeoff'!C242</f>
        <v>Drill Bit 5/64"</v>
      </c>
      <c r="D238" s="297" t="str">
        <f>'Inventory Takeoff'!D242</f>
        <v>Each</v>
      </c>
      <c r="E238" s="291">
        <f>'Inventory Takeoff'!G242</f>
        <v>1.48</v>
      </c>
    </row>
    <row r="239" spans="1:5" ht="15.5">
      <c r="A239" s="290">
        <f>'Inventory Takeoff'!B243</f>
        <v>238</v>
      </c>
      <c r="B239" s="290" t="e">
        <f t="shared" si="12"/>
        <v>#NAME?</v>
      </c>
      <c r="C239" s="295" t="str">
        <f>'Inventory Takeoff'!C243</f>
        <v>Drill Bit 3/32"</v>
      </c>
      <c r="D239" s="297" t="str">
        <f>'Inventory Takeoff'!D243</f>
        <v>Each</v>
      </c>
      <c r="E239" s="291">
        <f>'Inventory Takeoff'!G243</f>
        <v>1.5</v>
      </c>
    </row>
    <row r="240" spans="1:5" ht="15.5">
      <c r="A240" s="290">
        <f>'Inventory Takeoff'!B244</f>
        <v>239</v>
      </c>
      <c r="B240" s="290" t="e">
        <f t="shared" si="12"/>
        <v>#NAME?</v>
      </c>
      <c r="C240" s="295" t="str">
        <f>'Inventory Takeoff'!C244</f>
        <v>Drill Bit 5/32"</v>
      </c>
      <c r="D240" s="297" t="str">
        <f>'Inventory Takeoff'!D244</f>
        <v>Each</v>
      </c>
      <c r="E240" s="291">
        <f>'Inventory Takeoff'!G244</f>
        <v>1.98</v>
      </c>
    </row>
    <row r="241" spans="1:5" ht="15.5">
      <c r="A241" s="290">
        <f>'Inventory Takeoff'!B245</f>
        <v>240</v>
      </c>
      <c r="B241" s="290" t="e">
        <f t="shared" si="12"/>
        <v>#NAME?</v>
      </c>
      <c r="C241" s="295" t="str">
        <f>'Inventory Takeoff'!C245</f>
        <v>Drill Bit 3/16"</v>
      </c>
      <c r="D241" s="297" t="str">
        <f>'Inventory Takeoff'!D245</f>
        <v>Each</v>
      </c>
      <c r="E241" s="291">
        <f>'Inventory Takeoff'!G245</f>
        <v>2.1799999999999997</v>
      </c>
    </row>
    <row r="242" spans="1:5" ht="15.5">
      <c r="A242" s="290">
        <f>'Inventory Takeoff'!B246</f>
        <v>241</v>
      </c>
      <c r="B242" s="290" t="e">
        <f t="shared" si="12"/>
        <v>#NAME?</v>
      </c>
      <c r="C242" s="295" t="str">
        <f>'Inventory Takeoff'!C246</f>
        <v>Drill Bit 7/32"</v>
      </c>
      <c r="D242" s="297" t="str">
        <f>'Inventory Takeoff'!D246</f>
        <v>Each</v>
      </c>
      <c r="E242" s="291">
        <f>'Inventory Takeoff'!G246</f>
        <v>2.76</v>
      </c>
    </row>
    <row r="243" spans="1:5" ht="15.5">
      <c r="A243" s="290">
        <f>'Inventory Takeoff'!B247</f>
        <v>242</v>
      </c>
      <c r="B243" s="290" t="e">
        <f t="shared" si="12"/>
        <v>#NAME?</v>
      </c>
      <c r="C243" s="295" t="str">
        <f>'Inventory Takeoff'!C247</f>
        <v>Drill Bit 1/4"</v>
      </c>
      <c r="D243" s="297" t="str">
        <f>'Inventory Takeoff'!D247</f>
        <v>Each</v>
      </c>
      <c r="E243" s="291">
        <f>'Inventory Takeoff'!G247</f>
        <v>2.93</v>
      </c>
    </row>
    <row r="244" spans="1:5" ht="15.5">
      <c r="A244" s="290">
        <f>'Inventory Takeoff'!B248</f>
        <v>243</v>
      </c>
      <c r="B244" s="290" t="e">
        <f t="shared" si="12"/>
        <v>#NAME?</v>
      </c>
      <c r="C244" s="295" t="str">
        <f>'Inventory Takeoff'!C248</f>
        <v>Drill Bit 9/32"</v>
      </c>
      <c r="D244" s="297" t="str">
        <f>'Inventory Takeoff'!D248</f>
        <v>Each</v>
      </c>
      <c r="E244" s="291">
        <f>'Inventory Takeoff'!G248</f>
        <v>4.3100000000000005</v>
      </c>
    </row>
    <row r="245" spans="1:5" ht="15.5">
      <c r="A245" s="290">
        <f>'Inventory Takeoff'!B249</f>
        <v>244</v>
      </c>
      <c r="B245" s="290" t="e">
        <f t="shared" si="12"/>
        <v>#NAME?</v>
      </c>
      <c r="C245" s="295" t="str">
        <f>'Inventory Takeoff'!C249</f>
        <v>Drill Bit 5/16"</v>
      </c>
      <c r="D245" s="297" t="str">
        <f>'Inventory Takeoff'!D249</f>
        <v>Each</v>
      </c>
      <c r="E245" s="291">
        <f>'Inventory Takeoff'!G249</f>
        <v>4.0999999999999996</v>
      </c>
    </row>
    <row r="246" spans="1:5" ht="15.5">
      <c r="A246" s="290">
        <f>'Inventory Takeoff'!B250</f>
        <v>245</v>
      </c>
      <c r="B246" s="290" t="e">
        <f t="shared" si="12"/>
        <v>#NAME?</v>
      </c>
      <c r="C246" s="295" t="str">
        <f>'Inventory Takeoff'!C250</f>
        <v>Drill Bit 11/32"</v>
      </c>
      <c r="D246" s="297" t="str">
        <f>'Inventory Takeoff'!D250</f>
        <v>Each</v>
      </c>
      <c r="E246" s="291">
        <f>'Inventory Takeoff'!G250</f>
        <v>4.47</v>
      </c>
    </row>
    <row r="247" spans="1:5" ht="15.5">
      <c r="A247" s="290">
        <f>'Inventory Takeoff'!B251</f>
        <v>246</v>
      </c>
      <c r="B247" s="290" t="e">
        <f t="shared" si="12"/>
        <v>#NAME?</v>
      </c>
      <c r="C247" s="295" t="str">
        <f>'Inventory Takeoff'!C251</f>
        <v>Drill Bit 3/8"</v>
      </c>
      <c r="D247" s="297" t="str">
        <f>'Inventory Takeoff'!D251</f>
        <v>Each</v>
      </c>
      <c r="E247" s="291">
        <f>'Inventory Takeoff'!G251</f>
        <v>4.6500000000000004</v>
      </c>
    </row>
    <row r="248" spans="1:5" ht="15.5">
      <c r="A248" s="290">
        <f>'Inventory Takeoff'!B252</f>
        <v>247</v>
      </c>
      <c r="B248" s="290" t="e">
        <f t="shared" si="12"/>
        <v>#NAME?</v>
      </c>
      <c r="C248" s="295" t="str">
        <f>'Inventory Takeoff'!C252</f>
        <v>Drill Bit 7/16 - 3/8 Shank</v>
      </c>
      <c r="D248" s="297" t="str">
        <f>'Inventory Takeoff'!D252</f>
        <v>Each</v>
      </c>
      <c r="E248" s="291">
        <f>'Inventory Takeoff'!G252</f>
        <v>11.79</v>
      </c>
    </row>
    <row r="249" spans="1:5" ht="15.5">
      <c r="A249" s="290">
        <f>'Inventory Takeoff'!B253</f>
        <v>248</v>
      </c>
      <c r="B249" s="290" t="e">
        <f t="shared" si="12"/>
        <v>#NAME?</v>
      </c>
      <c r="C249" s="295" t="str">
        <f>'Inventory Takeoff'!C253</f>
        <v>Drill Bit 1/2 - 3/8 Shank</v>
      </c>
      <c r="D249" s="297" t="str">
        <f>'Inventory Takeoff'!D253</f>
        <v>Each</v>
      </c>
      <c r="E249" s="291">
        <f>'Inventory Takeoff'!G253</f>
        <v>15.27</v>
      </c>
    </row>
    <row r="250" spans="1:5" ht="15.5">
      <c r="A250" s="290">
        <f>'Inventory Takeoff'!B254</f>
        <v>249</v>
      </c>
      <c r="B250" s="290" t="e">
        <f t="shared" si="12"/>
        <v>#NAME?</v>
      </c>
      <c r="C250" s="295" t="str">
        <f>'Inventory Takeoff'!C254</f>
        <v>Vari Bits</v>
      </c>
      <c r="D250" s="297" t="str">
        <f>'Inventory Takeoff'!D254</f>
        <v>Each</v>
      </c>
      <c r="E250" s="291">
        <f>'Inventory Takeoff'!G254</f>
        <v>18.399999999999999</v>
      </c>
    </row>
    <row r="251" spans="1:5" ht="15.5">
      <c r="A251" s="290">
        <f>'Inventory Takeoff'!B255</f>
        <v>250</v>
      </c>
      <c r="B251" s="290" t="e">
        <f t="shared" si="12"/>
        <v>#NAME?</v>
      </c>
      <c r="C251" s="295" t="str">
        <f>'Inventory Takeoff'!C255</f>
        <v>1/4" Roto Bit</v>
      </c>
      <c r="D251" s="297" t="str">
        <f>'Inventory Takeoff'!D255</f>
        <v>Each</v>
      </c>
      <c r="E251" s="291">
        <f>'Inventory Takeoff'!G255</f>
        <v>4.63</v>
      </c>
    </row>
    <row r="252" spans="1:5" ht="15.5">
      <c r="A252" s="290">
        <f>'Inventory Takeoff'!B256</f>
        <v>251</v>
      </c>
      <c r="B252" s="290" t="e">
        <f t="shared" si="12"/>
        <v>#NAME?</v>
      </c>
      <c r="C252" s="295" t="str">
        <f>'Inventory Takeoff'!C256</f>
        <v>3/8" Roto Bit</v>
      </c>
      <c r="D252" s="297" t="str">
        <f>'Inventory Takeoff'!D256</f>
        <v>Each</v>
      </c>
      <c r="E252" s="291">
        <f>'Inventory Takeoff'!G256</f>
        <v>7.1099999999999994</v>
      </c>
    </row>
    <row r="253" spans="1:5" ht="15.5">
      <c r="A253" s="290">
        <f>'Inventory Takeoff'!B257</f>
        <v>252</v>
      </c>
      <c r="B253" s="290" t="e">
        <f t="shared" si="12"/>
        <v>#NAME?</v>
      </c>
      <c r="C253" s="295" t="str">
        <f>'Inventory Takeoff'!C257</f>
        <v>1/2" Roto Bit</v>
      </c>
      <c r="D253" s="297" t="str">
        <f>'Inventory Takeoff'!D257</f>
        <v>Each</v>
      </c>
      <c r="E253" s="291">
        <f>'Inventory Takeoff'!G257</f>
        <v>8.66</v>
      </c>
    </row>
    <row r="254" spans="1:5" ht="15.5">
      <c r="A254" s="290">
        <f>'Inventory Takeoff'!B258</f>
        <v>253</v>
      </c>
      <c r="B254" s="290" t="e">
        <f t="shared" si="12"/>
        <v>#NAME?</v>
      </c>
      <c r="C254" s="295" t="str">
        <f>'Inventory Takeoff'!C258</f>
        <v>D-B Roto 1/4 x 4 A-Tap</v>
      </c>
      <c r="D254" s="297" t="str">
        <f>'Inventory Takeoff'!D258</f>
        <v>Each</v>
      </c>
      <c r="E254" s="291">
        <f>'Inventory Takeoff'!G258</f>
        <v>5.47</v>
      </c>
    </row>
    <row r="255" spans="1:5" ht="15.5">
      <c r="A255" s="290">
        <f>'Inventory Takeoff'!B259</f>
        <v>254</v>
      </c>
      <c r="B255" s="290" t="e">
        <f t="shared" si="12"/>
        <v>#NAME?</v>
      </c>
      <c r="C255" s="295" t="str">
        <f>'Inventory Takeoff'!C259</f>
        <v>D-B Roto 1/4 x 6 A-Tap</v>
      </c>
      <c r="D255" s="297" t="str">
        <f>'Inventory Takeoff'!D259</f>
        <v>Each</v>
      </c>
      <c r="E255" s="291">
        <f>'Inventory Takeoff'!G259</f>
        <v>5.47</v>
      </c>
    </row>
    <row r="256" spans="1:5" ht="15.5">
      <c r="A256" s="290">
        <f>'Inventory Takeoff'!B260</f>
        <v>255</v>
      </c>
      <c r="B256" s="290" t="e">
        <f t="shared" si="12"/>
        <v>#NAME?</v>
      </c>
      <c r="C256" s="295" t="str">
        <f>'Inventory Takeoff'!C260</f>
        <v>D-B Roto 3/8 x 6 A-Tap</v>
      </c>
      <c r="D256" s="297" t="str">
        <f>'Inventory Takeoff'!D260</f>
        <v>Each</v>
      </c>
      <c r="E256" s="291">
        <f>'Inventory Takeoff'!G260</f>
        <v>6.9</v>
      </c>
    </row>
    <row r="257" spans="1:5" ht="15.5">
      <c r="A257" s="290">
        <f>'Inventory Takeoff'!B261</f>
        <v>256</v>
      </c>
      <c r="B257" s="290" t="e">
        <f t="shared" si="12"/>
        <v>#NAME?</v>
      </c>
      <c r="C257" s="295" t="str">
        <f>'Inventory Takeoff'!C261</f>
        <v>D-B Roto 1/2 x 6 A-Tap</v>
      </c>
      <c r="D257" s="297" t="str">
        <f>'Inventory Takeoff'!D261</f>
        <v>Each</v>
      </c>
      <c r="E257" s="291">
        <f>'Inventory Takeoff'!G261</f>
        <v>9.1999999999999993</v>
      </c>
    </row>
    <row r="258" spans="1:5" ht="15.5">
      <c r="A258" s="290">
        <f>'Inventory Takeoff'!B262</f>
        <v>257</v>
      </c>
      <c r="B258" s="290" t="e">
        <f t="shared" si="12"/>
        <v>#NAME?</v>
      </c>
      <c r="C258" s="295" t="str">
        <f>'Inventory Takeoff'!C262</f>
        <v>D-B Roto 5/8 x 6 A-Tap</v>
      </c>
      <c r="D258" s="297" t="str">
        <f>'Inventory Takeoff'!D262</f>
        <v>Each</v>
      </c>
      <c r="E258" s="291">
        <f>'Inventory Takeoff'!G262</f>
        <v>31.17</v>
      </c>
    </row>
    <row r="259" spans="1:5" ht="15.5">
      <c r="A259" s="290">
        <f>'Inventory Takeoff'!B263</f>
        <v>258</v>
      </c>
      <c r="B259" s="290" t="e">
        <f t="shared" si="12"/>
        <v>#NAME?</v>
      </c>
      <c r="C259" s="295" t="str">
        <f>'Inventory Takeoff'!C263</f>
        <v>D-B Roto 3/4 x 9 A-Tap</v>
      </c>
      <c r="D259" s="297" t="str">
        <f>'Inventory Takeoff'!D263</f>
        <v>Each</v>
      </c>
      <c r="E259" s="291">
        <f>'Inventory Takeoff'!G263</f>
        <v>41.97</v>
      </c>
    </row>
    <row r="260" spans="1:5" ht="15.5">
      <c r="A260" s="290">
        <f>'Inventory Takeoff'!B264</f>
        <v>259</v>
      </c>
      <c r="B260" s="290" t="e">
        <f>IF(SUMIFS(Ancillary_Length,Ancillary_InventoryCode,A260,Ancillary_BoughtOut,"No",Ancillary_Connector,"*"&amp;"~*~*")=0,"",SUMIFS(Ancillary_Length,Ancillary_InventoryCode,A260,Ancillary_BoughtOut,"No",Ancillary_Connector,"*"&amp;"~*~*"))</f>
        <v>#NAME?</v>
      </c>
      <c r="C260" s="295" t="str">
        <f>'Inventory Takeoff'!C264</f>
        <v>Drives - Flat</v>
      </c>
      <c r="D260" s="297" t="str">
        <f>'Inventory Takeoff'!D264</f>
        <v>Foot</v>
      </c>
      <c r="E260" s="291">
        <f>'Inventory Takeoff'!G264</f>
        <v>1.38</v>
      </c>
    </row>
    <row r="261" spans="1:5" ht="15.5">
      <c r="A261" s="290">
        <f>'Inventory Takeoff'!B265</f>
        <v>260</v>
      </c>
      <c r="B261" s="290" t="e">
        <f>IF(SUMIFS(Ancillary_Length,Ancillary_InventoryCode,A261,Ancillary_BoughtOut,"No",Ancillary_Connector,"*"&amp;"~*~*")=0,"",SUMIFS(Ancillary_Length,Ancillary_InventoryCode,A261,Ancillary_BoughtOut,"No",Ancillary_Connector,"*"&amp;"~*~*"))</f>
        <v>#NAME?</v>
      </c>
      <c r="C261" s="295" t="str">
        <f>'Inventory Takeoff'!C265</f>
        <v>Drives - Standing</v>
      </c>
      <c r="D261" s="297" t="str">
        <f>'Inventory Takeoff'!D265</f>
        <v>Foot</v>
      </c>
      <c r="E261" s="291">
        <f>'Inventory Takeoff'!G265</f>
        <v>1.1499999999999999</v>
      </c>
    </row>
    <row r="262" spans="1:5" ht="15.5">
      <c r="A262" s="290">
        <f>'Inventory Takeoff'!B266</f>
        <v>261</v>
      </c>
      <c r="B262" s="290"/>
      <c r="C262" s="295" t="str">
        <f>'Inventory Takeoff'!C266</f>
        <v>Not Used</v>
      </c>
      <c r="D262" s="297">
        <f>'Inventory Takeoff'!D266</f>
        <v>0</v>
      </c>
      <c r="E262" s="291">
        <f>'Inventory Takeoff'!G266</f>
        <v>0</v>
      </c>
    </row>
    <row r="263" spans="1:5" ht="15.5">
      <c r="A263" s="290">
        <f>'Inventory Takeoff'!B267</f>
        <v>262</v>
      </c>
      <c r="B263" s="290" t="e">
        <f>IF(SUMIFS(Ancillary_Length,Ancillary_InventoryCode,A263,Ancillary_BoughtOut,"No")=0,"",SUMIFS(Ancillary_Length,Ancillary_InventoryCode,A263,Ancillary_BoughtOut,"No"))</f>
        <v>#NAME?</v>
      </c>
      <c r="C263" s="295" t="str">
        <f>'Inventory Takeoff'!C267</f>
        <v>Ductboard Channel</v>
      </c>
      <c r="D263" s="297" t="str">
        <f>'Inventory Takeoff'!D267</f>
        <v>Foot</v>
      </c>
      <c r="E263" s="291">
        <f>'Inventory Takeoff'!G267</f>
        <v>0.49</v>
      </c>
    </row>
    <row r="264" spans="1:5" ht="15.5">
      <c r="A264" s="290">
        <f>'Inventory Takeoff'!B268</f>
        <v>263</v>
      </c>
      <c r="B264" s="290" t="e">
        <f>IF(SUMIFS(Ancillary_Length,Ancillary_InventoryCode,A264,Ancillary_BoughtOut,"No")=0,"",SUMIFS(Ancillary_Length,Ancillary_InventoryCode,A264,Ancillary_BoughtOut,"No"))</f>
        <v>#NAME?</v>
      </c>
      <c r="C264" s="295" t="str">
        <f>'Inventory Takeoff'!C268</f>
        <v>Ductboard Hanger 1 1/2</v>
      </c>
      <c r="D264" s="297" t="str">
        <f>'Inventory Takeoff'!D268</f>
        <v>Foot</v>
      </c>
      <c r="E264" s="291">
        <f>'Inventory Takeoff'!G268</f>
        <v>0.12000000000000001</v>
      </c>
    </row>
    <row r="265" spans="1:5" ht="15.5">
      <c r="A265" s="290">
        <f>'Inventory Takeoff'!B269</f>
        <v>264</v>
      </c>
      <c r="B265" s="290" t="e">
        <f>IF(SUMIFS(Ancillary_Qty,Ancillary_InventoryCode,A265,Ancillary_BoughtOut,"No")=0,"",SUMIFS(Ancillary_Qty,Ancillary_InventoryCode,A265,Ancillary_BoughtOut,"No"))</f>
        <v>#NAME?</v>
      </c>
      <c r="C265" s="295" t="str">
        <f>'Inventory Takeoff'!C269</f>
        <v>Ductboard Hanger Roll</v>
      </c>
      <c r="D265" s="297" t="str">
        <f>'Inventory Takeoff'!D269</f>
        <v>Each</v>
      </c>
      <c r="E265" s="291">
        <f>'Inventory Takeoff'!G269</f>
        <v>86.83</v>
      </c>
    </row>
    <row r="266" spans="1:5" ht="15.5">
      <c r="A266" s="290">
        <f>'Inventory Takeoff'!B270</f>
        <v>265</v>
      </c>
      <c r="B266" s="290" t="e">
        <f>IF(SUMIFS(Ancillary_Length,Ancillary_InventoryCode,A266,Ancillary_BoughtOut,"No")=0,"",SUMIFS(Ancillary_Length,Ancillary_InventoryCode,A266,Ancillary_BoughtOut,"No"))</f>
        <v>#NAME?</v>
      </c>
      <c r="C266" s="295" t="str">
        <f>'Inventory Takeoff'!C270</f>
        <v>DuctMate</v>
      </c>
      <c r="D266" s="297" t="str">
        <f>'Inventory Takeoff'!D270</f>
        <v>Foot</v>
      </c>
      <c r="E266" s="291">
        <f>'Inventory Takeoff'!G270</f>
        <v>2.73</v>
      </c>
    </row>
    <row r="267" spans="1:5" ht="15.5">
      <c r="A267" s="290">
        <f>'Inventory Takeoff'!B271</f>
        <v>266</v>
      </c>
      <c r="B267" s="290" t="e">
        <f>IF(SUMIFS(Ancillary_Qty,Ancillary_InventoryCode,A267,Ancillary_BoughtOut,"No")=0,"",SUMIFS(Ancillary_Qty,Ancillary_InventoryCode,A267,Ancillary_BoughtOut,"No"))</f>
        <v>#NAME?</v>
      </c>
      <c r="C267" s="295" t="str">
        <f>'Inventory Takeoff'!C271</f>
        <v>DuctMate Corners</v>
      </c>
      <c r="D267" s="297" t="str">
        <f>'Inventory Takeoff'!D271</f>
        <v>Each</v>
      </c>
      <c r="E267" s="291">
        <f>'Inventory Takeoff'!G271</f>
        <v>2.27</v>
      </c>
    </row>
    <row r="268" spans="1:5" ht="15.5">
      <c r="A268" s="290">
        <f>'Inventory Takeoff'!B272</f>
        <v>267</v>
      </c>
      <c r="B268" s="290" t="e">
        <f>IF(SUMIFS(Ancillary_Length,Ancillary_InventoryCode,A268,Ancillary_BoughtOut,"No")=0,"",SUMIFS(Ancillary_Length,Ancillary_InventoryCode,A268,Ancillary_BoughtOut,"No",Ancillary_Spool,"&lt;&gt;"&amp;""))</f>
        <v>#NAME?</v>
      </c>
      <c r="C268" s="295" t="str">
        <f>'Inventory Takeoff'!C272</f>
        <v>DuctMate Metal - PVC</v>
      </c>
      <c r="D268" s="297" t="str">
        <f>'Inventory Takeoff'!D272</f>
        <v>Each</v>
      </c>
      <c r="E268" s="291">
        <f>'Inventory Takeoff'!G272</f>
        <v>0.21</v>
      </c>
    </row>
    <row r="269" spans="1:5" ht="15.5">
      <c r="A269" s="290">
        <f>'Inventory Takeoff'!B273</f>
        <v>268</v>
      </c>
      <c r="B269" s="290" t="e">
        <f>IF(SUMIFS(Ancillary_Length,Ancillary_InventoryCode,A269,Ancillary_BoughtOut,"No",Ancillary_Spool,"&lt;&gt;"&amp;"")=0,"",SUMIFS(Ancillary_Length,Ancillary_InventoryCode,A269,Ancillary_BoughtOut,"No",Ancillary_Spool,"&lt;&gt;"&amp;""))</f>
        <v>#NAME?</v>
      </c>
      <c r="C269" s="295" t="str">
        <f>'Inventory Takeoff'!C273</f>
        <v>DuctMate Puddy Gask</v>
      </c>
      <c r="D269" s="297" t="str">
        <f>'Inventory Takeoff'!D273</f>
        <v>Foot</v>
      </c>
      <c r="E269" s="291">
        <f>'Inventory Takeoff'!G273</f>
        <v>0.23</v>
      </c>
    </row>
    <row r="270" spans="1:5" ht="15.5">
      <c r="A270" s="290">
        <f>'Inventory Takeoff'!B274</f>
        <v>269</v>
      </c>
      <c r="B270" s="290"/>
      <c r="C270" s="295" t="str">
        <f>'Inventory Takeoff'!C274</f>
        <v>Not Used</v>
      </c>
      <c r="D270" s="297">
        <f>'Inventory Takeoff'!D274</f>
        <v>0</v>
      </c>
      <c r="E270" s="291">
        <f>'Inventory Takeoff'!G274</f>
        <v>0</v>
      </c>
    </row>
    <row r="271" spans="1:5" ht="15.5">
      <c r="A271" s="290">
        <f>'Inventory Takeoff'!B275</f>
        <v>270</v>
      </c>
      <c r="B271" s="290"/>
      <c r="C271" s="295" t="str">
        <f>'Inventory Takeoff'!C275</f>
        <v>Not Used</v>
      </c>
      <c r="D271" s="297">
        <f>'Inventory Takeoff'!D275</f>
        <v>0</v>
      </c>
      <c r="E271" s="291">
        <f>'Inventory Takeoff'!G275</f>
        <v>0</v>
      </c>
    </row>
    <row r="272" spans="1:5" ht="15.5">
      <c r="A272" s="290">
        <f>'Inventory Takeoff'!B276</f>
        <v>271</v>
      </c>
      <c r="B272" s="290" t="e">
        <f t="shared" ref="B272:B304" si="13">IF(SUMIFS(Ancillary_Qty,Ancillary_InventoryCode,A272,Ancillary_BoughtOut,"No")=0,"",SUMIFS(Ancillary_Qty,Ancillary_InventoryCode,A272,Ancillary_BoughtOut,"No"))</f>
        <v>#NAME?</v>
      </c>
      <c r="C272" s="295" t="str">
        <f>'Inventory Takeoff'!C276</f>
        <v>Drop Cloths</v>
      </c>
      <c r="D272" s="297" t="str">
        <f>'Inventory Takeoff'!D276</f>
        <v>Each</v>
      </c>
      <c r="E272" s="291">
        <f>'Inventory Takeoff'!G276</f>
        <v>2.9</v>
      </c>
    </row>
    <row r="273" spans="1:5" ht="15.5">
      <c r="A273" s="290">
        <f>'Inventory Takeoff'!B277</f>
        <v>272</v>
      </c>
      <c r="B273" s="290"/>
      <c r="C273" s="295" t="str">
        <f>'Inventory Takeoff'!C277</f>
        <v>Not Used</v>
      </c>
      <c r="D273" s="297">
        <f>'Inventory Takeoff'!D277</f>
        <v>0</v>
      </c>
      <c r="E273" s="291">
        <f>'Inventory Takeoff'!G277</f>
        <v>0</v>
      </c>
    </row>
    <row r="274" spans="1:5" ht="15.5">
      <c r="A274" s="290">
        <f>'Inventory Takeoff'!B278</f>
        <v>273</v>
      </c>
      <c r="B274" s="290"/>
      <c r="C274" s="295" t="str">
        <f>'Inventory Takeoff'!C278</f>
        <v>Not Used</v>
      </c>
      <c r="D274" s="297">
        <f>'Inventory Takeoff'!D278</f>
        <v>0</v>
      </c>
      <c r="E274" s="291">
        <f>'Inventory Takeoff'!G278</f>
        <v>0</v>
      </c>
    </row>
    <row r="275" spans="1:5" ht="15.5">
      <c r="A275" s="290">
        <f>'Inventory Takeoff'!B279</f>
        <v>274</v>
      </c>
      <c r="B275" s="290" t="e">
        <f t="shared" si="13"/>
        <v>#NAME?</v>
      </c>
      <c r="C275" s="295" t="str">
        <f>'Inventory Takeoff'!C279</f>
        <v>2 x 4 Egg Crate</v>
      </c>
      <c r="D275" s="297" t="str">
        <f>'Inventory Takeoff'!D279</f>
        <v>Each</v>
      </c>
      <c r="E275" s="291">
        <f>'Inventory Takeoff'!G279</f>
        <v>26.200000000000003</v>
      </c>
    </row>
    <row r="276" spans="1:5" ht="15.5">
      <c r="A276" s="290">
        <f>'Inventory Takeoff'!B280</f>
        <v>275</v>
      </c>
      <c r="B276" s="290" t="e">
        <f t="shared" si="13"/>
        <v>#NAME?</v>
      </c>
      <c r="C276" s="295" t="str">
        <f>'Inventory Takeoff'!C280</f>
        <v>3" 90 degree Elbow</v>
      </c>
      <c r="D276" s="297" t="str">
        <f>'Inventory Takeoff'!D280</f>
        <v>Each</v>
      </c>
      <c r="E276" s="291">
        <f>'Inventory Takeoff'!G280</f>
        <v>4.03</v>
      </c>
    </row>
    <row r="277" spans="1:5" ht="15.5">
      <c r="A277" s="290">
        <f>'Inventory Takeoff'!B281</f>
        <v>276</v>
      </c>
      <c r="B277" s="290" t="e">
        <f t="shared" si="13"/>
        <v>#NAME?</v>
      </c>
      <c r="C277" s="295" t="str">
        <f>'Inventory Takeoff'!C281</f>
        <v>4" 90 degree Elbow</v>
      </c>
      <c r="D277" s="297" t="str">
        <f>'Inventory Takeoff'!D281</f>
        <v>Each</v>
      </c>
      <c r="E277" s="291">
        <f>'Inventory Takeoff'!G281</f>
        <v>5.13</v>
      </c>
    </row>
    <row r="278" spans="1:5" ht="15.5">
      <c r="A278" s="290">
        <f>'Inventory Takeoff'!B282</f>
        <v>277</v>
      </c>
      <c r="B278" s="290" t="e">
        <f t="shared" si="13"/>
        <v>#NAME?</v>
      </c>
      <c r="C278" s="295" t="str">
        <f>'Inventory Takeoff'!C282</f>
        <v>5" 90 degree Elbow</v>
      </c>
      <c r="D278" s="297" t="str">
        <f>'Inventory Takeoff'!D282</f>
        <v>Each</v>
      </c>
      <c r="E278" s="291">
        <f>'Inventory Takeoff'!G282</f>
        <v>6.03</v>
      </c>
    </row>
    <row r="279" spans="1:5" ht="15.5">
      <c r="A279" s="290">
        <f>'Inventory Takeoff'!B283</f>
        <v>278</v>
      </c>
      <c r="B279" s="290" t="e">
        <f t="shared" si="13"/>
        <v>#NAME?</v>
      </c>
      <c r="C279" s="295" t="str">
        <f>'Inventory Takeoff'!C283</f>
        <v>6" 90 degree Elbow</v>
      </c>
      <c r="D279" s="297" t="str">
        <f>'Inventory Takeoff'!D283</f>
        <v>Each</v>
      </c>
      <c r="E279" s="291">
        <f>'Inventory Takeoff'!G283</f>
        <v>6.8400000000000007</v>
      </c>
    </row>
    <row r="280" spans="1:5" ht="15.5">
      <c r="A280" s="290">
        <f>'Inventory Takeoff'!B284</f>
        <v>279</v>
      </c>
      <c r="B280" s="290" t="e">
        <f t="shared" si="13"/>
        <v>#NAME?</v>
      </c>
      <c r="C280" s="295" t="str">
        <f>'Inventory Takeoff'!C284</f>
        <v>7" 90 degree Elbow</v>
      </c>
      <c r="D280" s="297" t="str">
        <f>'Inventory Takeoff'!D284</f>
        <v>Each</v>
      </c>
      <c r="E280" s="291">
        <f>'Inventory Takeoff'!G284</f>
        <v>8.7899999999999991</v>
      </c>
    </row>
    <row r="281" spans="1:5" ht="15.5">
      <c r="A281" s="290">
        <f>'Inventory Takeoff'!B285</f>
        <v>280</v>
      </c>
      <c r="B281" s="290" t="e">
        <f t="shared" si="13"/>
        <v>#NAME?</v>
      </c>
      <c r="C281" s="295" t="str">
        <f>'Inventory Takeoff'!C285</f>
        <v>8" 90 degree Elbow</v>
      </c>
      <c r="D281" s="297" t="str">
        <f>'Inventory Takeoff'!D285</f>
        <v>Each</v>
      </c>
      <c r="E281" s="291">
        <f>'Inventory Takeoff'!G285</f>
        <v>9.99</v>
      </c>
    </row>
    <row r="282" spans="1:5" ht="15.5">
      <c r="A282" s="290">
        <f>'Inventory Takeoff'!B286</f>
        <v>281</v>
      </c>
      <c r="B282" s="290" t="e">
        <f t="shared" si="13"/>
        <v>#NAME?</v>
      </c>
      <c r="C282" s="295" t="str">
        <f>'Inventory Takeoff'!C286</f>
        <v>9" 90 degree Elbow</v>
      </c>
      <c r="D282" s="297" t="str">
        <f>'Inventory Takeoff'!D286</f>
        <v>Each</v>
      </c>
      <c r="E282" s="291">
        <f>'Inventory Takeoff'!G286</f>
        <v>11.950000000000001</v>
      </c>
    </row>
    <row r="283" spans="1:5" ht="15.5">
      <c r="A283" s="290">
        <f>'Inventory Takeoff'!B287</f>
        <v>282</v>
      </c>
      <c r="B283" s="290" t="e">
        <f t="shared" si="13"/>
        <v>#NAME?</v>
      </c>
      <c r="C283" s="295" t="str">
        <f>'Inventory Takeoff'!C287</f>
        <v>10" 90 degree Elbow</v>
      </c>
      <c r="D283" s="297" t="str">
        <f>'Inventory Takeoff'!D287</f>
        <v>Each</v>
      </c>
      <c r="E283" s="291">
        <f>'Inventory Takeoff'!G287</f>
        <v>13.48</v>
      </c>
    </row>
    <row r="284" spans="1:5" ht="15.5">
      <c r="A284" s="290">
        <f>'Inventory Takeoff'!B288</f>
        <v>283</v>
      </c>
      <c r="B284" s="290" t="e">
        <f t="shared" si="13"/>
        <v>#NAME?</v>
      </c>
      <c r="C284" s="295" t="str">
        <f>'Inventory Takeoff'!C288</f>
        <v>12" 90 degree Elbow</v>
      </c>
      <c r="D284" s="297" t="str">
        <f>'Inventory Takeoff'!D288</f>
        <v>Each</v>
      </c>
      <c r="E284" s="291">
        <f>'Inventory Takeoff'!G288</f>
        <v>17.25</v>
      </c>
    </row>
    <row r="285" spans="1:5" ht="15.5">
      <c r="A285" s="290">
        <f>'Inventory Takeoff'!B289</f>
        <v>284</v>
      </c>
      <c r="B285" s="290" t="e">
        <f t="shared" si="13"/>
        <v>#NAME?</v>
      </c>
      <c r="C285" s="295" t="str">
        <f>'Inventory Takeoff'!C289</f>
        <v>14" 90 degree Elbow</v>
      </c>
      <c r="D285" s="297" t="str">
        <f>'Inventory Takeoff'!D289</f>
        <v>Each</v>
      </c>
      <c r="E285" s="291">
        <f>'Inventory Takeoff'!G289</f>
        <v>25.72</v>
      </c>
    </row>
    <row r="286" spans="1:5" ht="15.5">
      <c r="A286" s="290">
        <f>'Inventory Takeoff'!B290</f>
        <v>285</v>
      </c>
      <c r="B286" s="290" t="e">
        <f t="shared" si="13"/>
        <v>#NAME?</v>
      </c>
      <c r="C286" s="295" t="str">
        <f>'Inventory Takeoff'!C290</f>
        <v>16" 90 degree Elbow</v>
      </c>
      <c r="D286" s="297" t="str">
        <f>'Inventory Takeoff'!D290</f>
        <v>Each</v>
      </c>
      <c r="E286" s="291">
        <f>'Inventory Takeoff'!G290</f>
        <v>37.160000000000004</v>
      </c>
    </row>
    <row r="287" spans="1:5" ht="15.5">
      <c r="A287" s="290">
        <f>'Inventory Takeoff'!B291</f>
        <v>286</v>
      </c>
      <c r="B287" s="290" t="e">
        <f t="shared" si="13"/>
        <v>#NAME?</v>
      </c>
      <c r="C287" s="295" t="str">
        <f>'Inventory Takeoff'!C291</f>
        <v>18" 90 degree Elbow</v>
      </c>
      <c r="D287" s="297" t="str">
        <f>'Inventory Takeoff'!D291</f>
        <v>Each</v>
      </c>
      <c r="E287" s="291">
        <f>'Inventory Takeoff'!G291</f>
        <v>50.63</v>
      </c>
    </row>
    <row r="288" spans="1:5" ht="15.5">
      <c r="A288" s="290">
        <f>'Inventory Takeoff'!B292</f>
        <v>287</v>
      </c>
      <c r="B288" s="290" t="e">
        <f t="shared" si="13"/>
        <v>#NAME?</v>
      </c>
      <c r="C288" s="295" t="str">
        <f>'Inventory Takeoff'!C292</f>
        <v>20" 90 degree Elbow</v>
      </c>
      <c r="D288" s="297" t="str">
        <f>'Inventory Takeoff'!D292</f>
        <v>Each</v>
      </c>
      <c r="E288" s="291">
        <f>'Inventory Takeoff'!G292</f>
        <v>59.92</v>
      </c>
    </row>
    <row r="289" spans="1:5" ht="15.5">
      <c r="A289" s="290">
        <f>'Inventory Takeoff'!B293</f>
        <v>288</v>
      </c>
      <c r="B289" s="290" t="e">
        <f t="shared" si="13"/>
        <v>#NAME?</v>
      </c>
      <c r="C289" s="295" t="str">
        <f>'Inventory Takeoff'!C293</f>
        <v>22" 90 degree Elbow</v>
      </c>
      <c r="D289" s="297" t="str">
        <f>'Inventory Takeoff'!D293</f>
        <v>Each</v>
      </c>
      <c r="E289" s="291">
        <f>'Inventory Takeoff'!G293</f>
        <v>100.39999999999999</v>
      </c>
    </row>
    <row r="290" spans="1:5" ht="15.5">
      <c r="A290" s="290">
        <f>'Inventory Takeoff'!B294</f>
        <v>289</v>
      </c>
      <c r="B290" s="290" t="e">
        <f t="shared" si="13"/>
        <v>#NAME?</v>
      </c>
      <c r="C290" s="295" t="str">
        <f>'Inventory Takeoff'!C294</f>
        <v>24" 90 degree Elbow</v>
      </c>
      <c r="D290" s="297" t="str">
        <f>'Inventory Takeoff'!D294</f>
        <v>Each</v>
      </c>
      <c r="E290" s="291">
        <f>'Inventory Takeoff'!G294</f>
        <v>113.59</v>
      </c>
    </row>
    <row r="291" spans="1:5" ht="15.5">
      <c r="A291" s="290">
        <f>'Inventory Takeoff'!B295</f>
        <v>290</v>
      </c>
      <c r="B291" s="290" t="e">
        <f t="shared" si="13"/>
        <v>#NAME?</v>
      </c>
      <c r="C291" s="295" t="str">
        <f>'Inventory Takeoff'!C295</f>
        <v>4" 45 degree Elbow</v>
      </c>
      <c r="D291" s="297" t="str">
        <f>'Inventory Takeoff'!D295</f>
        <v>Each</v>
      </c>
      <c r="E291" s="291">
        <f>'Inventory Takeoff'!G295</f>
        <v>7.8100000000000005</v>
      </c>
    </row>
    <row r="292" spans="1:5" ht="15.5">
      <c r="A292" s="290">
        <f>'Inventory Takeoff'!B296</f>
        <v>291</v>
      </c>
      <c r="B292" s="290" t="e">
        <f t="shared" si="13"/>
        <v>#NAME?</v>
      </c>
      <c r="C292" s="295" t="str">
        <f>'Inventory Takeoff'!C296</f>
        <v>5" 45 degree Elbow</v>
      </c>
      <c r="D292" s="297" t="str">
        <f>'Inventory Takeoff'!D296</f>
        <v>Each</v>
      </c>
      <c r="E292" s="291">
        <f>'Inventory Takeoff'!G296</f>
        <v>8.9600000000000009</v>
      </c>
    </row>
    <row r="293" spans="1:5" ht="15.5">
      <c r="A293" s="290">
        <f>'Inventory Takeoff'!B297</f>
        <v>292</v>
      </c>
      <c r="B293" s="290" t="e">
        <f t="shared" si="13"/>
        <v>#NAME?</v>
      </c>
      <c r="C293" s="295" t="str">
        <f>'Inventory Takeoff'!C297</f>
        <v>6" 45 degree Elbow</v>
      </c>
      <c r="D293" s="297" t="str">
        <f>'Inventory Takeoff'!D297</f>
        <v>Each</v>
      </c>
      <c r="E293" s="291">
        <f>'Inventory Takeoff'!G297</f>
        <v>8.34</v>
      </c>
    </row>
    <row r="294" spans="1:5" ht="15.5">
      <c r="A294" s="290">
        <f>'Inventory Takeoff'!B298</f>
        <v>293</v>
      </c>
      <c r="B294" s="290" t="e">
        <f t="shared" si="13"/>
        <v>#NAME?</v>
      </c>
      <c r="C294" s="295" t="str">
        <f>'Inventory Takeoff'!C298</f>
        <v>7" 45 degree Elbow</v>
      </c>
      <c r="D294" s="297" t="str">
        <f>'Inventory Takeoff'!D298</f>
        <v>Each</v>
      </c>
      <c r="E294" s="291">
        <f>'Inventory Takeoff'!G298</f>
        <v>8.2800000000000011</v>
      </c>
    </row>
    <row r="295" spans="1:5" ht="15.5">
      <c r="A295" s="290">
        <f>'Inventory Takeoff'!B299</f>
        <v>294</v>
      </c>
      <c r="B295" s="290" t="e">
        <f t="shared" si="13"/>
        <v>#NAME?</v>
      </c>
      <c r="C295" s="295" t="str">
        <f>'Inventory Takeoff'!C299</f>
        <v>8" 45 degree Elbow</v>
      </c>
      <c r="D295" s="297" t="str">
        <f>'Inventory Takeoff'!D299</f>
        <v>Each</v>
      </c>
      <c r="E295" s="291">
        <f>'Inventory Takeoff'!G299</f>
        <v>12.17</v>
      </c>
    </row>
    <row r="296" spans="1:5" ht="15.5">
      <c r="A296" s="290">
        <f>'Inventory Takeoff'!B300</f>
        <v>295</v>
      </c>
      <c r="B296" s="290" t="e">
        <f t="shared" si="13"/>
        <v>#NAME?</v>
      </c>
      <c r="C296" s="295" t="str">
        <f>'Inventory Takeoff'!C300</f>
        <v>9" 45 degree Elbow</v>
      </c>
      <c r="D296" s="297" t="str">
        <f>'Inventory Takeoff'!D300</f>
        <v>Each</v>
      </c>
      <c r="E296" s="291">
        <f>'Inventory Takeoff'!G300</f>
        <v>10.99</v>
      </c>
    </row>
    <row r="297" spans="1:5" ht="15.5">
      <c r="A297" s="290">
        <f>'Inventory Takeoff'!B301</f>
        <v>296</v>
      </c>
      <c r="B297" s="290" t="e">
        <f t="shared" si="13"/>
        <v>#NAME?</v>
      </c>
      <c r="C297" s="295" t="str">
        <f>'Inventory Takeoff'!C301</f>
        <v>10" 45 degree Elbow</v>
      </c>
      <c r="D297" s="297" t="str">
        <f>'Inventory Takeoff'!D301</f>
        <v>Each</v>
      </c>
      <c r="E297" s="291">
        <f>'Inventory Takeoff'!G301</f>
        <v>17.22</v>
      </c>
    </row>
    <row r="298" spans="1:5" ht="15.5">
      <c r="A298" s="290">
        <f>'Inventory Takeoff'!B302</f>
        <v>297</v>
      </c>
      <c r="B298" s="290" t="e">
        <f t="shared" si="13"/>
        <v>#NAME?</v>
      </c>
      <c r="C298" s="295" t="str">
        <f>'Inventory Takeoff'!C302</f>
        <v>12" 45 degree Elbow</v>
      </c>
      <c r="D298" s="297" t="str">
        <f>'Inventory Takeoff'!D302</f>
        <v>Each</v>
      </c>
      <c r="E298" s="291">
        <f>'Inventory Takeoff'!G302</f>
        <v>22.72</v>
      </c>
    </row>
    <row r="299" spans="1:5" ht="15.5">
      <c r="A299" s="290">
        <f>'Inventory Takeoff'!B303</f>
        <v>298</v>
      </c>
      <c r="B299" s="290" t="e">
        <f t="shared" si="13"/>
        <v>#NAME?</v>
      </c>
      <c r="C299" s="295" t="str">
        <f>'Inventory Takeoff'!C303</f>
        <v>14" 45 degree Elbow</v>
      </c>
      <c r="D299" s="297" t="str">
        <f>'Inventory Takeoff'!D303</f>
        <v>Each</v>
      </c>
      <c r="E299" s="291">
        <f>'Inventory Takeoff'!G303</f>
        <v>39.19</v>
      </c>
    </row>
    <row r="300" spans="1:5" ht="15.5">
      <c r="A300" s="290">
        <f>'Inventory Takeoff'!B304</f>
        <v>299</v>
      </c>
      <c r="B300" s="290" t="e">
        <f t="shared" si="13"/>
        <v>#NAME?</v>
      </c>
      <c r="C300" s="295" t="str">
        <f>'Inventory Takeoff'!C304</f>
        <v>16" 45 degree Elbow</v>
      </c>
      <c r="D300" s="297" t="str">
        <f>'Inventory Takeoff'!D304</f>
        <v>Each</v>
      </c>
      <c r="E300" s="291">
        <f>'Inventory Takeoff'!G304</f>
        <v>61.63</v>
      </c>
    </row>
    <row r="301" spans="1:5" ht="15.5">
      <c r="A301" s="290">
        <f>'Inventory Takeoff'!B305</f>
        <v>300</v>
      </c>
      <c r="B301" s="290" t="e">
        <f t="shared" si="13"/>
        <v>#NAME?</v>
      </c>
      <c r="C301" s="295" t="str">
        <f>'Inventory Takeoff'!C305</f>
        <v>18" 45 degree Elbow</v>
      </c>
      <c r="D301" s="297" t="str">
        <f>'Inventory Takeoff'!D305</f>
        <v>Each</v>
      </c>
      <c r="E301" s="291">
        <f>'Inventory Takeoff'!G305</f>
        <v>83.169999999999987</v>
      </c>
    </row>
    <row r="302" spans="1:5" ht="15.5">
      <c r="A302" s="290">
        <f>'Inventory Takeoff'!B306</f>
        <v>301</v>
      </c>
      <c r="B302" s="290" t="e">
        <f t="shared" si="13"/>
        <v>#NAME?</v>
      </c>
      <c r="C302" s="295" t="str">
        <f>'Inventory Takeoff'!C306</f>
        <v>20" 45 degree Elbow</v>
      </c>
      <c r="D302" s="297" t="str">
        <f>'Inventory Takeoff'!D306</f>
        <v>Each</v>
      </c>
      <c r="E302" s="291">
        <f>'Inventory Takeoff'!G306</f>
        <v>60.2</v>
      </c>
    </row>
    <row r="303" spans="1:5" ht="15.5">
      <c r="A303" s="290">
        <f>'Inventory Takeoff'!B307</f>
        <v>302</v>
      </c>
      <c r="B303" s="290" t="e">
        <f t="shared" si="13"/>
        <v>#NAME?</v>
      </c>
      <c r="C303" s="295" t="str">
        <f>'Inventory Takeoff'!C307</f>
        <v>Not Used</v>
      </c>
      <c r="D303" s="297">
        <f>'Inventory Takeoff'!D307</f>
        <v>0</v>
      </c>
      <c r="E303" s="291">
        <f>'Inventory Takeoff'!G307</f>
        <v>0</v>
      </c>
    </row>
    <row r="304" spans="1:5" ht="15.5">
      <c r="A304" s="290">
        <f>'Inventory Takeoff'!B308</f>
        <v>303</v>
      </c>
      <c r="B304" s="290" t="e">
        <f t="shared" si="13"/>
        <v>#NAME?</v>
      </c>
      <c r="C304" s="295" t="str">
        <f>'Inventory Takeoff'!C308</f>
        <v>24" 45 degree Elbow</v>
      </c>
      <c r="D304" s="297" t="str">
        <f>'Inventory Takeoff'!D308</f>
        <v>Each</v>
      </c>
      <c r="E304" s="291">
        <f>'Inventory Takeoff'!G308</f>
        <v>119.96000000000001</v>
      </c>
    </row>
    <row r="305" spans="1:5" ht="15.5">
      <c r="A305" s="290">
        <f>'Inventory Takeoff'!B309</f>
        <v>304</v>
      </c>
      <c r="B305" s="290" t="e">
        <f t="shared" ref="B305:B368" si="14">IF(SUMIFS(Ancillary_Qty,Ancillary_InventoryCode,A305,Ancillary_BoughtOut,"No")=0,"",SUMIFS(Ancillary_Qty,Ancillary_InventoryCode,A305,Ancillary_BoughtOut,"No"))</f>
        <v>#NAME?</v>
      </c>
      <c r="C305" s="295" t="str">
        <f>'Inventory Takeoff'!C309</f>
        <v>Not Used</v>
      </c>
      <c r="D305" s="297">
        <f>'Inventory Takeoff'!D309</f>
        <v>0</v>
      </c>
      <c r="E305" s="291">
        <f>'Inventory Takeoff'!G309</f>
        <v>0</v>
      </c>
    </row>
    <row r="306" spans="1:5" ht="15.5">
      <c r="A306" s="290">
        <f>'Inventory Takeoff'!B310</f>
        <v>305</v>
      </c>
      <c r="B306" s="290" t="e">
        <f t="shared" si="14"/>
        <v>#NAME?</v>
      </c>
      <c r="C306" s="295" t="str">
        <f>'Inventory Takeoff'!C310</f>
        <v>Not Used</v>
      </c>
      <c r="D306" s="297">
        <f>'Inventory Takeoff'!D310</f>
        <v>0</v>
      </c>
      <c r="E306" s="291">
        <f>'Inventory Takeoff'!G310</f>
        <v>0</v>
      </c>
    </row>
    <row r="307" spans="1:5" ht="15.5">
      <c r="A307" s="290">
        <f>'Inventory Takeoff'!B311</f>
        <v>306</v>
      </c>
      <c r="B307" s="290" t="e">
        <f t="shared" si="14"/>
        <v>#NAME?</v>
      </c>
      <c r="C307" s="295" t="str">
        <f>'Inventory Takeoff'!C311</f>
        <v>Not Used</v>
      </c>
      <c r="D307" s="297">
        <f>'Inventory Takeoff'!D311</f>
        <v>0</v>
      </c>
      <c r="E307" s="291">
        <f>'Inventory Takeoff'!G311</f>
        <v>0</v>
      </c>
    </row>
    <row r="308" spans="1:5" ht="15.5">
      <c r="A308" s="290">
        <f>'Inventory Takeoff'!B312</f>
        <v>307</v>
      </c>
      <c r="B308" s="290" t="e">
        <f t="shared" si="14"/>
        <v>#NAME?</v>
      </c>
      <c r="C308" s="295" t="str">
        <f>'Inventory Takeoff'!C312</f>
        <v>Not Used</v>
      </c>
      <c r="D308" s="297">
        <f>'Inventory Takeoff'!D312</f>
        <v>0</v>
      </c>
      <c r="E308" s="291">
        <f>'Inventory Takeoff'!G312</f>
        <v>0</v>
      </c>
    </row>
    <row r="309" spans="1:5" ht="15.5">
      <c r="A309" s="290">
        <f>'Inventory Takeoff'!B313</f>
        <v>308</v>
      </c>
      <c r="B309" s="290" t="e">
        <f t="shared" si="14"/>
        <v>#NAME?</v>
      </c>
      <c r="C309" s="295" t="str">
        <f>'Inventory Takeoff'!C313</f>
        <v>Not Used</v>
      </c>
      <c r="D309" s="297">
        <f>'Inventory Takeoff'!D313</f>
        <v>0</v>
      </c>
      <c r="E309" s="291">
        <f>'Inventory Takeoff'!G313</f>
        <v>0</v>
      </c>
    </row>
    <row r="310" spans="1:5" ht="15.5">
      <c r="A310" s="290">
        <f>'Inventory Takeoff'!B314</f>
        <v>309</v>
      </c>
      <c r="B310" s="290" t="e">
        <f t="shared" si="14"/>
        <v>#NAME?</v>
      </c>
      <c r="C310" s="295" t="str">
        <f>'Inventory Takeoff'!C314</f>
        <v>Not Used</v>
      </c>
      <c r="D310" s="297">
        <f>'Inventory Takeoff'!D314</f>
        <v>0</v>
      </c>
      <c r="E310" s="291">
        <f>'Inventory Takeoff'!G314</f>
        <v>0</v>
      </c>
    </row>
    <row r="311" spans="1:5" ht="15.5">
      <c r="A311" s="290">
        <f>'Inventory Takeoff'!B315</f>
        <v>310</v>
      </c>
      <c r="B311" s="290" t="e">
        <f t="shared" si="14"/>
        <v>#NAME?</v>
      </c>
      <c r="C311" s="295" t="str">
        <f>'Inventory Takeoff'!C315</f>
        <v>Not Used</v>
      </c>
      <c r="D311" s="297">
        <f>'Inventory Takeoff'!D315</f>
        <v>0</v>
      </c>
      <c r="E311" s="291">
        <f>'Inventory Takeoff'!G315</f>
        <v>0</v>
      </c>
    </row>
    <row r="312" spans="1:5" ht="15.5">
      <c r="A312" s="290">
        <f>'Inventory Takeoff'!B316</f>
        <v>311</v>
      </c>
      <c r="B312" s="290" t="e">
        <f t="shared" si="14"/>
        <v>#NAME?</v>
      </c>
      <c r="C312" s="295" t="str">
        <f>'Inventory Takeoff'!C316</f>
        <v>Not Used</v>
      </c>
      <c r="D312" s="297">
        <f>'Inventory Takeoff'!D316</f>
        <v>0</v>
      </c>
      <c r="E312" s="291">
        <f>'Inventory Takeoff'!G316</f>
        <v>0</v>
      </c>
    </row>
    <row r="313" spans="1:5" ht="15.5">
      <c r="A313" s="290">
        <f>'Inventory Takeoff'!B317</f>
        <v>312</v>
      </c>
      <c r="B313" s="290" t="e">
        <f t="shared" si="14"/>
        <v>#NAME?</v>
      </c>
      <c r="C313" s="295" t="str">
        <f>'Inventory Takeoff'!C317</f>
        <v>Not Used</v>
      </c>
      <c r="D313" s="297">
        <f>'Inventory Takeoff'!D317</f>
        <v>0</v>
      </c>
      <c r="E313" s="291">
        <f>'Inventory Takeoff'!G317</f>
        <v>0</v>
      </c>
    </row>
    <row r="314" spans="1:5" ht="15.5">
      <c r="A314" s="290">
        <f>'Inventory Takeoff'!B318</f>
        <v>313</v>
      </c>
      <c r="B314" s="290" t="e">
        <f t="shared" si="14"/>
        <v>#NAME?</v>
      </c>
      <c r="C314" s="295" t="str">
        <f>'Inventory Takeoff'!C318</f>
        <v>Not Used</v>
      </c>
      <c r="D314" s="297">
        <f>'Inventory Takeoff'!D318</f>
        <v>0</v>
      </c>
      <c r="E314" s="291">
        <f>'Inventory Takeoff'!G318</f>
        <v>0</v>
      </c>
    </row>
    <row r="315" spans="1:5" ht="15.5">
      <c r="A315" s="290">
        <f>'Inventory Takeoff'!B319</f>
        <v>314</v>
      </c>
      <c r="B315" s="290" t="e">
        <f t="shared" si="14"/>
        <v>#NAME?</v>
      </c>
      <c r="C315" s="295" t="str">
        <f>'Inventory Takeoff'!C319</f>
        <v>Not Used</v>
      </c>
      <c r="D315" s="297">
        <f>'Inventory Takeoff'!D319</f>
        <v>0</v>
      </c>
      <c r="E315" s="291">
        <f>'Inventory Takeoff'!G319</f>
        <v>0</v>
      </c>
    </row>
    <row r="316" spans="1:5" ht="15.5">
      <c r="A316" s="290">
        <f>'Inventory Takeoff'!B320</f>
        <v>315</v>
      </c>
      <c r="B316" s="290" t="e">
        <f t="shared" si="14"/>
        <v>#NAME?</v>
      </c>
      <c r="C316" s="295" t="str">
        <f>'Inventory Takeoff'!C320</f>
        <v>Not Used</v>
      </c>
      <c r="D316" s="297">
        <f>'Inventory Takeoff'!D320</f>
        <v>0</v>
      </c>
      <c r="E316" s="291">
        <f>'Inventory Takeoff'!G320</f>
        <v>0</v>
      </c>
    </row>
    <row r="317" spans="1:5" ht="15.5">
      <c r="A317" s="290">
        <f>'Inventory Takeoff'!B321</f>
        <v>316</v>
      </c>
      <c r="B317" s="290" t="e">
        <f t="shared" si="14"/>
        <v>#NAME?</v>
      </c>
      <c r="C317" s="295" t="str">
        <f>'Inventory Takeoff'!C321</f>
        <v>Not Used</v>
      </c>
      <c r="D317" s="297">
        <f>'Inventory Takeoff'!D321</f>
        <v>0</v>
      </c>
      <c r="E317" s="291">
        <f>'Inventory Takeoff'!G321</f>
        <v>0</v>
      </c>
    </row>
    <row r="318" spans="1:5" ht="15.5">
      <c r="A318" s="290">
        <f>'Inventory Takeoff'!B322</f>
        <v>317</v>
      </c>
      <c r="B318" s="290" t="e">
        <f t="shared" si="14"/>
        <v>#NAME?</v>
      </c>
      <c r="C318" s="295" t="str">
        <f>'Inventory Takeoff'!C322</f>
        <v>Not Used</v>
      </c>
      <c r="D318" s="297">
        <f>'Inventory Takeoff'!D322</f>
        <v>0</v>
      </c>
      <c r="E318" s="291">
        <f>'Inventory Takeoff'!G322</f>
        <v>0</v>
      </c>
    </row>
    <row r="319" spans="1:5" ht="15.5">
      <c r="A319" s="290">
        <f>'Inventory Takeoff'!B323</f>
        <v>318</v>
      </c>
      <c r="B319" s="290" t="e">
        <f t="shared" si="14"/>
        <v>#NAME?</v>
      </c>
      <c r="C319" s="295" t="str">
        <f>'Inventory Takeoff'!C323</f>
        <v>Not Used</v>
      </c>
      <c r="D319" s="297">
        <f>'Inventory Takeoff'!D323</f>
        <v>0</v>
      </c>
      <c r="E319" s="291">
        <f>'Inventory Takeoff'!G323</f>
        <v>0</v>
      </c>
    </row>
    <row r="320" spans="1:5" ht="15.5">
      <c r="A320" s="290">
        <f>'Inventory Takeoff'!B324</f>
        <v>319</v>
      </c>
      <c r="B320" s="290" t="e">
        <f t="shared" si="14"/>
        <v>#NAME?</v>
      </c>
      <c r="C320" s="295" t="str">
        <f>'Inventory Takeoff'!C324</f>
        <v>Not Used</v>
      </c>
      <c r="D320" s="297">
        <f>'Inventory Takeoff'!D324</f>
        <v>0</v>
      </c>
      <c r="E320" s="291">
        <f>'Inventory Takeoff'!G324</f>
        <v>0</v>
      </c>
    </row>
    <row r="321" spans="1:5" ht="15.5">
      <c r="A321" s="290">
        <f>'Inventory Takeoff'!B325</f>
        <v>320</v>
      </c>
      <c r="B321" s="290" t="e">
        <f t="shared" si="14"/>
        <v>#NAME?</v>
      </c>
      <c r="C321" s="295" t="str">
        <f>'Inventory Takeoff'!C325</f>
        <v>Not Used</v>
      </c>
      <c r="D321" s="297">
        <f>'Inventory Takeoff'!D325</f>
        <v>0</v>
      </c>
      <c r="E321" s="291">
        <f>'Inventory Takeoff'!G325</f>
        <v>0</v>
      </c>
    </row>
    <row r="322" spans="1:5" ht="15.5">
      <c r="A322" s="290">
        <f>'Inventory Takeoff'!B326</f>
        <v>321</v>
      </c>
      <c r="B322" s="290" t="e">
        <f t="shared" si="14"/>
        <v>#NAME?</v>
      </c>
      <c r="C322" s="295" t="str">
        <f>'Inventory Takeoff'!C326</f>
        <v>Not Used</v>
      </c>
      <c r="D322" s="297">
        <f>'Inventory Takeoff'!D326</f>
        <v>0</v>
      </c>
      <c r="E322" s="291">
        <f>'Inventory Takeoff'!G326</f>
        <v>0</v>
      </c>
    </row>
    <row r="323" spans="1:5" ht="15.5">
      <c r="A323" s="290">
        <f>'Inventory Takeoff'!B327</f>
        <v>322</v>
      </c>
      <c r="B323" s="290" t="e">
        <f t="shared" si="14"/>
        <v>#NAME?</v>
      </c>
      <c r="C323" s="295" t="str">
        <f>'Inventory Takeoff'!C327</f>
        <v>Not Used</v>
      </c>
      <c r="D323" s="297">
        <f>'Inventory Takeoff'!D327</f>
        <v>0</v>
      </c>
      <c r="E323" s="291">
        <f>'Inventory Takeoff'!G327</f>
        <v>0</v>
      </c>
    </row>
    <row r="324" spans="1:5" ht="15.5">
      <c r="A324" s="290">
        <f>'Inventory Takeoff'!B328</f>
        <v>323</v>
      </c>
      <c r="B324" s="290" t="e">
        <f t="shared" si="14"/>
        <v>#NAME?</v>
      </c>
      <c r="C324" s="295" t="str">
        <f>'Inventory Takeoff'!C328</f>
        <v>Not Used</v>
      </c>
      <c r="D324" s="297">
        <f>'Inventory Takeoff'!D328</f>
        <v>0</v>
      </c>
      <c r="E324" s="291">
        <f>'Inventory Takeoff'!G328</f>
        <v>0</v>
      </c>
    </row>
    <row r="325" spans="1:5" ht="15.5">
      <c r="A325" s="290">
        <f>'Inventory Takeoff'!B329</f>
        <v>324</v>
      </c>
      <c r="B325" s="290" t="e">
        <f t="shared" si="14"/>
        <v>#NAME?</v>
      </c>
      <c r="C325" s="295" t="str">
        <f>'Inventory Takeoff'!C329</f>
        <v>Not Used</v>
      </c>
      <c r="D325" s="297">
        <f>'Inventory Takeoff'!D329</f>
        <v>0</v>
      </c>
      <c r="E325" s="291">
        <f>'Inventory Takeoff'!G329</f>
        <v>0</v>
      </c>
    </row>
    <row r="326" spans="1:5" ht="15.5">
      <c r="A326" s="290">
        <f>'Inventory Takeoff'!B330</f>
        <v>325</v>
      </c>
      <c r="B326" s="290" t="e">
        <f t="shared" si="14"/>
        <v>#NAME?</v>
      </c>
      <c r="C326" s="295" t="str">
        <f>'Inventory Takeoff'!C330</f>
        <v>Not Used</v>
      </c>
      <c r="D326" s="297">
        <f>'Inventory Takeoff'!D330</f>
        <v>0</v>
      </c>
      <c r="E326" s="291">
        <f>'Inventory Takeoff'!G330</f>
        <v>0</v>
      </c>
    </row>
    <row r="327" spans="1:5" ht="15.5">
      <c r="A327" s="290">
        <f>'Inventory Takeoff'!B331</f>
        <v>326</v>
      </c>
      <c r="B327" s="290" t="e">
        <f t="shared" si="14"/>
        <v>#NAME?</v>
      </c>
      <c r="C327" s="295" t="str">
        <f>'Inventory Takeoff'!C331</f>
        <v>Not Used</v>
      </c>
      <c r="D327" s="297">
        <f>'Inventory Takeoff'!D331</f>
        <v>0</v>
      </c>
      <c r="E327" s="291">
        <f>'Inventory Takeoff'!G331</f>
        <v>0</v>
      </c>
    </row>
    <row r="328" spans="1:5" ht="15.5">
      <c r="A328" s="290">
        <f>'Inventory Takeoff'!B332</f>
        <v>327</v>
      </c>
      <c r="B328" s="290" t="e">
        <f t="shared" si="14"/>
        <v>#NAME?</v>
      </c>
      <c r="C328" s="295" t="str">
        <f>'Inventory Takeoff'!C332</f>
        <v>Not Used</v>
      </c>
      <c r="D328" s="297">
        <f>'Inventory Takeoff'!D332</f>
        <v>0</v>
      </c>
      <c r="E328" s="291">
        <f>'Inventory Takeoff'!G332</f>
        <v>0</v>
      </c>
    </row>
    <row r="329" spans="1:5" ht="15.5">
      <c r="A329" s="290">
        <f>'Inventory Takeoff'!B333</f>
        <v>328</v>
      </c>
      <c r="B329" s="290" t="e">
        <f t="shared" si="14"/>
        <v>#NAME?</v>
      </c>
      <c r="C329" s="295" t="str">
        <f>'Inventory Takeoff'!C333</f>
        <v>Not Used</v>
      </c>
      <c r="D329" s="297">
        <f>'Inventory Takeoff'!D333</f>
        <v>0</v>
      </c>
      <c r="E329" s="291">
        <f>'Inventory Takeoff'!G333</f>
        <v>0</v>
      </c>
    </row>
    <row r="330" spans="1:5" ht="15.5">
      <c r="A330" s="290">
        <f>'Inventory Takeoff'!B334</f>
        <v>329</v>
      </c>
      <c r="B330" s="290" t="e">
        <f t="shared" si="14"/>
        <v>#NAME?</v>
      </c>
      <c r="C330" s="295" t="str">
        <f>'Inventory Takeoff'!C334</f>
        <v>Not Used</v>
      </c>
      <c r="D330" s="297">
        <f>'Inventory Takeoff'!D334</f>
        <v>0</v>
      </c>
      <c r="E330" s="291">
        <f>'Inventory Takeoff'!G334</f>
        <v>0</v>
      </c>
    </row>
    <row r="331" spans="1:5" ht="15.5">
      <c r="A331" s="290">
        <f>'Inventory Takeoff'!B335</f>
        <v>330</v>
      </c>
      <c r="B331" s="290" t="e">
        <f t="shared" si="14"/>
        <v>#NAME?</v>
      </c>
      <c r="C331" s="295" t="str">
        <f>'Inventory Takeoff'!C335</f>
        <v>Not Used</v>
      </c>
      <c r="D331" s="297">
        <f>'Inventory Takeoff'!D335</f>
        <v>0</v>
      </c>
      <c r="E331" s="291">
        <f>'Inventory Takeoff'!G335</f>
        <v>0</v>
      </c>
    </row>
    <row r="332" spans="1:5" ht="15.5">
      <c r="A332" s="290">
        <f>'Inventory Takeoff'!B336</f>
        <v>331</v>
      </c>
      <c r="B332" s="290" t="e">
        <f t="shared" si="14"/>
        <v>#NAME?</v>
      </c>
      <c r="C332" s="295" t="str">
        <f>'Inventory Takeoff'!C336</f>
        <v>Not Used</v>
      </c>
      <c r="D332" s="297">
        <f>'Inventory Takeoff'!D336</f>
        <v>0</v>
      </c>
      <c r="E332" s="291">
        <f>'Inventory Takeoff'!G336</f>
        <v>0</v>
      </c>
    </row>
    <row r="333" spans="1:5" ht="15.5">
      <c r="A333" s="290">
        <f>'Inventory Takeoff'!B337</f>
        <v>332</v>
      </c>
      <c r="B333" s="290" t="e">
        <f t="shared" si="14"/>
        <v>#NAME?</v>
      </c>
      <c r="C333" s="295" t="str">
        <f>'Inventory Takeoff'!C337</f>
        <v>Not Used</v>
      </c>
      <c r="D333" s="297">
        <f>'Inventory Takeoff'!D337</f>
        <v>0</v>
      </c>
      <c r="E333" s="291">
        <f>'Inventory Takeoff'!G337</f>
        <v>0</v>
      </c>
    </row>
    <row r="334" spans="1:5" ht="15.5">
      <c r="A334" s="290">
        <f>'Inventory Takeoff'!B338</f>
        <v>333</v>
      </c>
      <c r="B334" s="290" t="e">
        <f t="shared" si="14"/>
        <v>#NAME?</v>
      </c>
      <c r="C334" s="295" t="str">
        <f>'Inventory Takeoff'!C338</f>
        <v>Not Used</v>
      </c>
      <c r="D334" s="297">
        <f>'Inventory Takeoff'!D338</f>
        <v>0</v>
      </c>
      <c r="E334" s="291">
        <f>'Inventory Takeoff'!G338</f>
        <v>0</v>
      </c>
    </row>
    <row r="335" spans="1:5" ht="15.5">
      <c r="A335" s="290">
        <f>'Inventory Takeoff'!B339</f>
        <v>334</v>
      </c>
      <c r="B335" s="290" t="e">
        <f t="shared" si="14"/>
        <v>#NAME?</v>
      </c>
      <c r="C335" s="295" t="str">
        <f>'Inventory Takeoff'!C339</f>
        <v>Not Used</v>
      </c>
      <c r="D335" s="297">
        <f>'Inventory Takeoff'!D339</f>
        <v>0</v>
      </c>
      <c r="E335" s="291">
        <f>'Inventory Takeoff'!G339</f>
        <v>0</v>
      </c>
    </row>
    <row r="336" spans="1:5" ht="15.5">
      <c r="A336" s="290">
        <f>'Inventory Takeoff'!B340</f>
        <v>335</v>
      </c>
      <c r="B336" s="290" t="e">
        <f t="shared" si="14"/>
        <v>#NAME?</v>
      </c>
      <c r="C336" s="295" t="str">
        <f>'Inventory Takeoff'!C340</f>
        <v>Not Used</v>
      </c>
      <c r="D336" s="297">
        <f>'Inventory Takeoff'!D340</f>
        <v>0</v>
      </c>
      <c r="E336" s="291">
        <f>'Inventory Takeoff'!G340</f>
        <v>0</v>
      </c>
    </row>
    <row r="337" spans="1:5" ht="15.5">
      <c r="A337" s="290">
        <f>'Inventory Takeoff'!B341</f>
        <v>336</v>
      </c>
      <c r="B337" s="290" t="e">
        <f t="shared" si="14"/>
        <v>#NAME?</v>
      </c>
      <c r="C337" s="295" t="str">
        <f>'Inventory Takeoff'!C341</f>
        <v>Not Used</v>
      </c>
      <c r="D337" s="297">
        <f>'Inventory Takeoff'!D341</f>
        <v>0</v>
      </c>
      <c r="E337" s="291">
        <f>'Inventory Takeoff'!G341</f>
        <v>0</v>
      </c>
    </row>
    <row r="338" spans="1:5" ht="15.5">
      <c r="A338" s="290">
        <f>'Inventory Takeoff'!B342</f>
        <v>337</v>
      </c>
      <c r="B338" s="290" t="e">
        <f t="shared" si="14"/>
        <v>#NAME?</v>
      </c>
      <c r="C338" s="295" t="str">
        <f>'Inventory Takeoff'!C342</f>
        <v>Not Used</v>
      </c>
      <c r="D338" s="297">
        <f>'Inventory Takeoff'!D342</f>
        <v>0</v>
      </c>
      <c r="E338" s="291">
        <f>'Inventory Takeoff'!G342</f>
        <v>0</v>
      </c>
    </row>
    <row r="339" spans="1:5" ht="15.5">
      <c r="A339" s="290">
        <f>'Inventory Takeoff'!B343</f>
        <v>338</v>
      </c>
      <c r="B339" s="290" t="e">
        <f t="shared" si="14"/>
        <v>#NAME?</v>
      </c>
      <c r="C339" s="295" t="str">
        <f>'Inventory Takeoff'!C343</f>
        <v>Not Used</v>
      </c>
      <c r="D339" s="297">
        <f>'Inventory Takeoff'!D343</f>
        <v>0</v>
      </c>
      <c r="E339" s="291">
        <f>'Inventory Takeoff'!G343</f>
        <v>0</v>
      </c>
    </row>
    <row r="340" spans="1:5" ht="15.5">
      <c r="A340" s="290">
        <f>'Inventory Takeoff'!B344</f>
        <v>339</v>
      </c>
      <c r="B340" s="290" t="e">
        <f t="shared" si="14"/>
        <v>#NAME?</v>
      </c>
      <c r="C340" s="295" t="str">
        <f>'Inventory Takeoff'!C344</f>
        <v>Not Used</v>
      </c>
      <c r="D340" s="297">
        <f>'Inventory Takeoff'!D344</f>
        <v>0</v>
      </c>
      <c r="E340" s="291">
        <f>'Inventory Takeoff'!G344</f>
        <v>0</v>
      </c>
    </row>
    <row r="341" spans="1:5" ht="15.5">
      <c r="A341" s="290">
        <f>'Inventory Takeoff'!B345</f>
        <v>340</v>
      </c>
      <c r="B341" s="290" t="e">
        <f t="shared" si="14"/>
        <v>#NAME?</v>
      </c>
      <c r="C341" s="295" t="str">
        <f>'Inventory Takeoff'!C345</f>
        <v>Not Used</v>
      </c>
      <c r="D341" s="297">
        <f>'Inventory Takeoff'!D345</f>
        <v>0</v>
      </c>
      <c r="E341" s="291">
        <f>'Inventory Takeoff'!G345</f>
        <v>0</v>
      </c>
    </row>
    <row r="342" spans="1:5" ht="15.5">
      <c r="A342" s="290">
        <f>'Inventory Takeoff'!B346</f>
        <v>341</v>
      </c>
      <c r="B342" s="290" t="e">
        <f t="shared" si="14"/>
        <v>#NAME?</v>
      </c>
      <c r="C342" s="295" t="str">
        <f>'Inventory Takeoff'!C346</f>
        <v>Not Used</v>
      </c>
      <c r="D342" s="297">
        <f>'Inventory Takeoff'!D346</f>
        <v>0</v>
      </c>
      <c r="E342" s="291">
        <f>'Inventory Takeoff'!G346</f>
        <v>0</v>
      </c>
    </row>
    <row r="343" spans="1:5" ht="15.5">
      <c r="A343" s="290">
        <f>'Inventory Takeoff'!B347</f>
        <v>342</v>
      </c>
      <c r="B343" s="290" t="e">
        <f t="shared" si="14"/>
        <v>#NAME?</v>
      </c>
      <c r="C343" s="295" t="str">
        <f>'Inventory Takeoff'!C347</f>
        <v>Not Used</v>
      </c>
      <c r="D343" s="297">
        <f>'Inventory Takeoff'!D347</f>
        <v>0</v>
      </c>
      <c r="E343" s="291">
        <f>'Inventory Takeoff'!G347</f>
        <v>0</v>
      </c>
    </row>
    <row r="344" spans="1:5" ht="15.5">
      <c r="A344" s="290">
        <f>'Inventory Takeoff'!B348</f>
        <v>343</v>
      </c>
      <c r="B344" s="290" t="e">
        <f t="shared" si="14"/>
        <v>#NAME?</v>
      </c>
      <c r="C344" s="295" t="str">
        <f>'Inventory Takeoff'!C348</f>
        <v>Not Used</v>
      </c>
      <c r="D344" s="297">
        <f>'Inventory Takeoff'!D348</f>
        <v>0</v>
      </c>
      <c r="E344" s="291">
        <f>'Inventory Takeoff'!G348</f>
        <v>0</v>
      </c>
    </row>
    <row r="345" spans="1:5" ht="15.5">
      <c r="A345" s="290">
        <f>'Inventory Takeoff'!B349</f>
        <v>344</v>
      </c>
      <c r="B345" s="290" t="e">
        <f t="shared" si="14"/>
        <v>#NAME?</v>
      </c>
      <c r="C345" s="295" t="str">
        <f>'Inventory Takeoff'!C349</f>
        <v>Not Used</v>
      </c>
      <c r="D345" s="297">
        <f>'Inventory Takeoff'!D349</f>
        <v>0</v>
      </c>
      <c r="E345" s="291">
        <f>'Inventory Takeoff'!G349</f>
        <v>0</v>
      </c>
    </row>
    <row r="346" spans="1:5" ht="15.5">
      <c r="A346" s="290">
        <f>'Inventory Takeoff'!B350</f>
        <v>345</v>
      </c>
      <c r="B346" s="290" t="e">
        <f t="shared" si="14"/>
        <v>#NAME?</v>
      </c>
      <c r="C346" s="295" t="str">
        <f>'Inventory Takeoff'!C350</f>
        <v>Not Used</v>
      </c>
      <c r="D346" s="297">
        <f>'Inventory Takeoff'!D350</f>
        <v>0</v>
      </c>
      <c r="E346" s="291">
        <f>'Inventory Takeoff'!G350</f>
        <v>0</v>
      </c>
    </row>
    <row r="347" spans="1:5" ht="15.5">
      <c r="A347" s="290">
        <f>'Inventory Takeoff'!B351</f>
        <v>346</v>
      </c>
      <c r="B347" s="290" t="e">
        <f t="shared" si="14"/>
        <v>#NAME?</v>
      </c>
      <c r="C347" s="295" t="str">
        <f>'Inventory Takeoff'!C351</f>
        <v>Not Used</v>
      </c>
      <c r="D347" s="297">
        <f>'Inventory Takeoff'!D351</f>
        <v>0</v>
      </c>
      <c r="E347" s="291">
        <f>'Inventory Takeoff'!G351</f>
        <v>0</v>
      </c>
    </row>
    <row r="348" spans="1:5" ht="15.5">
      <c r="A348" s="290">
        <f>'Inventory Takeoff'!B352</f>
        <v>347</v>
      </c>
      <c r="B348" s="290" t="e">
        <f t="shared" si="14"/>
        <v>#NAME?</v>
      </c>
      <c r="C348" s="295" t="str">
        <f>'Inventory Takeoff'!C352</f>
        <v>Not Used</v>
      </c>
      <c r="D348" s="297">
        <f>'Inventory Takeoff'!D352</f>
        <v>0</v>
      </c>
      <c r="E348" s="291">
        <f>'Inventory Takeoff'!G352</f>
        <v>0</v>
      </c>
    </row>
    <row r="349" spans="1:5" ht="15.5">
      <c r="A349" s="290">
        <f>'Inventory Takeoff'!B353</f>
        <v>348</v>
      </c>
      <c r="B349" s="290" t="e">
        <f t="shared" si="14"/>
        <v>#NAME?</v>
      </c>
      <c r="C349" s="295" t="str">
        <f>'Inventory Takeoff'!C353</f>
        <v>Not Used</v>
      </c>
      <c r="D349" s="297">
        <f>'Inventory Takeoff'!D353</f>
        <v>0</v>
      </c>
      <c r="E349" s="291">
        <f>'Inventory Takeoff'!G353</f>
        <v>0</v>
      </c>
    </row>
    <row r="350" spans="1:5" ht="15.5">
      <c r="A350" s="290">
        <f>'Inventory Takeoff'!B354</f>
        <v>349</v>
      </c>
      <c r="B350" s="290" t="e">
        <f t="shared" si="14"/>
        <v>#NAME?</v>
      </c>
      <c r="C350" s="295" t="str">
        <f>'Inventory Takeoff'!C354</f>
        <v>Not Used</v>
      </c>
      <c r="D350" s="297">
        <f>'Inventory Takeoff'!D354</f>
        <v>0</v>
      </c>
      <c r="E350" s="291">
        <f>'Inventory Takeoff'!G354</f>
        <v>0</v>
      </c>
    </row>
    <row r="351" spans="1:5" ht="15.5">
      <c r="A351" s="290">
        <f>'Inventory Takeoff'!B355</f>
        <v>350</v>
      </c>
      <c r="B351" s="290" t="e">
        <f t="shared" si="14"/>
        <v>#NAME?</v>
      </c>
      <c r="C351" s="295" t="str">
        <f>'Inventory Takeoff'!C355</f>
        <v>Angle SS 1x1 x  1/8</v>
      </c>
      <c r="D351" s="297" t="str">
        <f>'Inventory Takeoff'!D355</f>
        <v>Foot</v>
      </c>
      <c r="E351" s="291">
        <f>'Inventory Takeoff'!G355</f>
        <v>3.87</v>
      </c>
    </row>
    <row r="352" spans="1:5" ht="15.5">
      <c r="A352" s="290">
        <f>'Inventory Takeoff'!B356</f>
        <v>351</v>
      </c>
      <c r="B352" s="290" t="e">
        <f t="shared" si="14"/>
        <v>#NAME?</v>
      </c>
      <c r="C352" s="295" t="str">
        <f>'Inventory Takeoff'!C356</f>
        <v>Angle SS 1.5x1.5 x  1/8</v>
      </c>
      <c r="D352" s="297" t="str">
        <f>'Inventory Takeoff'!D356</f>
        <v>Foot</v>
      </c>
      <c r="E352" s="291">
        <f>'Inventory Takeoff'!G356</f>
        <v>5.95</v>
      </c>
    </row>
    <row r="353" spans="1:5" ht="15.5">
      <c r="A353" s="290">
        <f>'Inventory Takeoff'!B357</f>
        <v>352</v>
      </c>
      <c r="B353" s="290" t="e">
        <f t="shared" si="14"/>
        <v>#NAME?</v>
      </c>
      <c r="C353" s="295" t="str">
        <f>'Inventory Takeoff'!C357</f>
        <v>Angle SS 1.5x1.5 x 3/16</v>
      </c>
      <c r="D353" s="297" t="str">
        <f>'Inventory Takeoff'!D357</f>
        <v>Foot</v>
      </c>
      <c r="E353" s="291">
        <f>'Inventory Takeoff'!G357</f>
        <v>8.7100000000000009</v>
      </c>
    </row>
    <row r="354" spans="1:5" ht="15.5">
      <c r="A354" s="290">
        <f>'Inventory Takeoff'!B358</f>
        <v>353</v>
      </c>
      <c r="B354" s="290" t="e">
        <f t="shared" si="14"/>
        <v>#NAME?</v>
      </c>
      <c r="C354" s="295" t="str">
        <f>'Inventory Takeoff'!C358</f>
        <v>Angle SS 2x2 x 1/8</v>
      </c>
      <c r="D354" s="297" t="str">
        <f>'Inventory Takeoff'!D358</f>
        <v>Foot</v>
      </c>
      <c r="E354" s="291">
        <f>'Inventory Takeoff'!G358</f>
        <v>6.8000000000000007</v>
      </c>
    </row>
    <row r="355" spans="1:5" ht="15.5">
      <c r="A355" s="290">
        <f>'Inventory Takeoff'!B359</f>
        <v>354</v>
      </c>
      <c r="B355" s="290" t="e">
        <f t="shared" si="14"/>
        <v>#NAME?</v>
      </c>
      <c r="C355" s="295" t="str">
        <f>'Inventory Takeoff'!C359</f>
        <v>Angle SS 2x2 x 3/16</v>
      </c>
      <c r="D355" s="297" t="str">
        <f>'Inventory Takeoff'!D359</f>
        <v>Foot</v>
      </c>
      <c r="E355" s="291">
        <f>'Inventory Takeoff'!G359</f>
        <v>11.03</v>
      </c>
    </row>
    <row r="356" spans="1:5" ht="15.5">
      <c r="A356" s="290">
        <f>'Inventory Takeoff'!B360</f>
        <v>355</v>
      </c>
      <c r="B356" s="290" t="e">
        <f t="shared" si="14"/>
        <v>#NAME?</v>
      </c>
      <c r="C356" s="295" t="str">
        <f>'Inventory Takeoff'!C360</f>
        <v>Angle SS 2x2 x 1/4</v>
      </c>
      <c r="D356" s="297" t="str">
        <f>'Inventory Takeoff'!D360</f>
        <v>Foot</v>
      </c>
      <c r="E356" s="291">
        <f>'Inventory Takeoff'!G360</f>
        <v>15.44</v>
      </c>
    </row>
    <row r="357" spans="1:5" ht="15.5">
      <c r="A357" s="290">
        <f>'Inventory Takeoff'!B361</f>
        <v>356</v>
      </c>
      <c r="B357" s="290" t="e">
        <f t="shared" si="14"/>
        <v>#NAME?</v>
      </c>
      <c r="C357" s="295" t="str">
        <f>'Inventory Takeoff'!C361</f>
        <v>Angle SS 3x3 x 3/16</v>
      </c>
      <c r="D357" s="297" t="str">
        <f>'Inventory Takeoff'!D361</f>
        <v>Foot</v>
      </c>
      <c r="E357" s="291">
        <f>'Inventory Takeoff'!G361</f>
        <v>17.95</v>
      </c>
    </row>
    <row r="358" spans="1:5" ht="15.5">
      <c r="A358" s="290">
        <f>'Inventory Takeoff'!B362</f>
        <v>357</v>
      </c>
      <c r="B358" s="290" t="e">
        <f t="shared" si="14"/>
        <v>#NAME?</v>
      </c>
      <c r="C358" s="295" t="str">
        <f>'Inventory Takeoff'!C362</f>
        <v>Angle SS 3x3 x 1/4</v>
      </c>
      <c r="D358" s="297" t="str">
        <f>'Inventory Takeoff'!D362</f>
        <v>Foot</v>
      </c>
      <c r="E358" s="291">
        <f>'Inventory Takeoff'!G362</f>
        <v>23.72</v>
      </c>
    </row>
    <row r="359" spans="1:5" ht="15.5">
      <c r="A359" s="290">
        <f>'Inventory Takeoff'!B363</f>
        <v>358</v>
      </c>
      <c r="B359" s="290" t="e">
        <f t="shared" si="14"/>
        <v>#NAME?</v>
      </c>
      <c r="C359" s="295" t="str">
        <f>'Inventory Takeoff'!C363</f>
        <v>Angle SS 4x4 x 1/4</v>
      </c>
      <c r="D359" s="297" t="str">
        <f>'Inventory Takeoff'!D363</f>
        <v>Foot</v>
      </c>
      <c r="E359" s="291">
        <f>'Inventory Takeoff'!G363</f>
        <v>31.939999999999998</v>
      </c>
    </row>
    <row r="360" spans="1:5" ht="15.5">
      <c r="A360" s="290">
        <f>'Inventory Takeoff'!B364</f>
        <v>359</v>
      </c>
      <c r="B360" s="290" t="e">
        <f t="shared" si="14"/>
        <v>#NAME?</v>
      </c>
      <c r="C360" s="295" t="str">
        <f>'Inventory Takeoff'!C364</f>
        <v>Angle SS 6x6 x 3/8</v>
      </c>
      <c r="D360" s="297" t="str">
        <f>'Inventory Takeoff'!D364</f>
        <v>Foot</v>
      </c>
      <c r="E360" s="291">
        <f>'Inventory Takeoff'!G364</f>
        <v>72.12</v>
      </c>
    </row>
    <row r="361" spans="1:5" ht="15.5">
      <c r="A361" s="290">
        <f>'Inventory Takeoff'!B365</f>
        <v>360</v>
      </c>
      <c r="B361" s="290" t="e">
        <f t="shared" si="14"/>
        <v>#NAME?</v>
      </c>
      <c r="C361" s="295" t="str">
        <f>'Inventory Takeoff'!C365</f>
        <v>Angle Alum 1x1 x  1/8</v>
      </c>
      <c r="D361" s="297" t="str">
        <f>'Inventory Takeoff'!D365</f>
        <v>Foot</v>
      </c>
      <c r="E361" s="291">
        <f>'Inventory Takeoff'!G365</f>
        <v>1.24</v>
      </c>
    </row>
    <row r="362" spans="1:5" ht="15.5">
      <c r="A362" s="290">
        <f>'Inventory Takeoff'!B366</f>
        <v>361</v>
      </c>
      <c r="B362" s="290" t="e">
        <f t="shared" si="14"/>
        <v>#NAME?</v>
      </c>
      <c r="C362" s="295" t="str">
        <f>'Inventory Takeoff'!C366</f>
        <v>Angle Alum 1.5x1.5 x  1/8</v>
      </c>
      <c r="D362" s="297" t="str">
        <f>'Inventory Takeoff'!D366</f>
        <v>Foot</v>
      </c>
      <c r="E362" s="291">
        <f>'Inventory Takeoff'!G366</f>
        <v>1.89</v>
      </c>
    </row>
    <row r="363" spans="1:5" ht="15.5">
      <c r="A363" s="290">
        <f>'Inventory Takeoff'!B367</f>
        <v>362</v>
      </c>
      <c r="B363" s="290" t="e">
        <f t="shared" si="14"/>
        <v>#NAME?</v>
      </c>
      <c r="C363" s="295" t="str">
        <f>'Inventory Takeoff'!C367</f>
        <v>Angle Alum 1.5x1.5 x 3/16</v>
      </c>
      <c r="D363" s="297" t="str">
        <f>'Inventory Takeoff'!D367</f>
        <v>Foot</v>
      </c>
      <c r="E363" s="291">
        <f>'Inventory Takeoff'!G367</f>
        <v>2.75</v>
      </c>
    </row>
    <row r="364" spans="1:5" ht="15.5">
      <c r="A364" s="290">
        <f>'Inventory Takeoff'!B368</f>
        <v>363</v>
      </c>
      <c r="B364" s="290" t="e">
        <f t="shared" si="14"/>
        <v>#NAME?</v>
      </c>
      <c r="C364" s="295" t="str">
        <f>'Inventory Takeoff'!C368</f>
        <v>Angle Alum 2x2 x 1/8</v>
      </c>
      <c r="D364" s="297" t="str">
        <f>'Inventory Takeoff'!D368</f>
        <v>Foot</v>
      </c>
      <c r="E364" s="291">
        <f>'Inventory Takeoff'!G368</f>
        <v>2.52</v>
      </c>
    </row>
    <row r="365" spans="1:5" ht="15.5">
      <c r="A365" s="290">
        <f>'Inventory Takeoff'!B369</f>
        <v>364</v>
      </c>
      <c r="B365" s="290" t="e">
        <f t="shared" si="14"/>
        <v>#NAME?</v>
      </c>
      <c r="C365" s="295" t="str">
        <f>'Inventory Takeoff'!C369</f>
        <v>Angle Alum 2x2 x 3/16</v>
      </c>
      <c r="D365" s="297" t="str">
        <f>'Inventory Takeoff'!D369</f>
        <v>Foot</v>
      </c>
      <c r="E365" s="291">
        <f>'Inventory Takeoff'!G369</f>
        <v>3.77</v>
      </c>
    </row>
    <row r="366" spans="1:5" ht="15.5">
      <c r="A366" s="290">
        <f>'Inventory Takeoff'!B370</f>
        <v>365</v>
      </c>
      <c r="B366" s="290" t="e">
        <f t="shared" si="14"/>
        <v>#NAME?</v>
      </c>
      <c r="C366" s="295" t="str">
        <f>'Inventory Takeoff'!C370</f>
        <v>Angle Alum 2x2 x 1/4</v>
      </c>
      <c r="D366" s="297" t="str">
        <f>'Inventory Takeoff'!D370</f>
        <v>Foot</v>
      </c>
      <c r="E366" s="291">
        <f>'Inventory Takeoff'!G370</f>
        <v>4.9200000000000008</v>
      </c>
    </row>
    <row r="367" spans="1:5" ht="15.5">
      <c r="A367" s="290">
        <f>'Inventory Takeoff'!B371</f>
        <v>366</v>
      </c>
      <c r="B367" s="290" t="e">
        <f t="shared" si="14"/>
        <v>#NAME?</v>
      </c>
      <c r="C367" s="295" t="str">
        <f>'Inventory Takeoff'!C371</f>
        <v>Angle Alum 3x3 x 3/16</v>
      </c>
      <c r="D367" s="297" t="str">
        <f>'Inventory Takeoff'!D371</f>
        <v>Foot</v>
      </c>
      <c r="E367" s="291">
        <f>'Inventory Takeoff'!G371</f>
        <v>5.56</v>
      </c>
    </row>
    <row r="368" spans="1:5" ht="15.5">
      <c r="A368" s="290">
        <f>'Inventory Takeoff'!B372</f>
        <v>367</v>
      </c>
      <c r="B368" s="290" t="e">
        <f t="shared" si="14"/>
        <v>#NAME?</v>
      </c>
      <c r="C368" s="295" t="str">
        <f>'Inventory Takeoff'!C372</f>
        <v>Angle Alum 3x3 x 1/4</v>
      </c>
      <c r="D368" s="297" t="str">
        <f>'Inventory Takeoff'!D372</f>
        <v>Foot</v>
      </c>
      <c r="E368" s="291">
        <f>'Inventory Takeoff'!G372</f>
        <v>7.45</v>
      </c>
    </row>
    <row r="369" spans="1:5" ht="15.5">
      <c r="A369" s="290">
        <f>'Inventory Takeoff'!B373</f>
        <v>368</v>
      </c>
      <c r="B369" s="290" t="e">
        <f t="shared" ref="B369:B413" si="15">IF(SUMIFS(Ancillary_Qty,Ancillary_InventoryCode,A369,Ancillary_BoughtOut,"No")=0,"",SUMIFS(Ancillary_Qty,Ancillary_InventoryCode,A369,Ancillary_BoughtOut,"No"))</f>
        <v>#NAME?</v>
      </c>
      <c r="C369" s="295" t="str">
        <f>'Inventory Takeoff'!C373</f>
        <v>Angle Alum 4x4 x 1/4</v>
      </c>
      <c r="D369" s="297" t="str">
        <f>'Inventory Takeoff'!D373</f>
        <v>Foot</v>
      </c>
      <c r="E369" s="291">
        <f>'Inventory Takeoff'!G373</f>
        <v>10.11</v>
      </c>
    </row>
    <row r="370" spans="1:5" ht="15.5">
      <c r="A370" s="290">
        <f>'Inventory Takeoff'!B374</f>
        <v>369</v>
      </c>
      <c r="B370" s="290" t="e">
        <f t="shared" si="15"/>
        <v>#NAME?</v>
      </c>
      <c r="C370" s="295" t="str">
        <f>'Inventory Takeoff'!C374</f>
        <v>Angle Alum 6x6 x 3/8</v>
      </c>
      <c r="D370" s="297" t="str">
        <f>'Inventory Takeoff'!D374</f>
        <v>Foot</v>
      </c>
      <c r="E370" s="291">
        <f>'Inventory Takeoff'!G374</f>
        <v>22.66</v>
      </c>
    </row>
    <row r="371" spans="1:5" ht="15.5">
      <c r="A371" s="290">
        <f>'Inventory Takeoff'!B375</f>
        <v>370</v>
      </c>
      <c r="B371" s="290" t="e">
        <f t="shared" si="15"/>
        <v>#NAME?</v>
      </c>
      <c r="C371" s="295" t="str">
        <f>'Inventory Takeoff'!C375</f>
        <v>Tube 1 x 1 x  1/8</v>
      </c>
      <c r="D371" s="297" t="str">
        <f>'Inventory Takeoff'!D375</f>
        <v>Foot</v>
      </c>
      <c r="E371" s="291">
        <f>'Inventory Takeoff'!G375</f>
        <v>2.4500000000000002</v>
      </c>
    </row>
    <row r="372" spans="1:5" ht="15.5">
      <c r="A372" s="290">
        <f>'Inventory Takeoff'!B376</f>
        <v>371</v>
      </c>
      <c r="B372" s="290" t="e">
        <f t="shared" si="15"/>
        <v>#NAME?</v>
      </c>
      <c r="C372" s="295" t="str">
        <f>'Inventory Takeoff'!C376</f>
        <v>Tube 1.5 x 1.5 x  1/8</v>
      </c>
      <c r="D372" s="297" t="str">
        <f>'Inventory Takeoff'!D376</f>
        <v>Foot</v>
      </c>
      <c r="E372" s="291">
        <f>'Inventory Takeoff'!G376</f>
        <v>3.7600000000000002</v>
      </c>
    </row>
    <row r="373" spans="1:5" ht="15.5">
      <c r="A373" s="290">
        <f>'Inventory Takeoff'!B377</f>
        <v>372</v>
      </c>
      <c r="B373" s="290" t="e">
        <f t="shared" si="15"/>
        <v>#NAME?</v>
      </c>
      <c r="C373" s="295" t="str">
        <f>'Inventory Takeoff'!C377</f>
        <v>Tube 1.5 x 1.5 x 3/16</v>
      </c>
      <c r="D373" s="297" t="str">
        <f>'Inventory Takeoff'!D377</f>
        <v>Foot</v>
      </c>
      <c r="E373" s="291">
        <f>'Inventory Takeoff'!G377</f>
        <v>6.0200000000000005</v>
      </c>
    </row>
    <row r="374" spans="1:5" ht="15.5">
      <c r="A374" s="290">
        <f>'Inventory Takeoff'!B378</f>
        <v>373</v>
      </c>
      <c r="B374" s="290" t="e">
        <f t="shared" si="15"/>
        <v>#NAME?</v>
      </c>
      <c r="C374" s="295" t="str">
        <f>'Inventory Takeoff'!C378</f>
        <v>Tube 2 x 2 x 1/8</v>
      </c>
      <c r="D374" s="297" t="str">
        <f>'Inventory Takeoff'!D378</f>
        <v>Foot</v>
      </c>
      <c r="E374" s="291">
        <f>'Inventory Takeoff'!G378</f>
        <v>5.04</v>
      </c>
    </row>
    <row r="375" spans="1:5" ht="15.5">
      <c r="A375" s="290">
        <f>'Inventory Takeoff'!B379</f>
        <v>374</v>
      </c>
      <c r="B375" s="290" t="e">
        <f t="shared" si="15"/>
        <v>#NAME?</v>
      </c>
      <c r="C375" s="295" t="str">
        <f>'Inventory Takeoff'!C379</f>
        <v>Tube 2 x 2 x 3/16</v>
      </c>
      <c r="D375" s="297" t="str">
        <f>'Inventory Takeoff'!D379</f>
        <v>Foot</v>
      </c>
      <c r="E375" s="291">
        <f>'Inventory Takeoff'!G379</f>
        <v>7.1300000000000008</v>
      </c>
    </row>
    <row r="376" spans="1:5" ht="15.5">
      <c r="A376" s="290">
        <f>'Inventory Takeoff'!B380</f>
        <v>375</v>
      </c>
      <c r="B376" s="290" t="e">
        <f t="shared" si="15"/>
        <v>#NAME?</v>
      </c>
      <c r="C376" s="295" t="str">
        <f>'Inventory Takeoff'!C380</f>
        <v>Tube 2 x 2 x 1/4</v>
      </c>
      <c r="D376" s="297" t="str">
        <f>'Inventory Takeoff'!D380</f>
        <v>Foot</v>
      </c>
      <c r="E376" s="291">
        <f>'Inventory Takeoff'!G380</f>
        <v>8.6</v>
      </c>
    </row>
    <row r="377" spans="1:5" ht="15.5">
      <c r="A377" s="290">
        <f>'Inventory Takeoff'!B381</f>
        <v>376</v>
      </c>
      <c r="B377" s="290" t="e">
        <f t="shared" si="15"/>
        <v>#NAME?</v>
      </c>
      <c r="C377" s="295" t="str">
        <f>'Inventory Takeoff'!C381</f>
        <v>Tube 3 x 3 x 3/16</v>
      </c>
      <c r="D377" s="297" t="str">
        <f>'Inventory Takeoff'!D381</f>
        <v>Foot</v>
      </c>
      <c r="E377" s="291">
        <f>'Inventory Takeoff'!G381</f>
        <v>10.920000000000002</v>
      </c>
    </row>
    <row r="378" spans="1:5" ht="15.5">
      <c r="A378" s="290">
        <f>'Inventory Takeoff'!B382</f>
        <v>377</v>
      </c>
      <c r="B378" s="290" t="e">
        <f t="shared" si="15"/>
        <v>#NAME?</v>
      </c>
      <c r="C378" s="295" t="str">
        <f>'Inventory Takeoff'!C382</f>
        <v>Tube 3 x 3 x 1/4</v>
      </c>
      <c r="D378" s="297" t="str">
        <f>'Inventory Takeoff'!D382</f>
        <v>Foot</v>
      </c>
      <c r="E378" s="291">
        <f>'Inventory Takeoff'!G382</f>
        <v>14</v>
      </c>
    </row>
    <row r="379" spans="1:5" ht="15.5">
      <c r="A379" s="290">
        <f>'Inventory Takeoff'!B383</f>
        <v>378</v>
      </c>
      <c r="B379" s="290" t="e">
        <f t="shared" si="15"/>
        <v>#NAME?</v>
      </c>
      <c r="C379" s="295" t="str">
        <f>'Inventory Takeoff'!C383</f>
        <v>Tube 4 x 4 x 3/16</v>
      </c>
      <c r="D379" s="297" t="str">
        <f>'Inventory Takeoff'!D383</f>
        <v>Foot</v>
      </c>
      <c r="E379" s="291">
        <f>'Inventory Takeoff'!G383</f>
        <v>14.98</v>
      </c>
    </row>
    <row r="380" spans="1:5" ht="15.5">
      <c r="A380" s="290">
        <f>'Inventory Takeoff'!B384</f>
        <v>379</v>
      </c>
      <c r="B380" s="290" t="e">
        <f t="shared" si="15"/>
        <v>#NAME?</v>
      </c>
      <c r="C380" s="295" t="str">
        <f>'Inventory Takeoff'!C384</f>
        <v>Tube 4 x 4 x 1/4</v>
      </c>
      <c r="D380" s="297" t="str">
        <f>'Inventory Takeoff'!D384</f>
        <v>Foot</v>
      </c>
      <c r="E380" s="291">
        <f>'Inventory Takeoff'!G384</f>
        <v>19.41</v>
      </c>
    </row>
    <row r="381" spans="1:5" ht="15.5">
      <c r="A381" s="290">
        <f>'Inventory Takeoff'!B385</f>
        <v>380</v>
      </c>
      <c r="B381" s="290" t="e">
        <f t="shared" si="15"/>
        <v>#NAME?</v>
      </c>
      <c r="C381" s="295" t="str">
        <f>'Inventory Takeoff'!C385</f>
        <v>Tube 4 x 2 x 3/16</v>
      </c>
      <c r="D381" s="297" t="str">
        <f>'Inventory Takeoff'!D385</f>
        <v>Foot</v>
      </c>
      <c r="E381" s="291">
        <f>'Inventory Takeoff'!G385</f>
        <v>12.61</v>
      </c>
    </row>
    <row r="382" spans="1:5" ht="15.5">
      <c r="A382" s="290">
        <f>'Inventory Takeoff'!B386</f>
        <v>381</v>
      </c>
      <c r="B382" s="290" t="e">
        <f t="shared" si="15"/>
        <v>#NAME?</v>
      </c>
      <c r="C382" s="295" t="str">
        <f>'Inventory Takeoff'!C386</f>
        <v>Tube 6 x 6 x 3/8</v>
      </c>
      <c r="D382" s="297" t="str">
        <f>'Inventory Takeoff'!D386</f>
        <v>Foot</v>
      </c>
      <c r="E382" s="291">
        <f>'Inventory Takeoff'!G386</f>
        <v>42.32</v>
      </c>
    </row>
    <row r="383" spans="1:5" ht="15.5">
      <c r="A383" s="290">
        <f>'Inventory Takeoff'!B387</f>
        <v>382</v>
      </c>
      <c r="B383" s="290" t="e">
        <f t="shared" si="15"/>
        <v>#NAME?</v>
      </c>
      <c r="C383" s="295" t="str">
        <f>'Inventory Takeoff'!C387</f>
        <v>Tube SS 1 x 1 x  1/8</v>
      </c>
      <c r="D383" s="297" t="str">
        <f>'Inventory Takeoff'!D387</f>
        <v>Foot</v>
      </c>
      <c r="E383" s="291">
        <f>'Inventory Takeoff'!G387</f>
        <v>9.5</v>
      </c>
    </row>
    <row r="384" spans="1:5" ht="15.5">
      <c r="A384" s="290">
        <f>'Inventory Takeoff'!B388</f>
        <v>383</v>
      </c>
      <c r="B384" s="290" t="e">
        <f t="shared" si="15"/>
        <v>#NAME?</v>
      </c>
      <c r="C384" s="295" t="str">
        <f>'Inventory Takeoff'!C388</f>
        <v>Tube SS 1.5 x 1.5 x  1/8</v>
      </c>
      <c r="D384" s="297" t="str">
        <f>'Inventory Takeoff'!D388</f>
        <v>Foot</v>
      </c>
      <c r="E384" s="291">
        <f>'Inventory Takeoff'!G388</f>
        <v>14.59</v>
      </c>
    </row>
    <row r="385" spans="1:5" ht="15.5">
      <c r="A385" s="290">
        <f>'Inventory Takeoff'!B389</f>
        <v>384</v>
      </c>
      <c r="B385" s="290" t="e">
        <f t="shared" si="15"/>
        <v>#NAME?</v>
      </c>
      <c r="C385" s="295" t="str">
        <f>'Inventory Takeoff'!C389</f>
        <v>Tube SS 1.5 x 1.5 x 3/16</v>
      </c>
      <c r="D385" s="297" t="str">
        <f>'Inventory Takeoff'!D389</f>
        <v>Foot</v>
      </c>
      <c r="E385" s="291">
        <f>'Inventory Takeoff'!G389</f>
        <v>23.15</v>
      </c>
    </row>
    <row r="386" spans="1:5" ht="15.5">
      <c r="A386" s="290">
        <f>'Inventory Takeoff'!B390</f>
        <v>385</v>
      </c>
      <c r="B386" s="290" t="e">
        <f t="shared" si="15"/>
        <v>#NAME?</v>
      </c>
      <c r="C386" s="295" t="str">
        <f>'Inventory Takeoff'!C390</f>
        <v>Tube SS 2 x 2 x 1/8</v>
      </c>
      <c r="D386" s="297" t="str">
        <f>'Inventory Takeoff'!D390</f>
        <v>Foot</v>
      </c>
      <c r="E386" s="291">
        <f>'Inventory Takeoff'!G390</f>
        <v>19.95</v>
      </c>
    </row>
    <row r="387" spans="1:5" ht="15.5">
      <c r="A387" s="290">
        <f>'Inventory Takeoff'!B391</f>
        <v>386</v>
      </c>
      <c r="B387" s="290" t="e">
        <f t="shared" si="15"/>
        <v>#NAME?</v>
      </c>
      <c r="C387" s="295" t="str">
        <f>'Inventory Takeoff'!C391</f>
        <v>Tube SS 2 x 2 x 3/16</v>
      </c>
      <c r="D387" s="297" t="str">
        <f>'Inventory Takeoff'!D391</f>
        <v>Foot</v>
      </c>
      <c r="E387" s="291">
        <f>'Inventory Takeoff'!G391</f>
        <v>28.04</v>
      </c>
    </row>
    <row r="388" spans="1:5" ht="15.5">
      <c r="A388" s="290">
        <f>'Inventory Takeoff'!B392</f>
        <v>387</v>
      </c>
      <c r="B388" s="290" t="e">
        <f t="shared" si="15"/>
        <v>#NAME?</v>
      </c>
      <c r="C388" s="295" t="str">
        <f>'Inventory Takeoff'!C392</f>
        <v>Tube SS 2 x 2 x 1/4</v>
      </c>
      <c r="D388" s="297" t="str">
        <f>'Inventory Takeoff'!D392</f>
        <v>Foot</v>
      </c>
      <c r="E388" s="291">
        <f>'Inventory Takeoff'!G392</f>
        <v>35.11</v>
      </c>
    </row>
    <row r="389" spans="1:5" ht="15.5">
      <c r="A389" s="290">
        <f>'Inventory Takeoff'!B393</f>
        <v>388</v>
      </c>
      <c r="B389" s="290" t="e">
        <f t="shared" si="15"/>
        <v>#NAME?</v>
      </c>
      <c r="C389" s="295" t="str">
        <f>'Inventory Takeoff'!C393</f>
        <v>Tube SS 3 x 3 x 3/16</v>
      </c>
      <c r="D389" s="297" t="str">
        <f>'Inventory Takeoff'!D393</f>
        <v>Foot</v>
      </c>
      <c r="E389" s="291">
        <f>'Inventory Takeoff'!G393</f>
        <v>44.58</v>
      </c>
    </row>
    <row r="390" spans="1:5" ht="15.5">
      <c r="A390" s="290">
        <f>'Inventory Takeoff'!B394</f>
        <v>389</v>
      </c>
      <c r="B390" s="290" t="e">
        <f t="shared" si="15"/>
        <v>#NAME?</v>
      </c>
      <c r="C390" s="295" t="str">
        <f>'Inventory Takeoff'!C394</f>
        <v>Tube SS 3 x 3 x 1/4</v>
      </c>
      <c r="D390" s="297" t="str">
        <f>'Inventory Takeoff'!D394</f>
        <v>Foot</v>
      </c>
      <c r="E390" s="291">
        <f>'Inventory Takeoff'!G394</f>
        <v>56.65</v>
      </c>
    </row>
    <row r="391" spans="1:5" ht="15.5">
      <c r="A391" s="290">
        <f>'Inventory Takeoff'!B395</f>
        <v>390</v>
      </c>
      <c r="B391" s="290" t="e">
        <f t="shared" si="15"/>
        <v>#NAME?</v>
      </c>
      <c r="C391" s="295" t="str">
        <f>'Inventory Takeoff'!C395</f>
        <v>Tube SS 4 x 4 x 3/16</v>
      </c>
      <c r="D391" s="297" t="str">
        <f>'Inventory Takeoff'!D395</f>
        <v>Foot</v>
      </c>
      <c r="E391" s="291">
        <f>'Inventory Takeoff'!G395</f>
        <v>60.57</v>
      </c>
    </row>
    <row r="392" spans="1:5" ht="15.5">
      <c r="A392" s="290">
        <f>'Inventory Takeoff'!B396</f>
        <v>391</v>
      </c>
      <c r="B392" s="290" t="e">
        <f t="shared" si="15"/>
        <v>#NAME?</v>
      </c>
      <c r="C392" s="295" t="str">
        <f>'Inventory Takeoff'!C396</f>
        <v>Tube SS 4 x 4 x 1/4</v>
      </c>
      <c r="D392" s="297" t="str">
        <f>'Inventory Takeoff'!D396</f>
        <v>Foot</v>
      </c>
      <c r="E392" s="291">
        <f>'Inventory Takeoff'!G396</f>
        <v>78.510000000000005</v>
      </c>
    </row>
    <row r="393" spans="1:5" ht="15.5">
      <c r="A393" s="290">
        <f>'Inventory Takeoff'!B397</f>
        <v>392</v>
      </c>
      <c r="B393" s="290" t="e">
        <f t="shared" si="15"/>
        <v>#NAME?</v>
      </c>
      <c r="C393" s="295" t="str">
        <f>'Inventory Takeoff'!C397</f>
        <v>Tube SS 4 x 2 x 3/16</v>
      </c>
      <c r="D393" s="297" t="str">
        <f>'Inventory Takeoff'!D397</f>
        <v>Foot</v>
      </c>
      <c r="E393" s="291">
        <f>'Inventory Takeoff'!G397</f>
        <v>45.26</v>
      </c>
    </row>
    <row r="394" spans="1:5" ht="15.5">
      <c r="A394" s="290">
        <f>'Inventory Takeoff'!B398</f>
        <v>393</v>
      </c>
      <c r="B394" s="290" t="e">
        <f t="shared" si="15"/>
        <v>#NAME?</v>
      </c>
      <c r="C394" s="295" t="str">
        <f>'Inventory Takeoff'!C398</f>
        <v>Tube SS 6 x 6 x 3/8</v>
      </c>
      <c r="D394" s="297" t="str">
        <f>'Inventory Takeoff'!D398</f>
        <v>Foot</v>
      </c>
      <c r="E394" s="291">
        <f>'Inventory Takeoff'!G398</f>
        <v>176.7</v>
      </c>
    </row>
    <row r="395" spans="1:5" ht="15.5">
      <c r="A395" s="290">
        <f>'Inventory Takeoff'!B399</f>
        <v>394</v>
      </c>
      <c r="B395" s="290" t="e">
        <f t="shared" si="15"/>
        <v>#NAME?</v>
      </c>
      <c r="C395" s="295" t="str">
        <f>'Inventory Takeoff'!C399</f>
        <v>Tube Alum 1x1 x  1/8</v>
      </c>
      <c r="D395" s="297" t="str">
        <f>'Inventory Takeoff'!D399</f>
        <v>Foot</v>
      </c>
      <c r="E395" s="291">
        <f>'Inventory Takeoff'!G399</f>
        <v>2.31</v>
      </c>
    </row>
    <row r="396" spans="1:5" ht="15.5">
      <c r="A396" s="290">
        <f>'Inventory Takeoff'!B400</f>
        <v>395</v>
      </c>
      <c r="B396" s="290" t="e">
        <f t="shared" si="15"/>
        <v>#NAME?</v>
      </c>
      <c r="C396" s="295" t="str">
        <f>'Inventory Takeoff'!C400</f>
        <v>Tube Alum 1.5x1.5 x  1/8</v>
      </c>
      <c r="D396" s="297" t="str">
        <f>'Inventory Takeoff'!D400</f>
        <v>Foot</v>
      </c>
      <c r="E396" s="291">
        <f>'Inventory Takeoff'!G400</f>
        <v>3.63</v>
      </c>
    </row>
    <row r="397" spans="1:5" ht="15.5">
      <c r="A397" s="290">
        <f>'Inventory Takeoff'!B401</f>
        <v>396</v>
      </c>
      <c r="B397" s="290" t="e">
        <f t="shared" si="15"/>
        <v>#NAME?</v>
      </c>
      <c r="C397" s="295" t="str">
        <f>'Inventory Takeoff'!C401</f>
        <v>Tube Alum 1.5x1.5 x 3/16</v>
      </c>
      <c r="D397" s="297" t="str">
        <f>'Inventory Takeoff'!D401</f>
        <v>Foot</v>
      </c>
      <c r="E397" s="291">
        <f>'Inventory Takeoff'!G401</f>
        <v>5.1899999999999995</v>
      </c>
    </row>
    <row r="398" spans="1:5" ht="15.5">
      <c r="A398" s="290">
        <f>'Inventory Takeoff'!B402</f>
        <v>397</v>
      </c>
      <c r="B398" s="290" t="e">
        <f t="shared" si="15"/>
        <v>#NAME?</v>
      </c>
      <c r="C398" s="295" t="str">
        <f>'Inventory Takeoff'!C402</f>
        <v>Tube Alum 2x2 x 1/8</v>
      </c>
      <c r="D398" s="297" t="str">
        <f>'Inventory Takeoff'!D402</f>
        <v>Foot</v>
      </c>
      <c r="E398" s="291">
        <f>'Inventory Takeoff'!G402</f>
        <v>4.95</v>
      </c>
    </row>
    <row r="399" spans="1:5" ht="15.5">
      <c r="A399" s="290">
        <f>'Inventory Takeoff'!B403</f>
        <v>398</v>
      </c>
      <c r="B399" s="290" t="e">
        <f t="shared" si="15"/>
        <v>#NAME?</v>
      </c>
      <c r="C399" s="295" t="str">
        <f>'Inventory Takeoff'!C403</f>
        <v>Tube Alum 2x2 x 3/16</v>
      </c>
      <c r="D399" s="297" t="str">
        <f>'Inventory Takeoff'!D403</f>
        <v>Foot</v>
      </c>
      <c r="E399" s="291">
        <f>'Inventory Takeoff'!G403</f>
        <v>7.22</v>
      </c>
    </row>
    <row r="400" spans="1:5" ht="15.5">
      <c r="A400" s="290">
        <f>'Inventory Takeoff'!B404</f>
        <v>399</v>
      </c>
      <c r="B400" s="290" t="e">
        <f t="shared" si="15"/>
        <v>#NAME?</v>
      </c>
      <c r="C400" s="295" t="str">
        <f>'Inventory Takeoff'!C404</f>
        <v>Tube Alum 2x2 x 1/4</v>
      </c>
      <c r="D400" s="297" t="str">
        <f>'Inventory Takeoff'!D404</f>
        <v>Foot</v>
      </c>
      <c r="E400" s="291">
        <f>'Inventory Takeoff'!G404</f>
        <v>9.24</v>
      </c>
    </row>
    <row r="401" spans="1:5" ht="15.5">
      <c r="A401" s="290">
        <f>'Inventory Takeoff'!B405</f>
        <v>400</v>
      </c>
      <c r="B401" s="290" t="e">
        <f t="shared" si="15"/>
        <v>#NAME?</v>
      </c>
      <c r="C401" s="295" t="str">
        <f>'Inventory Takeoff'!C405</f>
        <v>Tube Alum 3x3 x 3/16</v>
      </c>
      <c r="D401" s="297" t="str">
        <f>'Inventory Takeoff'!D405</f>
        <v>Foot</v>
      </c>
      <c r="E401" s="291">
        <f>'Inventory Takeoff'!G405</f>
        <v>11.129999999999999</v>
      </c>
    </row>
    <row r="402" spans="1:5" ht="15.5">
      <c r="A402" s="290">
        <f>'Inventory Takeoff'!B406</f>
        <v>401</v>
      </c>
      <c r="B402" s="290" t="e">
        <f t="shared" si="15"/>
        <v>#NAME?</v>
      </c>
      <c r="C402" s="295" t="str">
        <f>'Inventory Takeoff'!C406</f>
        <v>Tube Alum 3x3 x 1/4</v>
      </c>
      <c r="D402" s="297" t="str">
        <f>'Inventory Takeoff'!D406</f>
        <v>Foot</v>
      </c>
      <c r="E402" s="291">
        <f>'Inventory Takeoff'!G406</f>
        <v>14.52</v>
      </c>
    </row>
    <row r="403" spans="1:5" ht="15.5">
      <c r="A403" s="290">
        <f>'Inventory Takeoff'!B407</f>
        <v>402</v>
      </c>
      <c r="B403" s="290" t="e">
        <f t="shared" si="15"/>
        <v>#NAME?</v>
      </c>
      <c r="C403" s="295" t="str">
        <f>'Inventory Takeoff'!C407</f>
        <v>Tube Alum 4x4 x 1/4</v>
      </c>
      <c r="D403" s="297" t="str">
        <f>'Inventory Takeoff'!D407</f>
        <v>Foot</v>
      </c>
      <c r="E403" s="291">
        <f>'Inventory Takeoff'!G407</f>
        <v>19.8</v>
      </c>
    </row>
    <row r="404" spans="1:5" ht="15.5">
      <c r="A404" s="290">
        <f>'Inventory Takeoff'!B408</f>
        <v>403</v>
      </c>
      <c r="B404" s="290" t="e">
        <f t="shared" si="15"/>
        <v>#NAME?</v>
      </c>
      <c r="C404" s="295" t="str">
        <f>'Inventory Takeoff'!C408</f>
        <v>Tube Alum 6x6 x 3/8</v>
      </c>
      <c r="D404" s="297" t="str">
        <f>'Inventory Takeoff'!D408</f>
        <v>Foot</v>
      </c>
      <c r="E404" s="291">
        <f>'Inventory Takeoff'!G408</f>
        <v>23.080000000000002</v>
      </c>
    </row>
    <row r="405" spans="1:5" ht="15.5">
      <c r="A405" s="290">
        <f>'Inventory Takeoff'!B409</f>
        <v>404</v>
      </c>
      <c r="B405" s="290" t="e">
        <f t="shared" si="15"/>
        <v>#NAME?</v>
      </c>
      <c r="C405" s="295" t="str">
        <f>'Inventory Takeoff'!C409</f>
        <v>Not Used</v>
      </c>
      <c r="D405" s="297">
        <f>'Inventory Takeoff'!D409</f>
        <v>0</v>
      </c>
      <c r="E405" s="291">
        <f>'Inventory Takeoff'!G409</f>
        <v>0</v>
      </c>
    </row>
    <row r="406" spans="1:5" ht="15.5">
      <c r="A406" s="290">
        <f>'Inventory Takeoff'!B410</f>
        <v>405</v>
      </c>
      <c r="B406" s="290" t="e">
        <f t="shared" si="15"/>
        <v>#NAME?</v>
      </c>
      <c r="C406" s="295" t="str">
        <f>'Inventory Takeoff'!C410</f>
        <v>Not Used</v>
      </c>
      <c r="D406" s="297">
        <f>'Inventory Takeoff'!D410</f>
        <v>0</v>
      </c>
      <c r="E406" s="291">
        <f>'Inventory Takeoff'!G410</f>
        <v>0</v>
      </c>
    </row>
    <row r="407" spans="1:5" ht="15.5">
      <c r="A407" s="290">
        <f>'Inventory Takeoff'!B411</f>
        <v>406</v>
      </c>
      <c r="B407" s="290" t="e">
        <f t="shared" si="15"/>
        <v>#NAME?</v>
      </c>
      <c r="C407" s="295" t="str">
        <f>'Inventory Takeoff'!C411</f>
        <v>Not Used</v>
      </c>
      <c r="D407" s="297">
        <f>'Inventory Takeoff'!D411</f>
        <v>0</v>
      </c>
      <c r="E407" s="291">
        <f>'Inventory Takeoff'!G411</f>
        <v>0</v>
      </c>
    </row>
    <row r="408" spans="1:5" ht="15.5">
      <c r="A408" s="290">
        <f>'Inventory Takeoff'!B412</f>
        <v>407</v>
      </c>
      <c r="B408" s="290" t="e">
        <f t="shared" si="15"/>
        <v>#NAME?</v>
      </c>
      <c r="C408" s="295" t="str">
        <f>'Inventory Takeoff'!C412</f>
        <v>Not Used</v>
      </c>
      <c r="D408" s="297">
        <f>'Inventory Takeoff'!D412</f>
        <v>0</v>
      </c>
      <c r="E408" s="291">
        <f>'Inventory Takeoff'!G412</f>
        <v>0</v>
      </c>
    </row>
    <row r="409" spans="1:5" ht="15.5">
      <c r="A409" s="290">
        <f>'Inventory Takeoff'!B413</f>
        <v>408</v>
      </c>
      <c r="B409" s="290" t="e">
        <f t="shared" si="15"/>
        <v>#NAME?</v>
      </c>
      <c r="C409" s="295" t="str">
        <f>'Inventory Takeoff'!C413</f>
        <v>Not Used</v>
      </c>
      <c r="D409" s="297">
        <f>'Inventory Takeoff'!D413</f>
        <v>0</v>
      </c>
      <c r="E409" s="291">
        <f>'Inventory Takeoff'!G413</f>
        <v>0</v>
      </c>
    </row>
    <row r="410" spans="1:5" ht="15.5">
      <c r="A410" s="290">
        <f>'Inventory Takeoff'!B414</f>
        <v>409</v>
      </c>
      <c r="B410" s="290" t="e">
        <f t="shared" si="15"/>
        <v>#NAME?</v>
      </c>
      <c r="C410" s="295" t="str">
        <f>'Inventory Takeoff'!C414</f>
        <v>Not Used</v>
      </c>
      <c r="D410" s="297">
        <f>'Inventory Takeoff'!D414</f>
        <v>0</v>
      </c>
      <c r="E410" s="291">
        <f>'Inventory Takeoff'!G414</f>
        <v>0</v>
      </c>
    </row>
    <row r="411" spans="1:5" ht="15.5">
      <c r="A411" s="290">
        <f>'Inventory Takeoff'!B415</f>
        <v>410</v>
      </c>
      <c r="B411" s="290" t="e">
        <f t="shared" si="15"/>
        <v>#NAME?</v>
      </c>
      <c r="C411" s="295" t="str">
        <f>'Inventory Takeoff'!C415</f>
        <v>Not Used</v>
      </c>
      <c r="D411" s="297">
        <f>'Inventory Takeoff'!D415</f>
        <v>0</v>
      </c>
      <c r="E411" s="291">
        <f>'Inventory Takeoff'!G415</f>
        <v>0</v>
      </c>
    </row>
    <row r="412" spans="1:5" ht="15.5">
      <c r="A412" s="290">
        <f>'Inventory Takeoff'!B416</f>
        <v>411</v>
      </c>
      <c r="B412" s="290" t="e">
        <f t="shared" si="15"/>
        <v>#NAME?</v>
      </c>
      <c r="C412" s="295" t="str">
        <f>'Inventory Takeoff'!C416</f>
        <v>Not Used</v>
      </c>
      <c r="D412" s="297">
        <f>'Inventory Takeoff'!D416</f>
        <v>0</v>
      </c>
      <c r="E412" s="291">
        <f>'Inventory Takeoff'!G416</f>
        <v>0</v>
      </c>
    </row>
    <row r="413" spans="1:5" ht="15.5">
      <c r="A413" s="290">
        <f>'Inventory Takeoff'!B417</f>
        <v>412</v>
      </c>
      <c r="B413" s="290" t="e">
        <f t="shared" si="15"/>
        <v>#NAME?</v>
      </c>
      <c r="C413" s="295" t="str">
        <f>'Inventory Takeoff'!C417</f>
        <v>Not Used</v>
      </c>
      <c r="D413" s="297">
        <f>'Inventory Takeoff'!D417</f>
        <v>0</v>
      </c>
      <c r="E413" s="291">
        <f>'Inventory Takeoff'!G417</f>
        <v>0</v>
      </c>
    </row>
    <row r="414" spans="1:5" ht="15.5">
      <c r="A414" s="290">
        <f>'Inventory Takeoff'!B418</f>
        <v>413</v>
      </c>
      <c r="B414" s="293"/>
      <c r="C414" s="295" t="str">
        <f>'Inventory Takeoff'!C418</f>
        <v>Not Used</v>
      </c>
      <c r="D414" s="297">
        <f>'Inventory Takeoff'!D418</f>
        <v>0</v>
      </c>
      <c r="E414" s="292">
        <f>'Inventory Takeoff'!G418</f>
        <v>0</v>
      </c>
    </row>
    <row r="415" spans="1:5" ht="15.5">
      <c r="A415" s="290">
        <f>'Inventory Takeoff'!B419</f>
        <v>414</v>
      </c>
      <c r="B415" s="290" t="e">
        <f>IF(SUMIFS(Ancillary_Length,Ancillary_InventoryCode,A415,Ancillary_BoughtOut,"No")=0,"",SUMIFS(Ancillary_Length,Ancillary_InventoryCode,A415,Ancillary_BoughtOut,"No"))</f>
        <v>#NAME?</v>
      </c>
      <c r="C415" s="295" t="str">
        <f>'Inventory Takeoff'!C419</f>
        <v>4" Flex GKM</v>
      </c>
      <c r="D415" s="297" t="str">
        <f>'Inventory Takeoff'!D419</f>
        <v>Foot</v>
      </c>
      <c r="E415" s="291">
        <f>'Inventory Takeoff'!G419</f>
        <v>3.7300000000000004</v>
      </c>
    </row>
    <row r="416" spans="1:5" ht="15.5">
      <c r="A416" s="290">
        <f>'Inventory Takeoff'!B420</f>
        <v>415</v>
      </c>
      <c r="B416" s="290" t="e">
        <f t="shared" ref="B416:B447" si="16">IF(SUMIFS(Ancillary_Length,Ancillary_InventoryCode,A416,Ancillary_BoughtOut,"No")=0,"",SUMIFS(Ancillary_Length,Ancillary_InventoryCode,A416,Ancillary_BoughtOut,"No"))</f>
        <v>#NAME?</v>
      </c>
      <c r="C416" s="295" t="str">
        <f>'Inventory Takeoff'!C420</f>
        <v>5" Flex GKM</v>
      </c>
      <c r="D416" s="297" t="str">
        <f>'Inventory Takeoff'!D420</f>
        <v>Foot</v>
      </c>
      <c r="E416" s="291">
        <f>'Inventory Takeoff'!G420</f>
        <v>4.18</v>
      </c>
    </row>
    <row r="417" spans="1:5" ht="15.5">
      <c r="A417" s="290">
        <f>'Inventory Takeoff'!B421</f>
        <v>416</v>
      </c>
      <c r="B417" s="290" t="e">
        <f t="shared" si="16"/>
        <v>#NAME?</v>
      </c>
      <c r="C417" s="295" t="str">
        <f>'Inventory Takeoff'!C421</f>
        <v>6" Flex GKM</v>
      </c>
      <c r="D417" s="297" t="str">
        <f>'Inventory Takeoff'!D421</f>
        <v>Foot</v>
      </c>
      <c r="E417" s="291">
        <f>'Inventory Takeoff'!G421</f>
        <v>4.5200000000000005</v>
      </c>
    </row>
    <row r="418" spans="1:5" ht="15.5">
      <c r="A418" s="290">
        <f>'Inventory Takeoff'!B422</f>
        <v>417</v>
      </c>
      <c r="B418" s="290" t="e">
        <f t="shared" si="16"/>
        <v>#NAME?</v>
      </c>
      <c r="C418" s="295" t="str">
        <f>'Inventory Takeoff'!C422</f>
        <v>7" Flex GKM</v>
      </c>
      <c r="D418" s="297" t="str">
        <f>'Inventory Takeoff'!D422</f>
        <v>Foot</v>
      </c>
      <c r="E418" s="291">
        <f>'Inventory Takeoff'!G422</f>
        <v>5.0600000000000005</v>
      </c>
    </row>
    <row r="419" spans="1:5" ht="15.5">
      <c r="A419" s="290">
        <f>'Inventory Takeoff'!B423</f>
        <v>418</v>
      </c>
      <c r="B419" s="290" t="e">
        <f t="shared" si="16"/>
        <v>#NAME?</v>
      </c>
      <c r="C419" s="295" t="str">
        <f>'Inventory Takeoff'!C423</f>
        <v>8" Flex GKM</v>
      </c>
      <c r="D419" s="297" t="str">
        <f>'Inventory Takeoff'!D423</f>
        <v>Foot</v>
      </c>
      <c r="E419" s="291">
        <f>'Inventory Takeoff'!G423</f>
        <v>5.47</v>
      </c>
    </row>
    <row r="420" spans="1:5" ht="15.5">
      <c r="A420" s="290">
        <f>'Inventory Takeoff'!B424</f>
        <v>419</v>
      </c>
      <c r="B420" s="290" t="e">
        <f t="shared" si="16"/>
        <v>#NAME?</v>
      </c>
      <c r="C420" s="295" t="str">
        <f>'Inventory Takeoff'!C424</f>
        <v>9" Flex GKM</v>
      </c>
      <c r="D420" s="297" t="str">
        <f>'Inventory Takeoff'!D424</f>
        <v>Foot</v>
      </c>
      <c r="E420" s="291">
        <f>'Inventory Takeoff'!G424</f>
        <v>6.15</v>
      </c>
    </row>
    <row r="421" spans="1:5" ht="15.5">
      <c r="A421" s="290">
        <f>'Inventory Takeoff'!B425</f>
        <v>420</v>
      </c>
      <c r="B421" s="290" t="e">
        <f t="shared" si="16"/>
        <v>#NAME?</v>
      </c>
      <c r="C421" s="295" t="str">
        <f>'Inventory Takeoff'!C425</f>
        <v>10" Flex GKM</v>
      </c>
      <c r="D421" s="297" t="str">
        <f>'Inventory Takeoff'!D425</f>
        <v>Foot</v>
      </c>
      <c r="E421" s="291">
        <f>'Inventory Takeoff'!G425</f>
        <v>6.43</v>
      </c>
    </row>
    <row r="422" spans="1:5" ht="15.5">
      <c r="A422" s="290">
        <f>'Inventory Takeoff'!B426</f>
        <v>421</v>
      </c>
      <c r="B422" s="290" t="e">
        <f t="shared" si="16"/>
        <v>#NAME?</v>
      </c>
      <c r="C422" s="295" t="str">
        <f>'Inventory Takeoff'!C426</f>
        <v>12" Flex GKM</v>
      </c>
      <c r="D422" s="297" t="str">
        <f>'Inventory Takeoff'!D426</f>
        <v>Foot</v>
      </c>
      <c r="E422" s="291">
        <f>'Inventory Takeoff'!G426</f>
        <v>7.51</v>
      </c>
    </row>
    <row r="423" spans="1:5" ht="15.5">
      <c r="A423" s="290">
        <f>'Inventory Takeoff'!B427</f>
        <v>422</v>
      </c>
      <c r="B423" s="290" t="e">
        <f t="shared" si="16"/>
        <v>#NAME?</v>
      </c>
      <c r="C423" s="295" t="str">
        <f>'Inventory Takeoff'!C427</f>
        <v>14" Flex GKM</v>
      </c>
      <c r="D423" s="297" t="str">
        <f>'Inventory Takeoff'!D427</f>
        <v>Foot</v>
      </c>
      <c r="E423" s="291">
        <f>'Inventory Takeoff'!G427</f>
        <v>8.84</v>
      </c>
    </row>
    <row r="424" spans="1:5" ht="15.5">
      <c r="A424" s="290">
        <f>'Inventory Takeoff'!B428</f>
        <v>423</v>
      </c>
      <c r="B424" s="290" t="e">
        <f t="shared" si="16"/>
        <v>#NAME?</v>
      </c>
      <c r="C424" s="295" t="str">
        <f>'Inventory Takeoff'!C428</f>
        <v>16" Flex GKM</v>
      </c>
      <c r="D424" s="297" t="str">
        <f>'Inventory Takeoff'!D428</f>
        <v>Foot</v>
      </c>
      <c r="E424" s="291">
        <f>'Inventory Takeoff'!G428</f>
        <v>10.29</v>
      </c>
    </row>
    <row r="425" spans="1:5" ht="15.5">
      <c r="A425" s="290">
        <f>'Inventory Takeoff'!B429</f>
        <v>424</v>
      </c>
      <c r="B425" s="290" t="e">
        <f t="shared" si="16"/>
        <v>#NAME?</v>
      </c>
      <c r="C425" s="295" t="str">
        <f>'Inventory Takeoff'!C429</f>
        <v>18" Flex GKM</v>
      </c>
      <c r="D425" s="297" t="str">
        <f>'Inventory Takeoff'!D429</f>
        <v>Foot</v>
      </c>
      <c r="E425" s="291">
        <f>'Inventory Takeoff'!G429</f>
        <v>12.18</v>
      </c>
    </row>
    <row r="426" spans="1:5" ht="15.5">
      <c r="A426" s="290">
        <f>'Inventory Takeoff'!B430</f>
        <v>425</v>
      </c>
      <c r="B426" s="290" t="e">
        <f t="shared" si="16"/>
        <v>#NAME?</v>
      </c>
      <c r="C426" s="295" t="str">
        <f>'Inventory Takeoff'!C430</f>
        <v>4" Flex MKE</v>
      </c>
      <c r="D426" s="297" t="str">
        <f>'Inventory Takeoff'!D430</f>
        <v>Foot</v>
      </c>
      <c r="E426" s="291">
        <f>'Inventory Takeoff'!G430</f>
        <v>4.87</v>
      </c>
    </row>
    <row r="427" spans="1:5" ht="15.5">
      <c r="A427" s="290">
        <f>'Inventory Takeoff'!B431</f>
        <v>426</v>
      </c>
      <c r="B427" s="290" t="e">
        <f t="shared" si="16"/>
        <v>#NAME?</v>
      </c>
      <c r="C427" s="295" t="str">
        <f>'Inventory Takeoff'!C431</f>
        <v>5" Flex MKE</v>
      </c>
      <c r="D427" s="297" t="str">
        <f>'Inventory Takeoff'!D431</f>
        <v>Foot</v>
      </c>
      <c r="E427" s="291">
        <f>'Inventory Takeoff'!G431</f>
        <v>4.43</v>
      </c>
    </row>
    <row r="428" spans="1:5" ht="15.5">
      <c r="A428" s="290">
        <f>'Inventory Takeoff'!B432</f>
        <v>427</v>
      </c>
      <c r="B428" s="290" t="e">
        <f t="shared" si="16"/>
        <v>#NAME?</v>
      </c>
      <c r="C428" s="295" t="str">
        <f>'Inventory Takeoff'!C432</f>
        <v>6" Flex MKE</v>
      </c>
      <c r="D428" s="297" t="str">
        <f>'Inventory Takeoff'!D432</f>
        <v>Foot</v>
      </c>
      <c r="E428" s="291">
        <f>'Inventory Takeoff'!G432</f>
        <v>4.79</v>
      </c>
    </row>
    <row r="429" spans="1:5" ht="15.5">
      <c r="A429" s="290">
        <f>'Inventory Takeoff'!B433</f>
        <v>428</v>
      </c>
      <c r="B429" s="290" t="e">
        <f t="shared" si="16"/>
        <v>#NAME?</v>
      </c>
      <c r="C429" s="295" t="str">
        <f>'Inventory Takeoff'!C433</f>
        <v>7" Flex MKE</v>
      </c>
      <c r="D429" s="297" t="str">
        <f>'Inventory Takeoff'!D433</f>
        <v>Foot</v>
      </c>
      <c r="E429" s="291">
        <f>'Inventory Takeoff'!G433</f>
        <v>6.34</v>
      </c>
    </row>
    <row r="430" spans="1:5" ht="15.5">
      <c r="A430" s="290">
        <f>'Inventory Takeoff'!B434</f>
        <v>429</v>
      </c>
      <c r="B430" s="290" t="e">
        <f t="shared" si="16"/>
        <v>#NAME?</v>
      </c>
      <c r="C430" s="295" t="str">
        <f>'Inventory Takeoff'!C434</f>
        <v>8" Flex MKE</v>
      </c>
      <c r="D430" s="297" t="str">
        <f>'Inventory Takeoff'!D434</f>
        <v>Foot</v>
      </c>
      <c r="E430" s="291">
        <f>'Inventory Takeoff'!G434</f>
        <v>5.8</v>
      </c>
    </row>
    <row r="431" spans="1:5" ht="15.5">
      <c r="A431" s="290">
        <f>'Inventory Takeoff'!B435</f>
        <v>430</v>
      </c>
      <c r="B431" s="290" t="e">
        <f t="shared" si="16"/>
        <v>#NAME?</v>
      </c>
      <c r="C431" s="295" t="str">
        <f>'Inventory Takeoff'!C435</f>
        <v>10" Flex MKE</v>
      </c>
      <c r="D431" s="297" t="str">
        <f>'Inventory Takeoff'!D435</f>
        <v>Foot</v>
      </c>
      <c r="E431" s="291">
        <f>'Inventory Takeoff'!G435</f>
        <v>6.77</v>
      </c>
    </row>
    <row r="432" spans="1:5" ht="15.5">
      <c r="A432" s="290">
        <f>'Inventory Takeoff'!B436</f>
        <v>431</v>
      </c>
      <c r="B432" s="290" t="e">
        <f t="shared" si="16"/>
        <v>#NAME?</v>
      </c>
      <c r="C432" s="295" t="str">
        <f>'Inventory Takeoff'!C436</f>
        <v>12" Flex MKE</v>
      </c>
      <c r="D432" s="297" t="str">
        <f>'Inventory Takeoff'!D436</f>
        <v>Foot</v>
      </c>
      <c r="E432" s="291">
        <f>'Inventory Takeoff'!G436</f>
        <v>8.01</v>
      </c>
    </row>
    <row r="433" spans="1:5" ht="15.5">
      <c r="A433" s="290">
        <f>'Inventory Takeoff'!B437</f>
        <v>432</v>
      </c>
      <c r="B433" s="290" t="e">
        <f t="shared" si="16"/>
        <v>#NAME?</v>
      </c>
      <c r="C433" s="295" t="str">
        <f>'Inventory Takeoff'!C437</f>
        <v>14" Flex MKE</v>
      </c>
      <c r="D433" s="297" t="str">
        <f>'Inventory Takeoff'!D437</f>
        <v>Foot</v>
      </c>
      <c r="E433" s="291">
        <f>'Inventory Takeoff'!G437</f>
        <v>9.66</v>
      </c>
    </row>
    <row r="434" spans="1:5" ht="15.5">
      <c r="A434" s="290">
        <f>'Inventory Takeoff'!B438</f>
        <v>433</v>
      </c>
      <c r="B434" s="290" t="e">
        <f t="shared" si="16"/>
        <v>#NAME?</v>
      </c>
      <c r="C434" s="295" t="str">
        <f>'Inventory Takeoff'!C438</f>
        <v>16" Flex MKE</v>
      </c>
      <c r="D434" s="297" t="str">
        <f>'Inventory Takeoff'!D438</f>
        <v>Foot</v>
      </c>
      <c r="E434" s="291">
        <f>'Inventory Takeoff'!G438</f>
        <v>11.53</v>
      </c>
    </row>
    <row r="435" spans="1:5" ht="15.5">
      <c r="A435" s="290">
        <f>'Inventory Takeoff'!B439</f>
        <v>434</v>
      </c>
      <c r="B435" s="290" t="e">
        <f t="shared" si="16"/>
        <v>#NAME?</v>
      </c>
      <c r="C435" s="295" t="str">
        <f>'Inventory Takeoff'!C439</f>
        <v>18" Flex MKE</v>
      </c>
      <c r="D435" s="297" t="str">
        <f>'Inventory Takeoff'!D439</f>
        <v>Foot</v>
      </c>
      <c r="E435" s="291">
        <f>'Inventory Takeoff'!G439</f>
        <v>14.219999999999999</v>
      </c>
    </row>
    <row r="436" spans="1:5" ht="15.5">
      <c r="A436" s="290">
        <f>'Inventory Takeoff'!B440</f>
        <v>435</v>
      </c>
      <c r="B436" s="290" t="e">
        <f t="shared" ref="B436:B441" si="17">IF(SUMIFS(Ancillary_Length,Ancillary_InventoryCode,A436,Ancillary_BoughtOut,"No")=0,"",SUMIFS(Ancillary_Length,Ancillary_InventoryCode,A436,Ancillary_BoughtOut,"No"))</f>
        <v>#NAME?</v>
      </c>
      <c r="C436" s="295" t="str">
        <f>'Inventory Takeoff'!C440</f>
        <v>Not Used</v>
      </c>
      <c r="D436" s="297">
        <f>'Inventory Takeoff'!D440</f>
        <v>0</v>
      </c>
      <c r="E436" s="291">
        <f>'Inventory Takeoff'!G440</f>
        <v>0</v>
      </c>
    </row>
    <row r="437" spans="1:5" ht="15.5">
      <c r="A437" s="290">
        <f>'Inventory Takeoff'!B441</f>
        <v>436</v>
      </c>
      <c r="B437" s="290" t="e">
        <f t="shared" si="17"/>
        <v>#NAME?</v>
      </c>
      <c r="C437" s="295" t="str">
        <f>'Inventory Takeoff'!C441</f>
        <v>Not Used</v>
      </c>
      <c r="D437" s="297">
        <f>'Inventory Takeoff'!D441</f>
        <v>0</v>
      </c>
      <c r="E437" s="291">
        <f>'Inventory Takeoff'!G441</f>
        <v>0</v>
      </c>
    </row>
    <row r="438" spans="1:5" ht="15.5">
      <c r="A438" s="290">
        <f>'Inventory Takeoff'!B442</f>
        <v>437</v>
      </c>
      <c r="B438" s="290" t="e">
        <f t="shared" si="17"/>
        <v>#NAME?</v>
      </c>
      <c r="C438" s="295" t="str">
        <f>'Inventory Takeoff'!C442</f>
        <v>Not Used</v>
      </c>
      <c r="D438" s="297">
        <f>'Inventory Takeoff'!D442</f>
        <v>0</v>
      </c>
      <c r="E438" s="291">
        <f>'Inventory Takeoff'!G442</f>
        <v>0</v>
      </c>
    </row>
    <row r="439" spans="1:5" ht="15.5">
      <c r="A439" s="290">
        <f>'Inventory Takeoff'!B443</f>
        <v>438</v>
      </c>
      <c r="B439" s="290" t="e">
        <f t="shared" si="17"/>
        <v>#NAME?</v>
      </c>
      <c r="C439" s="295" t="str">
        <f>'Inventory Takeoff'!C443</f>
        <v>Not Used</v>
      </c>
      <c r="D439" s="297">
        <f>'Inventory Takeoff'!D443</f>
        <v>0</v>
      </c>
      <c r="E439" s="291">
        <f>'Inventory Takeoff'!G443</f>
        <v>0</v>
      </c>
    </row>
    <row r="440" spans="1:5" ht="15.5">
      <c r="A440" s="290">
        <f>'Inventory Takeoff'!B444</f>
        <v>439</v>
      </c>
      <c r="B440" s="290" t="e">
        <f t="shared" si="17"/>
        <v>#NAME?</v>
      </c>
      <c r="C440" s="295" t="str">
        <f>'Inventory Takeoff'!C444</f>
        <v>Not Used</v>
      </c>
      <c r="D440" s="297">
        <f>'Inventory Takeoff'!D444</f>
        <v>0</v>
      </c>
      <c r="E440" s="291">
        <f>'Inventory Takeoff'!G444</f>
        <v>0</v>
      </c>
    </row>
    <row r="441" spans="1:5" ht="15.5">
      <c r="A441" s="290">
        <f>'Inventory Takeoff'!B445</f>
        <v>440</v>
      </c>
      <c r="B441" s="290" t="e">
        <f t="shared" si="17"/>
        <v>#NAME?</v>
      </c>
      <c r="C441" s="295" t="str">
        <f>'Inventory Takeoff'!C445</f>
        <v>Not Used</v>
      </c>
      <c r="D441" s="297">
        <f>'Inventory Takeoff'!D445</f>
        <v>0</v>
      </c>
      <c r="E441" s="291">
        <f>'Inventory Takeoff'!G445</f>
        <v>0</v>
      </c>
    </row>
    <row r="442" spans="1:5" ht="15.5">
      <c r="A442" s="290">
        <f>'Inventory Takeoff'!B446</f>
        <v>441</v>
      </c>
      <c r="B442" s="290" t="e">
        <f t="shared" si="16"/>
        <v>#NAME?</v>
      </c>
      <c r="C442" s="295" t="str">
        <f>'Inventory Takeoff'!C446</f>
        <v>Flushell 1/2 Box</v>
      </c>
      <c r="D442" s="297" t="str">
        <f>'Inventory Takeoff'!D446</f>
        <v>Box</v>
      </c>
      <c r="E442" s="291">
        <f>'Inventory Takeoff'!G446</f>
        <v>26.45</v>
      </c>
    </row>
    <row r="443" spans="1:5" ht="15.5">
      <c r="A443" s="290">
        <f>'Inventory Takeoff'!B447</f>
        <v>442</v>
      </c>
      <c r="B443" s="290" t="e">
        <f>IF(SUMIFS(Ancillary_Qty,Ancillary_InventoryCode,A443,Ancillary_BoughtOut,"No")=0,"",SUMIFS(Ancillary_Qty,Ancillary_InventoryCode,A443,Ancillary_BoughtOut,"No"))</f>
        <v>#NAME?</v>
      </c>
      <c r="C443" s="295" t="str">
        <f>'Inventory Takeoff'!C447</f>
        <v>Flushell 1/2 each</v>
      </c>
      <c r="D443" s="297" t="str">
        <f>'Inventory Takeoff'!D447</f>
        <v>Each</v>
      </c>
      <c r="E443" s="291">
        <f>'Inventory Takeoff'!G447</f>
        <v>0.53</v>
      </c>
    </row>
    <row r="444" spans="1:5" ht="15.5">
      <c r="A444" s="290">
        <f>'Inventory Takeoff'!B448</f>
        <v>443</v>
      </c>
      <c r="B444" s="290" t="e">
        <f t="shared" si="16"/>
        <v>#NAME?</v>
      </c>
      <c r="C444" s="295" t="str">
        <f>'Inventory Takeoff'!C448</f>
        <v>Flushell 3/8 Box</v>
      </c>
      <c r="D444" s="297" t="str">
        <f>'Inventory Takeoff'!D448</f>
        <v>Box</v>
      </c>
      <c r="E444" s="291">
        <f>'Inventory Takeoff'!G448</f>
        <v>14.38</v>
      </c>
    </row>
    <row r="445" spans="1:5" ht="15.5">
      <c r="A445" s="290">
        <f>'Inventory Takeoff'!B449</f>
        <v>444</v>
      </c>
      <c r="B445" s="290" t="e">
        <f>IF(SUMIFS(Ancillary_Qty,Ancillary_InventoryCode,A445,Ancillary_BoughtOut,"No")=0,"",SUMIFS(Ancillary_Qty,Ancillary_InventoryCode,A445,Ancillary_BoughtOut,"No"))</f>
        <v>#NAME?</v>
      </c>
      <c r="C445" s="295" t="str">
        <f>'Inventory Takeoff'!C449</f>
        <v>Flushell 3/8 each</v>
      </c>
      <c r="D445" s="297" t="str">
        <f>'Inventory Takeoff'!D449</f>
        <v>Each</v>
      </c>
      <c r="E445" s="291">
        <f>'Inventory Takeoff'!G449</f>
        <v>0.28999999999999998</v>
      </c>
    </row>
    <row r="446" spans="1:5" ht="15.5">
      <c r="A446" s="290">
        <f>'Inventory Takeoff'!B450</f>
        <v>445</v>
      </c>
      <c r="B446" s="290"/>
      <c r="C446" s="295" t="str">
        <f>'Inventory Takeoff'!C450</f>
        <v>Not Used</v>
      </c>
      <c r="D446" s="297">
        <f>'Inventory Takeoff'!D450</f>
        <v>0</v>
      </c>
      <c r="E446" s="291">
        <f>'Inventory Takeoff'!G450</f>
        <v>0</v>
      </c>
    </row>
    <row r="447" spans="1:5" ht="15.5">
      <c r="A447" s="290">
        <f>'Inventory Takeoff'!B451</f>
        <v>446</v>
      </c>
      <c r="B447" s="290" t="e">
        <f t="shared" si="16"/>
        <v>#NAME?</v>
      </c>
      <c r="C447" s="295" t="str">
        <f>'Inventory Takeoff'!C451</f>
        <v>FSK Wrap</v>
      </c>
      <c r="D447" s="297" t="str">
        <f>'Inventory Takeoff'!D451</f>
        <v>Roll</v>
      </c>
      <c r="E447" s="291">
        <f>'Inventory Takeoff'!G451</f>
        <v>412.85</v>
      </c>
    </row>
    <row r="448" spans="1:5" ht="15.5">
      <c r="A448" s="290">
        <f>'Inventory Takeoff'!B452</f>
        <v>447</v>
      </c>
      <c r="B448" s="290"/>
      <c r="C448" s="295" t="str">
        <f>'Inventory Takeoff'!C452</f>
        <v>Not Used</v>
      </c>
      <c r="D448" s="297">
        <f>'Inventory Takeoff'!D452</f>
        <v>0</v>
      </c>
      <c r="E448" s="291">
        <f>'Inventory Takeoff'!G452</f>
        <v>0</v>
      </c>
    </row>
    <row r="449" spans="1:5" ht="15.5">
      <c r="A449" s="290">
        <f>'Inventory Takeoff'!B453</f>
        <v>448</v>
      </c>
      <c r="B449" s="290" t="e">
        <f>IF(SUMIFS(Ancillary_Qty,Ancillary_InventoryCode,A449,Ancillary_BoughtOut,"No")=0,"",SUMIFS(Ancillary_Qty,Ancillary_InventoryCode,A449,Ancillary_BoughtOut,"No"))</f>
        <v>#NAME?</v>
      </c>
      <c r="C449" s="295" t="str">
        <f>'Inventory Takeoff'!C453</f>
        <v>FSK Tape</v>
      </c>
      <c r="D449" s="297" t="str">
        <f>'Inventory Takeoff'!D453</f>
        <v>Each</v>
      </c>
      <c r="E449" s="291">
        <f>'Inventory Takeoff'!G453</f>
        <v>21.61</v>
      </c>
    </row>
    <row r="450" spans="1:5" ht="15.5">
      <c r="A450" s="290">
        <f>'Inventory Takeoff'!B454</f>
        <v>449</v>
      </c>
      <c r="B450" s="290" t="e">
        <f>IF(SUMIFS(Ancillary_Length,Ancillary_InventoryCode,A450,Ancillary_BoughtOut,"No",Ancillary_Connector,"*"&amp;"~*~*")=0,"",SUMIFS(Ancillary_Length,Ancillary_InventoryCode,A450,Ancillary_BoughtOut,"No"))</f>
        <v>#NAME?</v>
      </c>
      <c r="C450" s="295" t="str">
        <f>'Inventory Takeoff'!C454</f>
        <v>Gasket Open Cell</v>
      </c>
      <c r="D450" s="297" t="str">
        <f>'Inventory Takeoff'!D454</f>
        <v>Roll</v>
      </c>
      <c r="E450" s="291">
        <f>'Inventory Takeoff'!G454</f>
        <v>8.02</v>
      </c>
    </row>
    <row r="451" spans="1:5" ht="15.5">
      <c r="A451" s="290">
        <f>'Inventory Takeoff'!B455</f>
        <v>450</v>
      </c>
      <c r="B451" s="290" t="e">
        <f>IF(SUMIFS(Ancillary_Length,Ancillary_InventoryCode,A451,Ancillary_BoughtOut,"No",Ancillary_Spool,"&lt;&gt;"&amp;"")=0,"",SUMIFS(Ancillary_Length,Ancillary_InventoryCode,A451,Ancillary_BoughtOut,"No",Ancillary_Spool,"&lt;&gt;"&amp;""))</f>
        <v>#NAME?</v>
      </c>
      <c r="C451" s="295" t="str">
        <f>'Inventory Takeoff'!C455</f>
        <v>Gasket Open Cell</v>
      </c>
      <c r="D451" s="297" t="str">
        <f>'Inventory Takeoff'!D455</f>
        <v>Foot</v>
      </c>
      <c r="E451" s="291">
        <f>'Inventory Takeoff'!G455</f>
        <v>0.33</v>
      </c>
    </row>
    <row r="452" spans="1:5" ht="15.5">
      <c r="A452" s="290">
        <f>'Inventory Takeoff'!B456</f>
        <v>451</v>
      </c>
      <c r="B452" s="290" t="e">
        <f>IF(SUMIFS(Ancillary_Length,Ancillary_InventoryCode,A452,Ancillary_BoughtOut,"No",Ancillary_Connector,"*"&amp;"~*~*")=0,"",SUMIFS(Ancillary_Length,Ancillary_InventoryCode,A452,Ancillary_BoughtOut,"No"))</f>
        <v>#NAME?</v>
      </c>
      <c r="C452" s="295" t="str">
        <f>'Inventory Takeoff'!C456</f>
        <v>Closed Cell (Neop)</v>
      </c>
      <c r="D452" s="297" t="str">
        <f>'Inventory Takeoff'!D456</f>
        <v>Roll</v>
      </c>
      <c r="E452" s="291">
        <f>'Inventory Takeoff'!G456</f>
        <v>9.1999999999999993</v>
      </c>
    </row>
    <row r="453" spans="1:5" ht="15.5">
      <c r="A453" s="290">
        <f>'Inventory Takeoff'!B457</f>
        <v>452</v>
      </c>
      <c r="B453" s="290" t="e">
        <f>IF(SUMIFS(Ancillary_Length,Ancillary_InventoryCode,A453,Ancillary_BoughtOut,"No",Ancillary_Spool,"&lt;&gt;"&amp;"")=0,"",SUMIFS(Ancillary_Length,Ancillary_InventoryCode,A453,Ancillary_BoughtOut,"No",Ancillary_Spool,"&lt;&gt;"&amp;""))</f>
        <v>#NAME?</v>
      </c>
      <c r="C453" s="295" t="str">
        <f>'Inventory Takeoff'!C457</f>
        <v>Closed Cell (Neop)</v>
      </c>
      <c r="D453" s="297" t="str">
        <f>'Inventory Takeoff'!D457</f>
        <v>Foot</v>
      </c>
      <c r="E453" s="291">
        <f>'Inventory Takeoff'!G457</f>
        <v>0.37</v>
      </c>
    </row>
    <row r="454" spans="1:5" ht="15.5">
      <c r="A454" s="290">
        <f>'Inventory Takeoff'!B458</f>
        <v>453</v>
      </c>
      <c r="B454" s="290"/>
      <c r="C454" s="295" t="str">
        <f>'Inventory Takeoff'!C458</f>
        <v>Not Used</v>
      </c>
      <c r="D454" s="297">
        <f>'Inventory Takeoff'!D458</f>
        <v>0</v>
      </c>
      <c r="E454" s="291">
        <f>'Inventory Takeoff'!G458</f>
        <v>0</v>
      </c>
    </row>
    <row r="455" spans="1:5" ht="15.5">
      <c r="A455" s="290">
        <f>'Inventory Takeoff'!B459</f>
        <v>454</v>
      </c>
      <c r="B455" s="290"/>
      <c r="C455" s="295" t="str">
        <f>'Inventory Takeoff'!C459</f>
        <v>Not Used</v>
      </c>
      <c r="D455" s="297">
        <f>'Inventory Takeoff'!D459</f>
        <v>0</v>
      </c>
      <c r="E455" s="291">
        <f>'Inventory Takeoff'!G459</f>
        <v>0</v>
      </c>
    </row>
    <row r="456" spans="1:5" ht="15.5">
      <c r="A456" s="290">
        <f>'Inventory Takeoff'!B460</f>
        <v>455</v>
      </c>
      <c r="B456" s="290"/>
      <c r="C456" s="295" t="str">
        <f>'Inventory Takeoff'!C460</f>
        <v>Not Used</v>
      </c>
      <c r="D456" s="297">
        <f>'Inventory Takeoff'!D460</f>
        <v>0</v>
      </c>
      <c r="E456" s="291">
        <f>'Inventory Takeoff'!G460</f>
        <v>0</v>
      </c>
    </row>
    <row r="457" spans="1:5" ht="15.5">
      <c r="A457" s="290">
        <f>'Inventory Takeoff'!B461</f>
        <v>456</v>
      </c>
      <c r="B457" s="290"/>
      <c r="C457" s="295" t="str">
        <f>'Inventory Takeoff'!C461</f>
        <v>Not Used</v>
      </c>
      <c r="D457" s="297">
        <f>'Inventory Takeoff'!D461</f>
        <v>0</v>
      </c>
      <c r="E457" s="291">
        <f>'Inventory Takeoff'!G461</f>
        <v>0</v>
      </c>
    </row>
    <row r="458" spans="1:5" ht="15.5">
      <c r="A458" s="290">
        <f>'Inventory Takeoff'!B462</f>
        <v>457</v>
      </c>
      <c r="B458" s="290"/>
      <c r="C458" s="295" t="str">
        <f>'Inventory Takeoff'!C462</f>
        <v>Not Used</v>
      </c>
      <c r="D458" s="297">
        <f>'Inventory Takeoff'!D462</f>
        <v>0</v>
      </c>
      <c r="E458" s="291">
        <f>'Inventory Takeoff'!G462</f>
        <v>0</v>
      </c>
    </row>
    <row r="459" spans="1:5" ht="15.5">
      <c r="A459" s="290">
        <f>'Inventory Takeoff'!B463</f>
        <v>458</v>
      </c>
      <c r="B459" s="290"/>
      <c r="C459" s="295" t="str">
        <f>'Inventory Takeoff'!C463</f>
        <v>Not Used</v>
      </c>
      <c r="D459" s="297">
        <f>'Inventory Takeoff'!D463</f>
        <v>0</v>
      </c>
      <c r="E459" s="291">
        <f>'Inventory Takeoff'!G463</f>
        <v>0</v>
      </c>
    </row>
    <row r="460" spans="1:5" ht="15.5">
      <c r="A460" s="290">
        <f>'Inventory Takeoff'!B464</f>
        <v>459</v>
      </c>
      <c r="B460" s="290"/>
      <c r="C460" s="295" t="str">
        <f>'Inventory Takeoff'!C464</f>
        <v>Not Used</v>
      </c>
      <c r="D460" s="297">
        <f>'Inventory Takeoff'!D464</f>
        <v>0</v>
      </c>
      <c r="E460" s="291">
        <f>'Inventory Takeoff'!G464</f>
        <v>0</v>
      </c>
    </row>
    <row r="461" spans="1:5" ht="15.5">
      <c r="A461" s="290">
        <f>'Inventory Takeoff'!B465</f>
        <v>460</v>
      </c>
      <c r="B461" s="290"/>
      <c r="C461" s="295" t="str">
        <f>'Inventory Takeoff'!C465</f>
        <v>Not Used</v>
      </c>
      <c r="D461" s="297">
        <f>'Inventory Takeoff'!D465</f>
        <v>0</v>
      </c>
      <c r="E461" s="291">
        <f>'Inventory Takeoff'!G465</f>
        <v>0</v>
      </c>
    </row>
    <row r="462" spans="1:5" ht="15.5">
      <c r="A462" s="290">
        <f>'Inventory Takeoff'!B466</f>
        <v>461</v>
      </c>
      <c r="B462" s="290"/>
      <c r="C462" s="295" t="str">
        <f>'Inventory Takeoff'!C466</f>
        <v>Not Used</v>
      </c>
      <c r="D462" s="297">
        <f>'Inventory Takeoff'!D466</f>
        <v>0</v>
      </c>
      <c r="E462" s="291">
        <f>'Inventory Takeoff'!G466</f>
        <v>0</v>
      </c>
    </row>
    <row r="463" spans="1:5" ht="15.5">
      <c r="A463" s="290">
        <f>'Inventory Takeoff'!B467</f>
        <v>462</v>
      </c>
      <c r="B463" s="290"/>
      <c r="C463" s="295" t="str">
        <f>'Inventory Takeoff'!C467</f>
        <v>Not Used</v>
      </c>
      <c r="D463" s="297">
        <f>'Inventory Takeoff'!D467</f>
        <v>0</v>
      </c>
      <c r="E463" s="291">
        <f>'Inventory Takeoff'!G467</f>
        <v>0</v>
      </c>
    </row>
    <row r="464" spans="1:5" ht="15.5">
      <c r="A464" s="290">
        <f>'Inventory Takeoff'!B468</f>
        <v>463</v>
      </c>
      <c r="B464" s="290"/>
      <c r="C464" s="295" t="str">
        <f>'Inventory Takeoff'!C468</f>
        <v>Not Used</v>
      </c>
      <c r="D464" s="297">
        <f>'Inventory Takeoff'!D468</f>
        <v>0</v>
      </c>
      <c r="E464" s="291">
        <f>'Inventory Takeoff'!G468</f>
        <v>0</v>
      </c>
    </row>
    <row r="465" spans="1:5" ht="15.5">
      <c r="A465" s="290">
        <f>'Inventory Takeoff'!B469</f>
        <v>464</v>
      </c>
      <c r="B465" s="290"/>
      <c r="C465" s="295" t="str">
        <f>'Inventory Takeoff'!C469</f>
        <v>Not Used</v>
      </c>
      <c r="D465" s="297">
        <f>'Inventory Takeoff'!D469</f>
        <v>0</v>
      </c>
      <c r="E465" s="291">
        <f>'Inventory Takeoff'!G469</f>
        <v>0</v>
      </c>
    </row>
    <row r="466" spans="1:5" ht="15.5">
      <c r="A466" s="290">
        <f>'Inventory Takeoff'!B470</f>
        <v>465</v>
      </c>
      <c r="B466" s="290"/>
      <c r="C466" s="295" t="str">
        <f>'Inventory Takeoff'!C470</f>
        <v>Not Used</v>
      </c>
      <c r="D466" s="297">
        <f>'Inventory Takeoff'!D470</f>
        <v>0</v>
      </c>
      <c r="E466" s="291">
        <f>'Inventory Takeoff'!G470</f>
        <v>0</v>
      </c>
    </row>
    <row r="467" spans="1:5" ht="15.5">
      <c r="A467" s="290">
        <f>'Inventory Takeoff'!B471</f>
        <v>466</v>
      </c>
      <c r="B467" s="290"/>
      <c r="C467" s="295" t="str">
        <f>'Inventory Takeoff'!C471</f>
        <v>Not Used</v>
      </c>
      <c r="D467" s="297">
        <f>'Inventory Takeoff'!D471</f>
        <v>0</v>
      </c>
      <c r="E467" s="291">
        <f>'Inventory Takeoff'!G471</f>
        <v>0</v>
      </c>
    </row>
    <row r="468" spans="1:5" ht="15.5">
      <c r="A468" s="290">
        <f>'Inventory Takeoff'!B472</f>
        <v>467</v>
      </c>
      <c r="B468" s="290"/>
      <c r="C468" s="295" t="str">
        <f>'Inventory Takeoff'!C472</f>
        <v>Not Used</v>
      </c>
      <c r="D468" s="297">
        <f>'Inventory Takeoff'!D472</f>
        <v>0</v>
      </c>
      <c r="E468" s="291">
        <f>'Inventory Takeoff'!G472</f>
        <v>0</v>
      </c>
    </row>
    <row r="469" spans="1:5" ht="15.5">
      <c r="A469" s="290">
        <f>'Inventory Takeoff'!B473</f>
        <v>468</v>
      </c>
      <c r="B469" s="290"/>
      <c r="C469" s="295" t="str">
        <f>'Inventory Takeoff'!C473</f>
        <v>Not Used</v>
      </c>
      <c r="D469" s="297">
        <f>'Inventory Takeoff'!D473</f>
        <v>0</v>
      </c>
      <c r="E469" s="291">
        <f>'Inventory Takeoff'!G473</f>
        <v>0</v>
      </c>
    </row>
    <row r="470" spans="1:5" ht="15.5">
      <c r="A470" s="290">
        <f>'Inventory Takeoff'!B474</f>
        <v>469</v>
      </c>
      <c r="B470" s="290"/>
      <c r="C470" s="295" t="str">
        <f>'Inventory Takeoff'!C474</f>
        <v>Not Used</v>
      </c>
      <c r="D470" s="297">
        <f>'Inventory Takeoff'!D474</f>
        <v>0</v>
      </c>
      <c r="E470" s="291">
        <f>'Inventory Takeoff'!G474</f>
        <v>0</v>
      </c>
    </row>
    <row r="471" spans="1:5" ht="15.5">
      <c r="A471" s="290">
        <f>'Inventory Takeoff'!B475</f>
        <v>470</v>
      </c>
      <c r="B471" s="290"/>
      <c r="C471" s="295" t="str">
        <f>'Inventory Takeoff'!C475</f>
        <v>Not Used</v>
      </c>
      <c r="D471" s="297">
        <f>'Inventory Takeoff'!D475</f>
        <v>0</v>
      </c>
      <c r="E471" s="291">
        <f>'Inventory Takeoff'!G475</f>
        <v>0</v>
      </c>
    </row>
    <row r="472" spans="1:5" ht="15.5">
      <c r="A472" s="290">
        <f>'Inventory Takeoff'!B476</f>
        <v>471</v>
      </c>
      <c r="B472" s="290"/>
      <c r="C472" s="295" t="str">
        <f>'Inventory Takeoff'!C476</f>
        <v>Not Used</v>
      </c>
      <c r="D472" s="297">
        <f>'Inventory Takeoff'!D476</f>
        <v>0</v>
      </c>
      <c r="E472" s="291">
        <f>'Inventory Takeoff'!G476</f>
        <v>0</v>
      </c>
    </row>
    <row r="473" spans="1:5" ht="15.5">
      <c r="A473" s="290">
        <f>'Inventory Takeoff'!B477</f>
        <v>472</v>
      </c>
      <c r="B473" s="290"/>
      <c r="C473" s="295" t="str">
        <f>'Inventory Takeoff'!C477</f>
        <v>Not Used</v>
      </c>
      <c r="D473" s="297">
        <f>'Inventory Takeoff'!D477</f>
        <v>0</v>
      </c>
      <c r="E473" s="291">
        <f>'Inventory Takeoff'!G477</f>
        <v>0</v>
      </c>
    </row>
    <row r="474" spans="1:5" ht="15.5">
      <c r="A474" s="290">
        <f>'Inventory Takeoff'!B478</f>
        <v>473</v>
      </c>
      <c r="B474" s="290"/>
      <c r="C474" s="295" t="str">
        <f>'Inventory Takeoff'!C478</f>
        <v>Not Used</v>
      </c>
      <c r="D474" s="297">
        <f>'Inventory Takeoff'!D478</f>
        <v>0</v>
      </c>
      <c r="E474" s="291">
        <f>'Inventory Takeoff'!G478</f>
        <v>0</v>
      </c>
    </row>
    <row r="475" spans="1:5" ht="15.5">
      <c r="A475" s="290">
        <f>'Inventory Takeoff'!B479</f>
        <v>474</v>
      </c>
      <c r="B475" s="290"/>
      <c r="C475" s="295" t="str">
        <f>'Inventory Takeoff'!C479</f>
        <v>Not Used</v>
      </c>
      <c r="D475" s="297">
        <f>'Inventory Takeoff'!D479</f>
        <v>0</v>
      </c>
      <c r="E475" s="291">
        <f>'Inventory Takeoff'!G479</f>
        <v>0</v>
      </c>
    </row>
    <row r="476" spans="1:5" ht="15.5">
      <c r="A476" s="290">
        <f>'Inventory Takeoff'!B480</f>
        <v>475</v>
      </c>
      <c r="B476" s="290"/>
      <c r="C476" s="295" t="str">
        <f>'Inventory Takeoff'!C480</f>
        <v>Not Used</v>
      </c>
      <c r="D476" s="297">
        <f>'Inventory Takeoff'!D480</f>
        <v>0</v>
      </c>
      <c r="E476" s="291">
        <f>'Inventory Takeoff'!G480</f>
        <v>0</v>
      </c>
    </row>
    <row r="477" spans="1:5" ht="15.5">
      <c r="A477" s="290">
        <f>'Inventory Takeoff'!B481</f>
        <v>476</v>
      </c>
      <c r="B477" s="290"/>
      <c r="C477" s="295" t="str">
        <f>'Inventory Takeoff'!C481</f>
        <v>Not Used</v>
      </c>
      <c r="D477" s="297">
        <f>'Inventory Takeoff'!D481</f>
        <v>0</v>
      </c>
      <c r="E477" s="291">
        <f>'Inventory Takeoff'!G481</f>
        <v>0</v>
      </c>
    </row>
    <row r="478" spans="1:5" ht="15.5">
      <c r="A478" s="290">
        <f>'Inventory Takeoff'!B482</f>
        <v>477</v>
      </c>
      <c r="B478" s="290"/>
      <c r="C478" s="295" t="str">
        <f>'Inventory Takeoff'!C482</f>
        <v>Not Used</v>
      </c>
      <c r="D478" s="297">
        <f>'Inventory Takeoff'!D482</f>
        <v>0</v>
      </c>
      <c r="E478" s="291">
        <f>'Inventory Takeoff'!G482</f>
        <v>0</v>
      </c>
    </row>
    <row r="479" spans="1:5" ht="15.5">
      <c r="A479" s="290">
        <f>'Inventory Takeoff'!B483</f>
        <v>478</v>
      </c>
      <c r="B479" s="290"/>
      <c r="C479" s="295" t="str">
        <f>'Inventory Takeoff'!C483</f>
        <v>Not Used</v>
      </c>
      <c r="D479" s="297">
        <f>'Inventory Takeoff'!D483</f>
        <v>0</v>
      </c>
      <c r="E479" s="291">
        <f>'Inventory Takeoff'!G483</f>
        <v>0</v>
      </c>
    </row>
    <row r="480" spans="1:5" ht="15.5">
      <c r="A480" s="290">
        <f>'Inventory Takeoff'!B484</f>
        <v>479</v>
      </c>
      <c r="B480" s="290"/>
      <c r="C480" s="295" t="str">
        <f>'Inventory Takeoff'!C484</f>
        <v>Not Used</v>
      </c>
      <c r="D480" s="297">
        <f>'Inventory Takeoff'!D484</f>
        <v>0</v>
      </c>
      <c r="E480" s="291">
        <f>'Inventory Takeoff'!G484</f>
        <v>0</v>
      </c>
    </row>
    <row r="481" spans="1:5" ht="15.5">
      <c r="A481" s="290">
        <f>'Inventory Takeoff'!B485</f>
        <v>480</v>
      </c>
      <c r="B481" s="290"/>
      <c r="C481" s="295" t="str">
        <f>'Inventory Takeoff'!C485</f>
        <v>Not Used</v>
      </c>
      <c r="D481" s="297">
        <f>'Inventory Takeoff'!D485</f>
        <v>0</v>
      </c>
      <c r="E481" s="291">
        <f>'Inventory Takeoff'!G485</f>
        <v>0</v>
      </c>
    </row>
    <row r="482" spans="1:5" ht="15.5">
      <c r="A482" s="290">
        <f>'Inventory Takeoff'!B486</f>
        <v>481</v>
      </c>
      <c r="B482" s="290"/>
      <c r="C482" s="295" t="str">
        <f>'Inventory Takeoff'!C486</f>
        <v>Not Used</v>
      </c>
      <c r="D482" s="297">
        <f>'Inventory Takeoff'!D486</f>
        <v>0</v>
      </c>
      <c r="E482" s="291">
        <f>'Inventory Takeoff'!G486</f>
        <v>0</v>
      </c>
    </row>
    <row r="483" spans="1:5" ht="15.5">
      <c r="A483" s="290">
        <f>'Inventory Takeoff'!B487</f>
        <v>482</v>
      </c>
      <c r="B483" s="290"/>
      <c r="C483" s="295" t="str">
        <f>'Inventory Takeoff'!C487</f>
        <v>Not Used</v>
      </c>
      <c r="D483" s="297">
        <f>'Inventory Takeoff'!D487</f>
        <v>0</v>
      </c>
      <c r="E483" s="291">
        <f>'Inventory Takeoff'!G487</f>
        <v>0</v>
      </c>
    </row>
    <row r="484" spans="1:5" ht="15.5">
      <c r="A484" s="290">
        <f>'Inventory Takeoff'!B488</f>
        <v>483</v>
      </c>
      <c r="B484" s="290"/>
      <c r="C484" s="295" t="str">
        <f>'Inventory Takeoff'!C488</f>
        <v>Not Used</v>
      </c>
      <c r="D484" s="297">
        <f>'Inventory Takeoff'!D488</f>
        <v>0</v>
      </c>
      <c r="E484" s="291">
        <f>'Inventory Takeoff'!G488</f>
        <v>0</v>
      </c>
    </row>
    <row r="485" spans="1:5" ht="15.5">
      <c r="A485" s="290">
        <f>'Inventory Takeoff'!B489</f>
        <v>484</v>
      </c>
      <c r="B485" s="290"/>
      <c r="C485" s="295" t="str">
        <f>'Inventory Takeoff'!C489</f>
        <v>Not Used</v>
      </c>
      <c r="D485" s="297">
        <f>'Inventory Takeoff'!D489</f>
        <v>0</v>
      </c>
      <c r="E485" s="291">
        <f>'Inventory Takeoff'!G489</f>
        <v>0</v>
      </c>
    </row>
    <row r="486" spans="1:5" ht="15.5">
      <c r="A486" s="290">
        <f>'Inventory Takeoff'!B490</f>
        <v>485</v>
      </c>
      <c r="B486" s="290"/>
      <c r="C486" s="295" t="str">
        <f>'Inventory Takeoff'!C490</f>
        <v>Not Used</v>
      </c>
      <c r="D486" s="297">
        <f>'Inventory Takeoff'!D490</f>
        <v>0</v>
      </c>
      <c r="E486" s="291">
        <f>'Inventory Takeoff'!G490</f>
        <v>0</v>
      </c>
    </row>
    <row r="487" spans="1:5" ht="15.5">
      <c r="A487" s="290">
        <f>'Inventory Takeoff'!B491</f>
        <v>486</v>
      </c>
      <c r="B487" s="290"/>
      <c r="C487" s="295" t="str">
        <f>'Inventory Takeoff'!C491</f>
        <v>Not Used</v>
      </c>
      <c r="D487" s="297">
        <f>'Inventory Takeoff'!D491</f>
        <v>0</v>
      </c>
      <c r="E487" s="291">
        <f>'Inventory Takeoff'!G491</f>
        <v>0</v>
      </c>
    </row>
    <row r="488" spans="1:5" ht="15.5">
      <c r="A488" s="290">
        <f>'Inventory Takeoff'!B492</f>
        <v>487</v>
      </c>
      <c r="B488" s="290"/>
      <c r="C488" s="295" t="str">
        <f>'Inventory Takeoff'!C492</f>
        <v>Not Used</v>
      </c>
      <c r="D488" s="297">
        <f>'Inventory Takeoff'!D492</f>
        <v>0</v>
      </c>
      <c r="E488" s="291">
        <f>'Inventory Takeoff'!G492</f>
        <v>0</v>
      </c>
    </row>
    <row r="489" spans="1:5" ht="15.5">
      <c r="A489" s="290">
        <f>'Inventory Takeoff'!B493</f>
        <v>488</v>
      </c>
      <c r="B489" s="290"/>
      <c r="C489" s="295" t="str">
        <f>'Inventory Takeoff'!C493</f>
        <v>Not Used</v>
      </c>
      <c r="D489" s="297">
        <f>'Inventory Takeoff'!D493</f>
        <v>0</v>
      </c>
      <c r="E489" s="291">
        <f>'Inventory Takeoff'!G493</f>
        <v>0</v>
      </c>
    </row>
    <row r="490" spans="1:5" ht="15.5">
      <c r="A490" s="290">
        <f>'Inventory Takeoff'!B494</f>
        <v>489</v>
      </c>
      <c r="B490" s="290"/>
      <c r="C490" s="295" t="str">
        <f>'Inventory Takeoff'!C494</f>
        <v>Not Used</v>
      </c>
      <c r="D490" s="297">
        <f>'Inventory Takeoff'!D494</f>
        <v>0</v>
      </c>
      <c r="E490" s="291">
        <f>'Inventory Takeoff'!G494</f>
        <v>0</v>
      </c>
    </row>
    <row r="491" spans="1:5" ht="15.5">
      <c r="A491" s="290">
        <f>'Inventory Takeoff'!B495</f>
        <v>490</v>
      </c>
      <c r="B491" s="290"/>
      <c r="C491" s="295" t="str">
        <f>'Inventory Takeoff'!C495</f>
        <v>Not Used</v>
      </c>
      <c r="D491" s="297">
        <f>'Inventory Takeoff'!D495</f>
        <v>0</v>
      </c>
      <c r="E491" s="291">
        <f>'Inventory Takeoff'!G495</f>
        <v>0</v>
      </c>
    </row>
    <row r="492" spans="1:5" ht="15.5">
      <c r="A492" s="290">
        <f>'Inventory Takeoff'!B496</f>
        <v>491</v>
      </c>
      <c r="B492" s="290"/>
      <c r="C492" s="295" t="str">
        <f>'Inventory Takeoff'!C496</f>
        <v>Not Used</v>
      </c>
      <c r="D492" s="297">
        <f>'Inventory Takeoff'!D496</f>
        <v>0</v>
      </c>
      <c r="E492" s="291">
        <f>'Inventory Takeoff'!G496</f>
        <v>0</v>
      </c>
    </row>
    <row r="493" spans="1:5" ht="15.5">
      <c r="A493" s="290">
        <f>'Inventory Takeoff'!B497</f>
        <v>492</v>
      </c>
      <c r="B493" s="290"/>
      <c r="C493" s="295" t="str">
        <f>'Inventory Takeoff'!C497</f>
        <v>Not Used</v>
      </c>
      <c r="D493" s="297">
        <f>'Inventory Takeoff'!D497</f>
        <v>0</v>
      </c>
      <c r="E493" s="291">
        <f>'Inventory Takeoff'!G497</f>
        <v>0</v>
      </c>
    </row>
    <row r="494" spans="1:5" ht="15.5">
      <c r="A494" s="290">
        <f>'Inventory Takeoff'!B498</f>
        <v>493</v>
      </c>
      <c r="B494" s="290"/>
      <c r="C494" s="295" t="str">
        <f>'Inventory Takeoff'!C498</f>
        <v>Not Used</v>
      </c>
      <c r="D494" s="297">
        <f>'Inventory Takeoff'!D498</f>
        <v>0</v>
      </c>
      <c r="E494" s="291">
        <f>'Inventory Takeoff'!G498</f>
        <v>0</v>
      </c>
    </row>
    <row r="495" spans="1:5" ht="15.5">
      <c r="A495" s="290">
        <f>'Inventory Takeoff'!B499</f>
        <v>494</v>
      </c>
      <c r="B495" s="290"/>
      <c r="C495" s="295" t="str">
        <f>'Inventory Takeoff'!C499</f>
        <v>Not Used</v>
      </c>
      <c r="D495" s="297">
        <f>'Inventory Takeoff'!D499</f>
        <v>0</v>
      </c>
      <c r="E495" s="291">
        <f>'Inventory Takeoff'!G499</f>
        <v>0</v>
      </c>
    </row>
    <row r="496" spans="1:5" ht="15.5">
      <c r="A496" s="290">
        <f>'Inventory Takeoff'!B500</f>
        <v>495</v>
      </c>
      <c r="B496" s="290"/>
      <c r="C496" s="295" t="str">
        <f>'Inventory Takeoff'!C500</f>
        <v>Not Used</v>
      </c>
      <c r="D496" s="297">
        <f>'Inventory Takeoff'!D500</f>
        <v>0</v>
      </c>
      <c r="E496" s="291">
        <f>'Inventory Takeoff'!G500</f>
        <v>0</v>
      </c>
    </row>
    <row r="497" spans="1:5" ht="15.5">
      <c r="A497" s="290">
        <f>'Inventory Takeoff'!B501</f>
        <v>496</v>
      </c>
      <c r="B497" s="290"/>
      <c r="C497" s="295" t="str">
        <f>'Inventory Takeoff'!C501</f>
        <v>Not Used</v>
      </c>
      <c r="D497" s="297">
        <f>'Inventory Takeoff'!D501</f>
        <v>0</v>
      </c>
      <c r="E497" s="291">
        <f>'Inventory Takeoff'!G501</f>
        <v>0</v>
      </c>
    </row>
    <row r="498" spans="1:5" ht="15.5">
      <c r="A498" s="290">
        <f>'Inventory Takeoff'!B502</f>
        <v>497</v>
      </c>
      <c r="B498" s="290"/>
      <c r="C498" s="295" t="str">
        <f>'Inventory Takeoff'!C502</f>
        <v>Not Used</v>
      </c>
      <c r="D498" s="297">
        <f>'Inventory Takeoff'!D502</f>
        <v>0</v>
      </c>
      <c r="E498" s="291">
        <f>'Inventory Takeoff'!G502</f>
        <v>0</v>
      </c>
    </row>
    <row r="499" spans="1:5" ht="15.5">
      <c r="A499" s="290">
        <f>'Inventory Takeoff'!B503</f>
        <v>498</v>
      </c>
      <c r="B499" s="290"/>
      <c r="C499" s="295" t="str">
        <f>'Inventory Takeoff'!C503</f>
        <v>Not Used</v>
      </c>
      <c r="D499" s="297">
        <f>'Inventory Takeoff'!D503</f>
        <v>0</v>
      </c>
      <c r="E499" s="291">
        <f>'Inventory Takeoff'!G503</f>
        <v>0</v>
      </c>
    </row>
    <row r="500" spans="1:5" ht="15.5">
      <c r="A500" s="290">
        <f>'Inventory Takeoff'!B504</f>
        <v>499</v>
      </c>
      <c r="B500" s="290"/>
      <c r="C500" s="295" t="str">
        <f>'Inventory Takeoff'!C504</f>
        <v>Not Used</v>
      </c>
      <c r="D500" s="297">
        <f>'Inventory Takeoff'!D504</f>
        <v>0</v>
      </c>
      <c r="E500" s="291">
        <f>'Inventory Takeoff'!G504</f>
        <v>0</v>
      </c>
    </row>
    <row r="501" spans="1:5" ht="15.5">
      <c r="A501" s="290">
        <f>'Inventory Takeoff'!B505</f>
        <v>500</v>
      </c>
      <c r="B501" s="290"/>
      <c r="C501" s="295" t="str">
        <f>'Inventory Takeoff'!C505</f>
        <v>Not Used</v>
      </c>
      <c r="D501" s="297">
        <f>'Inventory Takeoff'!D505</f>
        <v>0</v>
      </c>
      <c r="E501" s="291">
        <f>'Inventory Takeoff'!G505</f>
        <v>0</v>
      </c>
    </row>
    <row r="502" spans="1:5" ht="15.5">
      <c r="A502" s="290">
        <f>'Inventory Takeoff'!B506</f>
        <v>501</v>
      </c>
      <c r="B502" s="290"/>
      <c r="C502" s="295" t="str">
        <f>'Inventory Takeoff'!C506</f>
        <v>Not Used</v>
      </c>
      <c r="D502" s="297">
        <f>'Inventory Takeoff'!D506</f>
        <v>0</v>
      </c>
      <c r="E502" s="291">
        <f>'Inventory Takeoff'!G506</f>
        <v>0</v>
      </c>
    </row>
    <row r="503" spans="1:5" ht="15.5">
      <c r="A503" s="290">
        <f>'Inventory Takeoff'!B507</f>
        <v>502</v>
      </c>
      <c r="B503" s="290"/>
      <c r="C503" s="295" t="str">
        <f>'Inventory Takeoff'!C507</f>
        <v>Not Used</v>
      </c>
      <c r="D503" s="297">
        <f>'Inventory Takeoff'!D507</f>
        <v>0</v>
      </c>
      <c r="E503" s="291">
        <f>'Inventory Takeoff'!G507</f>
        <v>0</v>
      </c>
    </row>
    <row r="504" spans="1:5" ht="15.5">
      <c r="A504" s="290">
        <f>'Inventory Takeoff'!B508</f>
        <v>503</v>
      </c>
      <c r="B504" s="290"/>
      <c r="C504" s="295" t="str">
        <f>'Inventory Takeoff'!C508</f>
        <v>Not Used</v>
      </c>
      <c r="D504" s="297">
        <f>'Inventory Takeoff'!D508</f>
        <v>0</v>
      </c>
      <c r="E504" s="291">
        <f>'Inventory Takeoff'!G508</f>
        <v>0</v>
      </c>
    </row>
    <row r="505" spans="1:5" ht="15.5">
      <c r="A505" s="290">
        <f>'Inventory Takeoff'!B509</f>
        <v>504</v>
      </c>
      <c r="B505" s="290"/>
      <c r="C505" s="295" t="str">
        <f>'Inventory Takeoff'!C509</f>
        <v>Not Used</v>
      </c>
      <c r="D505" s="297">
        <f>'Inventory Takeoff'!D509</f>
        <v>0</v>
      </c>
      <c r="E505" s="291">
        <f>'Inventory Takeoff'!G509</f>
        <v>0</v>
      </c>
    </row>
    <row r="506" spans="1:5" ht="15.5">
      <c r="A506" s="290">
        <f>'Inventory Takeoff'!B510</f>
        <v>505</v>
      </c>
      <c r="B506" s="290"/>
      <c r="C506" s="295" t="str">
        <f>'Inventory Takeoff'!C510</f>
        <v>Not Used</v>
      </c>
      <c r="D506" s="297">
        <f>'Inventory Takeoff'!D510</f>
        <v>0</v>
      </c>
      <c r="E506" s="291">
        <f>'Inventory Takeoff'!G510</f>
        <v>0</v>
      </c>
    </row>
    <row r="507" spans="1:5" ht="15.5">
      <c r="A507" s="290">
        <f>'Inventory Takeoff'!B511</f>
        <v>506</v>
      </c>
      <c r="B507" s="290"/>
      <c r="C507" s="295" t="str">
        <f>'Inventory Takeoff'!C511</f>
        <v>Not Used</v>
      </c>
      <c r="D507" s="297">
        <f>'Inventory Takeoff'!D511</f>
        <v>0</v>
      </c>
      <c r="E507" s="291">
        <f>'Inventory Takeoff'!G511</f>
        <v>0</v>
      </c>
    </row>
    <row r="508" spans="1:5" ht="15.5">
      <c r="A508" s="290">
        <f>'Inventory Takeoff'!B512</f>
        <v>507</v>
      </c>
      <c r="B508" s="290"/>
      <c r="C508" s="295" t="str">
        <f>'Inventory Takeoff'!C512</f>
        <v>Not Used</v>
      </c>
      <c r="D508" s="297">
        <f>'Inventory Takeoff'!D512</f>
        <v>0</v>
      </c>
      <c r="E508" s="291">
        <f>'Inventory Takeoff'!G512</f>
        <v>0</v>
      </c>
    </row>
    <row r="509" spans="1:5" ht="15.5">
      <c r="A509" s="290">
        <f>'Inventory Takeoff'!B513</f>
        <v>508</v>
      </c>
      <c r="B509" s="290"/>
      <c r="C509" s="295" t="str">
        <f>'Inventory Takeoff'!C513</f>
        <v>Not Used</v>
      </c>
      <c r="D509" s="297">
        <f>'Inventory Takeoff'!D513</f>
        <v>0</v>
      </c>
      <c r="E509" s="291">
        <f>'Inventory Takeoff'!G513</f>
        <v>0</v>
      </c>
    </row>
    <row r="510" spans="1:5" ht="15.5">
      <c r="A510" s="290">
        <f>'Inventory Takeoff'!B514</f>
        <v>509</v>
      </c>
      <c r="B510" s="290"/>
      <c r="C510" s="295" t="str">
        <f>'Inventory Takeoff'!C514</f>
        <v>Not Used</v>
      </c>
      <c r="D510" s="297">
        <f>'Inventory Takeoff'!D514</f>
        <v>0</v>
      </c>
      <c r="E510" s="291">
        <f>'Inventory Takeoff'!G514</f>
        <v>0</v>
      </c>
    </row>
    <row r="511" spans="1:5" ht="15.5">
      <c r="A511" s="290">
        <f>'Inventory Takeoff'!B515</f>
        <v>510</v>
      </c>
      <c r="B511" s="290"/>
      <c r="C511" s="295" t="str">
        <f>'Inventory Takeoff'!C515</f>
        <v>Not Used</v>
      </c>
      <c r="D511" s="297">
        <f>'Inventory Takeoff'!D515</f>
        <v>0</v>
      </c>
      <c r="E511" s="291">
        <f>'Inventory Takeoff'!G515</f>
        <v>0</v>
      </c>
    </row>
    <row r="512" spans="1:5" ht="15.5">
      <c r="A512" s="290">
        <f>'Inventory Takeoff'!B516</f>
        <v>511</v>
      </c>
      <c r="B512" s="290"/>
      <c r="C512" s="295" t="str">
        <f>'Inventory Takeoff'!C516</f>
        <v>Not Used</v>
      </c>
      <c r="D512" s="297">
        <f>'Inventory Takeoff'!D516</f>
        <v>0</v>
      </c>
      <c r="E512" s="291">
        <f>'Inventory Takeoff'!G516</f>
        <v>0</v>
      </c>
    </row>
    <row r="513" spans="1:5" ht="15.5">
      <c r="A513" s="290">
        <f>'Inventory Takeoff'!B517</f>
        <v>512</v>
      </c>
      <c r="B513" s="290"/>
      <c r="C513" s="295" t="str">
        <f>'Inventory Takeoff'!C517</f>
        <v>Not Used</v>
      </c>
      <c r="D513" s="297">
        <f>'Inventory Takeoff'!D517</f>
        <v>0</v>
      </c>
      <c r="E513" s="291">
        <f>'Inventory Takeoff'!G517</f>
        <v>0</v>
      </c>
    </row>
    <row r="514" spans="1:5" ht="15.5">
      <c r="A514" s="290">
        <f>'Inventory Takeoff'!B518</f>
        <v>513</v>
      </c>
      <c r="B514" s="290"/>
      <c r="C514" s="295" t="str">
        <f>'Inventory Takeoff'!C518</f>
        <v>Not Used</v>
      </c>
      <c r="D514" s="297">
        <f>'Inventory Takeoff'!D518</f>
        <v>0</v>
      </c>
      <c r="E514" s="291">
        <f>'Inventory Takeoff'!G518</f>
        <v>0</v>
      </c>
    </row>
    <row r="515" spans="1:5" ht="15.5">
      <c r="A515" s="290">
        <f>'Inventory Takeoff'!B519</f>
        <v>514</v>
      </c>
      <c r="B515" s="290"/>
      <c r="C515" s="295" t="str">
        <f>'Inventory Takeoff'!C519</f>
        <v>Not Used</v>
      </c>
      <c r="D515" s="297">
        <f>'Inventory Takeoff'!D519</f>
        <v>0</v>
      </c>
      <c r="E515" s="291">
        <f>'Inventory Takeoff'!G519</f>
        <v>0</v>
      </c>
    </row>
    <row r="516" spans="1:5" ht="15.5">
      <c r="A516" s="290">
        <f>'Inventory Takeoff'!B520</f>
        <v>515</v>
      </c>
      <c r="B516" s="290"/>
      <c r="C516" s="295" t="str">
        <f>'Inventory Takeoff'!C520</f>
        <v>Not Used</v>
      </c>
      <c r="D516" s="297">
        <f>'Inventory Takeoff'!D520</f>
        <v>0</v>
      </c>
      <c r="E516" s="291">
        <f>'Inventory Takeoff'!G520</f>
        <v>0</v>
      </c>
    </row>
    <row r="517" spans="1:5" ht="15.5">
      <c r="A517" s="290">
        <f>'Inventory Takeoff'!B521</f>
        <v>516</v>
      </c>
      <c r="B517" s="290"/>
      <c r="C517" s="295" t="str">
        <f>'Inventory Takeoff'!C521</f>
        <v>Not Used</v>
      </c>
      <c r="D517" s="297">
        <f>'Inventory Takeoff'!D521</f>
        <v>0</v>
      </c>
      <c r="E517" s="291">
        <f>'Inventory Takeoff'!G521</f>
        <v>0</v>
      </c>
    </row>
    <row r="518" spans="1:5" ht="15.5">
      <c r="A518" s="290">
        <f>'Inventory Takeoff'!B522</f>
        <v>517</v>
      </c>
      <c r="B518" s="290"/>
      <c r="C518" s="295" t="str">
        <f>'Inventory Takeoff'!C522</f>
        <v>Not Used</v>
      </c>
      <c r="D518" s="297">
        <f>'Inventory Takeoff'!D522</f>
        <v>0</v>
      </c>
      <c r="E518" s="291">
        <f>'Inventory Takeoff'!G522</f>
        <v>0</v>
      </c>
    </row>
    <row r="519" spans="1:5" ht="15.5">
      <c r="A519" s="290">
        <f>'Inventory Takeoff'!B523</f>
        <v>518</v>
      </c>
      <c r="B519" s="290"/>
      <c r="C519" s="295" t="str">
        <f>'Inventory Takeoff'!C523</f>
        <v>Not Used</v>
      </c>
      <c r="D519" s="297">
        <f>'Inventory Takeoff'!D523</f>
        <v>0</v>
      </c>
      <c r="E519" s="291">
        <f>'Inventory Takeoff'!G523</f>
        <v>0</v>
      </c>
    </row>
    <row r="520" spans="1:5" ht="15.5">
      <c r="A520" s="290">
        <f>'Inventory Takeoff'!B524</f>
        <v>519</v>
      </c>
      <c r="B520" s="290"/>
      <c r="C520" s="295" t="str">
        <f>'Inventory Takeoff'!C524</f>
        <v>Not Used</v>
      </c>
      <c r="D520" s="297">
        <f>'Inventory Takeoff'!D524</f>
        <v>0</v>
      </c>
      <c r="E520" s="291">
        <f>'Inventory Takeoff'!G524</f>
        <v>0</v>
      </c>
    </row>
    <row r="521" spans="1:5" ht="15.5">
      <c r="A521" s="290">
        <f>'Inventory Takeoff'!B525</f>
        <v>520</v>
      </c>
      <c r="B521" s="290"/>
      <c r="C521" s="295" t="str">
        <f>'Inventory Takeoff'!C525</f>
        <v>Not Used</v>
      </c>
      <c r="D521" s="297">
        <f>'Inventory Takeoff'!D525</f>
        <v>0</v>
      </c>
      <c r="E521" s="291">
        <f>'Inventory Takeoff'!G525</f>
        <v>0</v>
      </c>
    </row>
    <row r="522" spans="1:5" ht="15.5">
      <c r="A522" s="290">
        <f>'Inventory Takeoff'!B526</f>
        <v>521</v>
      </c>
      <c r="B522" s="290"/>
      <c r="C522" s="295" t="str">
        <f>'Inventory Takeoff'!C526</f>
        <v>Not Used</v>
      </c>
      <c r="D522" s="297">
        <f>'Inventory Takeoff'!D526</f>
        <v>0</v>
      </c>
      <c r="E522" s="291">
        <f>'Inventory Takeoff'!G526</f>
        <v>0</v>
      </c>
    </row>
    <row r="523" spans="1:5" ht="15.5">
      <c r="A523" s="290">
        <f>'Inventory Takeoff'!B527</f>
        <v>522</v>
      </c>
      <c r="B523" s="290"/>
      <c r="C523" s="295" t="str">
        <f>'Inventory Takeoff'!C527</f>
        <v>Not Used</v>
      </c>
      <c r="D523" s="297">
        <f>'Inventory Takeoff'!D527</f>
        <v>0</v>
      </c>
      <c r="E523" s="291">
        <f>'Inventory Takeoff'!G527</f>
        <v>0</v>
      </c>
    </row>
    <row r="524" spans="1:5" ht="15.5">
      <c r="A524" s="290">
        <f>'Inventory Takeoff'!B528</f>
        <v>523</v>
      </c>
      <c r="B524" s="290"/>
      <c r="C524" s="295" t="str">
        <f>'Inventory Takeoff'!C528</f>
        <v>Not Used</v>
      </c>
      <c r="D524" s="297">
        <f>'Inventory Takeoff'!D528</f>
        <v>0</v>
      </c>
      <c r="E524" s="291">
        <f>'Inventory Takeoff'!G528</f>
        <v>0</v>
      </c>
    </row>
    <row r="525" spans="1:5" ht="15.5">
      <c r="A525" s="290">
        <f>'Inventory Takeoff'!B529</f>
        <v>524</v>
      </c>
      <c r="B525" s="290"/>
      <c r="C525" s="295" t="str">
        <f>'Inventory Takeoff'!C529</f>
        <v>Not Used</v>
      </c>
      <c r="D525" s="297">
        <f>'Inventory Takeoff'!D529</f>
        <v>0</v>
      </c>
      <c r="E525" s="291">
        <f>'Inventory Takeoff'!G529</f>
        <v>0</v>
      </c>
    </row>
    <row r="526" spans="1:5" ht="15.5">
      <c r="A526" s="290">
        <f>'Inventory Takeoff'!B530</f>
        <v>525</v>
      </c>
      <c r="B526" s="290"/>
      <c r="C526" s="295" t="str">
        <f>'Inventory Takeoff'!C530</f>
        <v>Not Used</v>
      </c>
      <c r="D526" s="297">
        <f>'Inventory Takeoff'!D530</f>
        <v>0</v>
      </c>
      <c r="E526" s="291">
        <f>'Inventory Takeoff'!G530</f>
        <v>0</v>
      </c>
    </row>
    <row r="527" spans="1:5" ht="15.5">
      <c r="A527" s="290">
        <f>'Inventory Takeoff'!B531</f>
        <v>526</v>
      </c>
      <c r="B527" s="290"/>
      <c r="C527" s="295" t="str">
        <f>'Inventory Takeoff'!C531</f>
        <v>Not Used</v>
      </c>
      <c r="D527" s="297">
        <f>'Inventory Takeoff'!D531</f>
        <v>0</v>
      </c>
      <c r="E527" s="291">
        <f>'Inventory Takeoff'!G531</f>
        <v>0</v>
      </c>
    </row>
    <row r="528" spans="1:5" ht="15.5">
      <c r="A528" s="290">
        <f>'Inventory Takeoff'!B532</f>
        <v>527</v>
      </c>
      <c r="B528" s="290"/>
      <c r="C528" s="295" t="str">
        <f>'Inventory Takeoff'!C532</f>
        <v>Not Used</v>
      </c>
      <c r="D528" s="297">
        <f>'Inventory Takeoff'!D532</f>
        <v>0</v>
      </c>
      <c r="E528" s="291">
        <f>'Inventory Takeoff'!G532</f>
        <v>0</v>
      </c>
    </row>
    <row r="529" spans="1:5" ht="15.5">
      <c r="A529" s="290">
        <f>'Inventory Takeoff'!B533</f>
        <v>528</v>
      </c>
      <c r="B529" s="290"/>
      <c r="C529" s="295" t="str">
        <f>'Inventory Takeoff'!C533</f>
        <v>Not Used</v>
      </c>
      <c r="D529" s="297">
        <f>'Inventory Takeoff'!D533</f>
        <v>0</v>
      </c>
      <c r="E529" s="291">
        <f>'Inventory Takeoff'!G533</f>
        <v>0</v>
      </c>
    </row>
    <row r="530" spans="1:5" ht="15.5">
      <c r="A530" s="290">
        <f>'Inventory Takeoff'!B534</f>
        <v>529</v>
      </c>
      <c r="B530" s="290"/>
      <c r="C530" s="295" t="str">
        <f>'Inventory Takeoff'!C534</f>
        <v>Not Used</v>
      </c>
      <c r="D530" s="297">
        <f>'Inventory Takeoff'!D534</f>
        <v>0</v>
      </c>
      <c r="E530" s="291">
        <f>'Inventory Takeoff'!G534</f>
        <v>0</v>
      </c>
    </row>
    <row r="531" spans="1:5" ht="15.5">
      <c r="A531" s="290">
        <f>'Inventory Takeoff'!B535</f>
        <v>530</v>
      </c>
      <c r="B531" s="290"/>
      <c r="C531" s="295" t="str">
        <f>'Inventory Takeoff'!C535</f>
        <v>Not Used</v>
      </c>
      <c r="D531" s="297">
        <f>'Inventory Takeoff'!D535</f>
        <v>0</v>
      </c>
      <c r="E531" s="291">
        <f>'Inventory Takeoff'!G535</f>
        <v>0</v>
      </c>
    </row>
    <row r="532" spans="1:5" ht="15.5">
      <c r="A532" s="290">
        <f>'Inventory Takeoff'!B536</f>
        <v>531</v>
      </c>
      <c r="B532" s="290"/>
      <c r="C532" s="295" t="str">
        <f>'Inventory Takeoff'!C536</f>
        <v>Not Used</v>
      </c>
      <c r="D532" s="297">
        <f>'Inventory Takeoff'!D536</f>
        <v>0</v>
      </c>
      <c r="E532" s="291">
        <f>'Inventory Takeoff'!G536</f>
        <v>0</v>
      </c>
    </row>
    <row r="533" spans="1:5" ht="15.5">
      <c r="A533" s="290">
        <f>'Inventory Takeoff'!B537</f>
        <v>532</v>
      </c>
      <c r="B533" s="290"/>
      <c r="C533" s="295" t="str">
        <f>'Inventory Takeoff'!C537</f>
        <v>Not Used</v>
      </c>
      <c r="D533" s="297">
        <f>'Inventory Takeoff'!D537</f>
        <v>0</v>
      </c>
      <c r="E533" s="291">
        <f>'Inventory Takeoff'!G537</f>
        <v>0</v>
      </c>
    </row>
    <row r="534" spans="1:5" ht="15.5">
      <c r="A534" s="290">
        <f>'Inventory Takeoff'!B538</f>
        <v>533</v>
      </c>
      <c r="B534" s="290" t="e">
        <f>IF(SUMIFS(Ancillary_Qty,Ancillary_InventoryCode,A534,Ancillary_BoughtOut,"No")=0,"",SUMIFS(Ancillary_Qty,Ancillary_InventoryCode,A534,Ancillary_BoughtOut,"No"))</f>
        <v>#NAME?</v>
      </c>
      <c r="C534" s="295" t="str">
        <f>'Inventory Takeoff'!C538</f>
        <v>Tee Bar - 2'</v>
      </c>
      <c r="D534" s="297" t="str">
        <f>'Inventory Takeoff'!D538</f>
        <v>Each</v>
      </c>
      <c r="E534" s="291">
        <f>'Inventory Takeoff'!G538</f>
        <v>0.73</v>
      </c>
    </row>
    <row r="535" spans="1:5" ht="15.5">
      <c r="A535" s="290">
        <f>'Inventory Takeoff'!B539</f>
        <v>534</v>
      </c>
      <c r="B535" s="290"/>
      <c r="C535" s="295" t="str">
        <f>'Inventory Takeoff'!C539</f>
        <v>Not Used</v>
      </c>
      <c r="D535" s="297">
        <f>'Inventory Takeoff'!D539</f>
        <v>0</v>
      </c>
      <c r="E535" s="291">
        <f>'Inventory Takeoff'!G539</f>
        <v>0</v>
      </c>
    </row>
    <row r="536" spans="1:5" ht="15.5">
      <c r="A536" s="290">
        <f>'Inventory Takeoff'!B540</f>
        <v>535</v>
      </c>
      <c r="B536" s="290" t="e">
        <f>IF(SUMIFS(Ancillary_Length,Ancillary_InventoryCode,A536,Ancillary_BoughtOut,"No")=0,"",SUMIFS(Ancillary_Length,Ancillary_InventoryCode,A536,Ancillary_BoughtOut,"No"))</f>
        <v>#NAME?</v>
      </c>
      <c r="C536" s="295" t="str">
        <f>'Inventory Takeoff'!C540</f>
        <v>Hanger Strap 18 Gauge</v>
      </c>
      <c r="D536" s="297" t="str">
        <f>'Inventory Takeoff'!D540</f>
        <v>Roll</v>
      </c>
      <c r="E536" s="291">
        <f>'Inventory Takeoff'!G540</f>
        <v>110</v>
      </c>
    </row>
    <row r="537" spans="1:5" ht="15.5">
      <c r="A537" s="290">
        <f>'Inventory Takeoff'!B541</f>
        <v>536</v>
      </c>
      <c r="B537" s="290" t="e">
        <f>IF(SUMIFS(Ancillary_Length,Ancillary_InventoryCode,A537,Ancillary_BoughtOut,"No")=0,"",SUMIFS(Ancillary_Length,Ancillary_InventoryCode,A537,Ancillary_BoughtOut,"No"))</f>
        <v>#NAME?</v>
      </c>
      <c r="C537" s="295" t="str">
        <f>'Inventory Takeoff'!C541</f>
        <v>Hanger Strap 18 Gauge</v>
      </c>
      <c r="D537" s="297" t="str">
        <f>'Inventory Takeoff'!D541</f>
        <v>Foot</v>
      </c>
      <c r="E537" s="291">
        <f>'Inventory Takeoff'!G541</f>
        <v>0.22</v>
      </c>
    </row>
    <row r="538" spans="1:5" ht="15.5">
      <c r="A538" s="290">
        <f>'Inventory Takeoff'!B542</f>
        <v>537</v>
      </c>
      <c r="B538" s="290" t="e">
        <f>IF(SUMIFS(Ancillary_Length,Ancillary_InventoryCode,A538,Ancillary_BoughtOut,"No")=0,"",SUMIFS(Ancillary_Length,Ancillary_InventoryCode,A538,Ancillary_BoughtOut,"No"))</f>
        <v>#NAME?</v>
      </c>
      <c r="C538" s="295" t="str">
        <f>'Inventory Takeoff'!C542</f>
        <v>Hanger Strap 22 Gauge</v>
      </c>
      <c r="D538" s="297" t="str">
        <f>'Inventory Takeoff'!D542</f>
        <v>Roll</v>
      </c>
      <c r="E538" s="291">
        <f>'Inventory Takeoff'!G542</f>
        <v>110</v>
      </c>
    </row>
    <row r="539" spans="1:5" ht="15.5">
      <c r="A539" s="290">
        <f>'Inventory Takeoff'!B543</f>
        <v>538</v>
      </c>
      <c r="B539" s="290" t="e">
        <f>IF(SUMIFS(Ancillary_Length,Ancillary_InventoryCode,A539,Ancillary_BoughtOut,"No")=0,"",SUMIFS(Ancillary_Length,Ancillary_InventoryCode,A539,Ancillary_BoughtOut,"No"))</f>
        <v>#NAME?</v>
      </c>
      <c r="C539" s="295" t="str">
        <f>'Inventory Takeoff'!C543</f>
        <v>Hanger Strap 22 Gauge</v>
      </c>
      <c r="D539" s="297" t="str">
        <f>'Inventory Takeoff'!D543</f>
        <v>Foot</v>
      </c>
      <c r="E539" s="291">
        <f>'Inventory Takeoff'!G543</f>
        <v>0.16999999999999998</v>
      </c>
    </row>
    <row r="540" spans="1:5" ht="15.5">
      <c r="A540" s="290">
        <f>'Inventory Takeoff'!B544</f>
        <v>539</v>
      </c>
      <c r="B540" s="290" t="e">
        <f>IF(SUMIFS(Ancillary_Length,Ancillary_InventoryCode,A540,Ancillary_BoughtOut,"No")=0,"",SUMIFS(Ancillary_Length,Ancillary_InventoryCode,A540,Ancillary_BoughtOut,"No"))</f>
        <v>#NAME?</v>
      </c>
      <c r="C540" s="295" t="str">
        <f>'Inventory Takeoff'!C544</f>
        <v>Not Used</v>
      </c>
      <c r="D540" s="297">
        <f>'Inventory Takeoff'!D544</f>
        <v>0</v>
      </c>
      <c r="E540" s="291">
        <f>'Inventory Takeoff'!G544</f>
        <v>0</v>
      </c>
    </row>
    <row r="541" spans="1:5" ht="15.5">
      <c r="A541" s="290">
        <f>'Inventory Takeoff'!B545</f>
        <v>540</v>
      </c>
      <c r="B541" s="290" t="e">
        <f t="shared" ref="B541:B555" si="18">IF(SUMIFS(Ancillary_Qty,Ancillary_InventoryCode,A541,Ancillary_BoughtOut,"No")=0,"",SUMIFS(Ancillary_Qty,Ancillary_InventoryCode,A541,Ancillary_BoughtOut,"No"))</f>
        <v>#NAME?</v>
      </c>
      <c r="C541" s="295" t="str">
        <f>'Inventory Takeoff'!C545</f>
        <v>Hanger Eye Socket</v>
      </c>
      <c r="D541" s="297" t="str">
        <f>'Inventory Takeoff'!D545</f>
        <v>Each</v>
      </c>
      <c r="E541" s="291">
        <f>'Inventory Takeoff'!G545</f>
        <v>0.97</v>
      </c>
    </row>
    <row r="542" spans="1:5" ht="15.5">
      <c r="A542" s="290">
        <f>'Inventory Takeoff'!B546</f>
        <v>541</v>
      </c>
      <c r="B542" s="290" t="e">
        <f t="shared" si="18"/>
        <v>#NAME?</v>
      </c>
      <c r="C542" s="295" t="str">
        <f>'Inventory Takeoff'!C546</f>
        <v>Hanger Screw</v>
      </c>
      <c r="D542" s="297" t="str">
        <f>'Inventory Takeoff'!D546</f>
        <v>Each</v>
      </c>
      <c r="E542" s="291">
        <f>'Inventory Takeoff'!G546</f>
        <v>0.56999999999999995</v>
      </c>
    </row>
    <row r="543" spans="1:5" ht="15.5">
      <c r="A543" s="290">
        <f>'Inventory Takeoff'!B547</f>
        <v>542</v>
      </c>
      <c r="B543" s="290" t="e">
        <f t="shared" si="18"/>
        <v>#NAME?</v>
      </c>
      <c r="C543" s="295" t="str">
        <f>'Inventory Takeoff'!C547</f>
        <v>Not Used</v>
      </c>
      <c r="D543" s="297">
        <f>'Inventory Takeoff'!D547</f>
        <v>0</v>
      </c>
      <c r="E543" s="291">
        <f>'Inventory Takeoff'!G547</f>
        <v>0</v>
      </c>
    </row>
    <row r="544" spans="1:5" ht="15.5">
      <c r="A544" s="290">
        <f>'Inventory Takeoff'!B548</f>
        <v>543</v>
      </c>
      <c r="B544" s="290" t="e">
        <f t="shared" si="18"/>
        <v>#NAME?</v>
      </c>
      <c r="C544" s="295" t="str">
        <f>'Inventory Takeoff'!C548</f>
        <v>Rod Coupler</v>
      </c>
      <c r="D544" s="297" t="str">
        <f>'Inventory Takeoff'!D548</f>
        <v>Each</v>
      </c>
      <c r="E544" s="291">
        <f>'Inventory Takeoff'!G548</f>
        <v>0.33</v>
      </c>
    </row>
    <row r="545" spans="1:5" ht="15.5">
      <c r="A545" s="290">
        <f>'Inventory Takeoff'!B549</f>
        <v>544</v>
      </c>
      <c r="B545" s="290" t="e">
        <f t="shared" si="18"/>
        <v>#NAME?</v>
      </c>
      <c r="C545" s="295" t="str">
        <f>'Inventory Takeoff'!C549</f>
        <v>12" Wood Sawzall Blade</v>
      </c>
      <c r="D545" s="297" t="str">
        <f>'Inventory Takeoff'!D549</f>
        <v>Each</v>
      </c>
      <c r="E545" s="291">
        <f>'Inventory Takeoff'!G549</f>
        <v>5.8800000000000008</v>
      </c>
    </row>
    <row r="546" spans="1:5" ht="15.5">
      <c r="A546" s="290">
        <f>'Inventory Takeoff'!B550</f>
        <v>545</v>
      </c>
      <c r="B546" s="290" t="e">
        <f t="shared" si="18"/>
        <v>#NAME?</v>
      </c>
      <c r="C546" s="295" t="str">
        <f>'Inventory Takeoff'!C550</f>
        <v>12" Metal Sawzall Blade</v>
      </c>
      <c r="D546" s="297" t="str">
        <f>'Inventory Takeoff'!D550</f>
        <v>Each</v>
      </c>
      <c r="E546" s="291">
        <f>'Inventory Takeoff'!G550</f>
        <v>5.51</v>
      </c>
    </row>
    <row r="547" spans="1:5" ht="15.5">
      <c r="A547" s="290">
        <f>'Inventory Takeoff'!B551</f>
        <v>546</v>
      </c>
      <c r="B547" s="290" t="e">
        <f t="shared" si="18"/>
        <v>#NAME?</v>
      </c>
      <c r="C547" s="295" t="str">
        <f>'Inventory Takeoff'!C551</f>
        <v>Flex Hanger</v>
      </c>
      <c r="D547" s="297" t="str">
        <f>'Inventory Takeoff'!D551</f>
        <v>Each</v>
      </c>
      <c r="E547" s="291">
        <f>'Inventory Takeoff'!G551</f>
        <v>24.15</v>
      </c>
    </row>
    <row r="548" spans="1:5" ht="15.5">
      <c r="A548" s="290">
        <f>'Inventory Takeoff'!B552</f>
        <v>547</v>
      </c>
      <c r="B548" s="290" t="e">
        <f t="shared" si="18"/>
        <v>#NAME?</v>
      </c>
      <c r="C548" s="295" t="str">
        <f>'Inventory Takeoff'!C552</f>
        <v>Hanger 1/2 Eye Screw</v>
      </c>
      <c r="D548" s="297" t="str">
        <f>'Inventory Takeoff'!D552</f>
        <v>Each</v>
      </c>
      <c r="E548" s="291">
        <f>'Inventory Takeoff'!G552</f>
        <v>0.22</v>
      </c>
    </row>
    <row r="549" spans="1:5" ht="15.5">
      <c r="A549" s="290">
        <f>'Inventory Takeoff'!B553</f>
        <v>548</v>
      </c>
      <c r="B549" s="290" t="e">
        <f t="shared" si="18"/>
        <v>#NAME?</v>
      </c>
      <c r="C549" s="295" t="str">
        <f>'Inventory Takeoff'!C553</f>
        <v>50' Extension Cord</v>
      </c>
      <c r="D549" s="297" t="str">
        <f>'Inventory Takeoff'!D553</f>
        <v>Each</v>
      </c>
      <c r="E549" s="291">
        <f>'Inventory Takeoff'!G553</f>
        <v>45.839999999999996</v>
      </c>
    </row>
    <row r="550" spans="1:5" ht="15.5">
      <c r="A550" s="290">
        <f>'Inventory Takeoff'!B554</f>
        <v>549</v>
      </c>
      <c r="B550" s="290" t="e">
        <f t="shared" si="18"/>
        <v>#NAME?</v>
      </c>
      <c r="C550" s="295" t="str">
        <f>'Inventory Takeoff'!C554</f>
        <v>100' Extension Cord</v>
      </c>
      <c r="D550" s="297" t="str">
        <f>'Inventory Takeoff'!D554</f>
        <v>Each</v>
      </c>
      <c r="E550" s="291">
        <f>'Inventory Takeoff'!G554</f>
        <v>93.559999999999988</v>
      </c>
    </row>
    <row r="551" spans="1:5" ht="15.5">
      <c r="A551" s="290">
        <f>'Inventory Takeoff'!B555</f>
        <v>550</v>
      </c>
      <c r="B551" s="290" t="e">
        <f t="shared" si="18"/>
        <v>#NAME?</v>
      </c>
      <c r="C551" s="295" t="str">
        <f>'Inventory Takeoff'!C555</f>
        <v>Hanger 1/4 x 3 Toggle</v>
      </c>
      <c r="D551" s="297" t="str">
        <f>'Inventory Takeoff'!D555</f>
        <v>Each</v>
      </c>
      <c r="E551" s="291">
        <f>'Inventory Takeoff'!G555</f>
        <v>0.33</v>
      </c>
    </row>
    <row r="552" spans="1:5" ht="15.5">
      <c r="A552" s="290">
        <f>'Inventory Takeoff'!B556</f>
        <v>551</v>
      </c>
      <c r="B552" s="290" t="e">
        <f t="shared" si="18"/>
        <v>#NAME?</v>
      </c>
      <c r="C552" s="295" t="str">
        <f>'Inventory Takeoff'!C556</f>
        <v>AA Batteries - Pack of 24</v>
      </c>
      <c r="D552" s="297" t="str">
        <f>'Inventory Takeoff'!D556</f>
        <v>Each</v>
      </c>
      <c r="E552" s="291">
        <f>'Inventory Takeoff'!G556</f>
        <v>11.45</v>
      </c>
    </row>
    <row r="553" spans="1:5" ht="15.5">
      <c r="A553" s="290">
        <f>'Inventory Takeoff'!B557</f>
        <v>552</v>
      </c>
      <c r="B553" s="290" t="e">
        <f t="shared" si="18"/>
        <v>#NAME?</v>
      </c>
      <c r="C553" s="295" t="str">
        <f>'Inventory Takeoff'!C557</f>
        <v>AAA Batteries - Pack of 24</v>
      </c>
      <c r="D553" s="297" t="str">
        <f>'Inventory Takeoff'!D557</f>
        <v>Each</v>
      </c>
      <c r="E553" s="291">
        <f>'Inventory Takeoff'!G557</f>
        <v>11.45</v>
      </c>
    </row>
    <row r="554" spans="1:5" ht="15.5">
      <c r="A554" s="290">
        <f>'Inventory Takeoff'!B558</f>
        <v>553</v>
      </c>
      <c r="B554" s="290" t="e">
        <f t="shared" si="18"/>
        <v>#NAME?</v>
      </c>
      <c r="C554" s="295" t="str">
        <f>'Inventory Takeoff'!C558</f>
        <v>C Batteries - Pack of 12</v>
      </c>
      <c r="D554" s="297" t="str">
        <f>'Inventory Takeoff'!D558</f>
        <v>Each</v>
      </c>
      <c r="E554" s="291">
        <f>'Inventory Takeoff'!G558</f>
        <v>12.65</v>
      </c>
    </row>
    <row r="555" spans="1:5" ht="15.5">
      <c r="A555" s="290">
        <f>'Inventory Takeoff'!B559</f>
        <v>554</v>
      </c>
      <c r="B555" s="290" t="e">
        <f t="shared" si="18"/>
        <v>#NAME?</v>
      </c>
      <c r="C555" s="295" t="str">
        <f>'Inventory Takeoff'!C559</f>
        <v>Waffle Pad</v>
      </c>
      <c r="D555" s="297" t="str">
        <f>'Inventory Takeoff'!D559</f>
        <v>Each</v>
      </c>
      <c r="E555" s="291">
        <f>'Inventory Takeoff'!G559</f>
        <v>2.33</v>
      </c>
    </row>
    <row r="556" spans="1:5" ht="15.5">
      <c r="A556" s="290">
        <f>'Inventory Takeoff'!B560</f>
        <v>555</v>
      </c>
      <c r="B556" s="290" t="e">
        <f>IF(SUMIFS(Ancillary_Length,Ancillary_InventoryCode,A556,Ancillary_BoughtOut,"No")=0,"",SUMIFS(Ancillary_Length,Ancillary_InventoryCode,A556,Ancillary_BoughtOut,"No"))</f>
        <v>#NAME?</v>
      </c>
      <c r="C556" s="295" t="str">
        <f>'Inventory Takeoff'!C560</f>
        <v>D Batteries - Pack of 12</v>
      </c>
      <c r="D556" s="297" t="str">
        <f>'Inventory Takeoff'!D560</f>
        <v>Each</v>
      </c>
      <c r="E556" s="291">
        <f>'Inventory Takeoff'!G560</f>
        <v>18.399999999999999</v>
      </c>
    </row>
    <row r="557" spans="1:5" ht="15.5">
      <c r="A557" s="290">
        <f>'Inventory Takeoff'!B561</f>
        <v>556</v>
      </c>
      <c r="B557" s="290" t="e">
        <f>IF(SUMIFS(Ancillary_Length,Ancillary_InventoryCode,A557,Ancillary_BoughtOut,"No")=0,"",SUMIFS(Ancillary_Length,Ancillary_InventoryCode,A557,Ancillary_BoughtOut,"No"))</f>
        <v>#NAME?</v>
      </c>
      <c r="C557" s="295" t="str">
        <f>'Inventory Takeoff'!C561</f>
        <v>Blue Masking Tape</v>
      </c>
      <c r="D557" s="297" t="str">
        <f>'Inventory Takeoff'!D561</f>
        <v>Roll</v>
      </c>
      <c r="E557" s="291">
        <f>'Inventory Takeoff'!G561</f>
        <v>8.0500000000000007</v>
      </c>
    </row>
    <row r="558" spans="1:5" ht="15.5">
      <c r="A558" s="290">
        <f>'Inventory Takeoff'!B562</f>
        <v>557</v>
      </c>
      <c r="B558" s="290" t="e">
        <f>IF(SUMIFS(Ancillary_Length,Ancillary_InventoryCode,A558,Ancillary_BoughtOut,"No")=0,"",SUMIFS(Ancillary_Length,Ancillary_InventoryCode,A558,Ancillary_BoughtOut,"No"))</f>
        <v>#NAME?</v>
      </c>
      <c r="C558" s="295" t="str">
        <f>'Inventory Takeoff'!C562</f>
        <v>Nails 1 1/2 Roofing</v>
      </c>
      <c r="D558" s="297" t="str">
        <f>'Inventory Takeoff'!D562</f>
        <v>Lb</v>
      </c>
      <c r="E558" s="291">
        <f>'Inventory Takeoff'!G562</f>
        <v>0.73</v>
      </c>
    </row>
    <row r="559" spans="1:5" ht="15.5">
      <c r="A559" s="290">
        <f>'Inventory Takeoff'!B563</f>
        <v>558</v>
      </c>
      <c r="B559" s="290" t="e">
        <f>IF(SUMIFS(Ancillary_Length,Ancillary_InventoryCode,A559,Ancillary_BoughtOut,"No")=0,"",SUMIFS(Ancillary_Length,Ancillary_InventoryCode,A559,Ancillary_BoughtOut,"No"))</f>
        <v>#NAME?</v>
      </c>
      <c r="C559" s="295" t="str">
        <f>'Inventory Takeoff'!C563</f>
        <v>Nails 8 Penny gallon</v>
      </c>
      <c r="D559" s="297" t="str">
        <f>'Inventory Takeoff'!D563</f>
        <v>Lb</v>
      </c>
      <c r="E559" s="291">
        <f>'Inventory Takeoff'!G563</f>
        <v>0.82</v>
      </c>
    </row>
    <row r="560" spans="1:5" ht="15.5">
      <c r="A560" s="290">
        <f>'Inventory Takeoff'!B564</f>
        <v>559</v>
      </c>
      <c r="B560" s="290" t="e">
        <f>IF(SUMIFS(Ancillary_Length,Ancillary_InventoryCode,A560,Ancillary_BoughtOut,"No")=0,"",SUMIFS(Ancillary_Length,Ancillary_InventoryCode,A560,Ancillary_BoughtOut,"No"))</f>
        <v>#NAME?</v>
      </c>
      <c r="C560" s="295" t="str">
        <f>'Inventory Takeoff'!C564</f>
        <v>Nails 16 Penny gallon</v>
      </c>
      <c r="D560" s="297" t="str">
        <f>'Inventory Takeoff'!D564</f>
        <v>Lb</v>
      </c>
      <c r="E560" s="291">
        <f>'Inventory Takeoff'!G564</f>
        <v>0.67999999999999994</v>
      </c>
    </row>
    <row r="561" spans="1:5" ht="15.5">
      <c r="A561" s="290">
        <f>'Inventory Takeoff'!B565</f>
        <v>560</v>
      </c>
      <c r="B561" s="290" t="e">
        <f>IF(SUMIFS(Ancillary_Length,Ancillary_InventoryCode,A561,Ancillary_BoughtOut,"No")=0,"",SUMIFS(Ancillary_Length,Ancillary_InventoryCode,A561,Ancillary_BoughtOut,"No"))</f>
        <v>#NAME?</v>
      </c>
      <c r="C561" s="295" t="str">
        <f>'Inventory Takeoff'!C565</f>
        <v>Tool Charge</v>
      </c>
      <c r="D561" s="297" t="str">
        <f>'Inventory Takeoff'!D565</f>
        <v>Each</v>
      </c>
      <c r="E561" s="291">
        <f>'Inventory Takeoff'!G565</f>
        <v>0</v>
      </c>
    </row>
    <row r="562" spans="1:5" ht="15.5">
      <c r="A562" s="290">
        <f>'Inventory Takeoff'!B566</f>
        <v>561</v>
      </c>
      <c r="B562" s="290" t="e">
        <f t="shared" ref="B562:B571" si="19">IF(SUMIFS(Ancillary_Qty,Ancillary_InventoryCode,A562,Ancillary_BoughtOut,"No",Ancillary_Spool,"&lt;&gt;"&amp;"")=0,"",SUMIFS(Ancillary_Qty,Ancillary_InventoryCode,A562,Ancillary_BoughtOut,"No",Ancillary_Spool,"&lt;&gt;"&amp;""))</f>
        <v>#NAME?</v>
      </c>
      <c r="C562" s="295" t="str">
        <f>'Inventory Takeoff'!C566</f>
        <v>Nuts 1/4</v>
      </c>
      <c r="D562" s="297" t="str">
        <f>'Inventory Takeoff'!D566</f>
        <v>Each</v>
      </c>
      <c r="E562" s="291">
        <f>'Inventory Takeoff'!G566</f>
        <v>0.03</v>
      </c>
    </row>
    <row r="563" spans="1:5" ht="15.5">
      <c r="A563" s="290">
        <f>'Inventory Takeoff'!B567</f>
        <v>562</v>
      </c>
      <c r="B563" s="290" t="e">
        <f t="shared" si="19"/>
        <v>#NAME?</v>
      </c>
      <c r="C563" s="295" t="str">
        <f>'Inventory Takeoff'!C567</f>
        <v>Nuts 5/16</v>
      </c>
      <c r="D563" s="297" t="str">
        <f>'Inventory Takeoff'!D567</f>
        <v>Each</v>
      </c>
      <c r="E563" s="291">
        <f>'Inventory Takeoff'!G567</f>
        <v>0.04</v>
      </c>
    </row>
    <row r="564" spans="1:5" ht="15.5">
      <c r="A564" s="290">
        <f>'Inventory Takeoff'!B568</f>
        <v>563</v>
      </c>
      <c r="B564" s="290" t="e">
        <f t="shared" si="19"/>
        <v>#NAME?</v>
      </c>
      <c r="C564" s="295" t="str">
        <f>'Inventory Takeoff'!C568</f>
        <v>Nuts 3/8</v>
      </c>
      <c r="D564" s="297" t="str">
        <f>'Inventory Takeoff'!D568</f>
        <v>Each</v>
      </c>
      <c r="E564" s="291">
        <f>'Inventory Takeoff'!G568</f>
        <v>0.05</v>
      </c>
    </row>
    <row r="565" spans="1:5" ht="15.5">
      <c r="A565" s="290">
        <f>'Inventory Takeoff'!B569</f>
        <v>564</v>
      </c>
      <c r="B565" s="290" t="e">
        <f t="shared" si="19"/>
        <v>#NAME?</v>
      </c>
      <c r="C565" s="295" t="str">
        <f>'Inventory Takeoff'!C569</f>
        <v>Nuts 1/2</v>
      </c>
      <c r="D565" s="297" t="str">
        <f>'Inventory Takeoff'!D569</f>
        <v>Each</v>
      </c>
      <c r="E565" s="291">
        <f>'Inventory Takeoff'!G569</f>
        <v>0.13999999999999999</v>
      </c>
    </row>
    <row r="566" spans="1:5" ht="15.5">
      <c r="A566" s="290">
        <f>'Inventory Takeoff'!B570</f>
        <v>565</v>
      </c>
      <c r="B566" s="290" t="e">
        <f t="shared" si="19"/>
        <v>#NAME?</v>
      </c>
      <c r="C566" s="295" t="str">
        <f>'Inventory Takeoff'!C570</f>
        <v>Nuts 5/8</v>
      </c>
      <c r="D566" s="297" t="str">
        <f>'Inventory Takeoff'!D570</f>
        <v>Each</v>
      </c>
      <c r="E566" s="291">
        <f>'Inventory Takeoff'!G570</f>
        <v>0.23</v>
      </c>
    </row>
    <row r="567" spans="1:5" ht="15.5">
      <c r="A567" s="290">
        <f>'Inventory Takeoff'!B571</f>
        <v>566</v>
      </c>
      <c r="B567" s="290" t="e">
        <f t="shared" si="19"/>
        <v>#NAME?</v>
      </c>
      <c r="C567" s="295" t="str">
        <f>'Inventory Takeoff'!C571</f>
        <v>Nuts 3/4</v>
      </c>
      <c r="D567" s="297" t="str">
        <f>'Inventory Takeoff'!D571</f>
        <v>Each</v>
      </c>
      <c r="E567" s="291">
        <f>'Inventory Takeoff'!G571</f>
        <v>0.36</v>
      </c>
    </row>
    <row r="568" spans="1:5" ht="15.5">
      <c r="A568" s="290">
        <f>'Inventory Takeoff'!B572</f>
        <v>567</v>
      </c>
      <c r="B568" s="290" t="e">
        <f t="shared" si="19"/>
        <v>#NAME?</v>
      </c>
      <c r="C568" s="295" t="str">
        <f>'Inventory Takeoff'!C572</f>
        <v>Nuts 1/4 Stainless Steel</v>
      </c>
      <c r="D568" s="297" t="str">
        <f>'Inventory Takeoff'!D572</f>
        <v>Each</v>
      </c>
      <c r="E568" s="291">
        <f>'Inventory Takeoff'!G572</f>
        <v>0.1</v>
      </c>
    </row>
    <row r="569" spans="1:5" ht="15.5">
      <c r="A569" s="290">
        <f>'Inventory Takeoff'!B573</f>
        <v>568</v>
      </c>
      <c r="B569" s="290" t="e">
        <f t="shared" si="19"/>
        <v>#NAME?</v>
      </c>
      <c r="C569" s="295" t="str">
        <f>'Inventory Takeoff'!C573</f>
        <v>Nuts 5/16 Stainless Steel</v>
      </c>
      <c r="D569" s="297" t="str">
        <f>'Inventory Takeoff'!D573</f>
        <v>Each</v>
      </c>
      <c r="E569" s="291">
        <f>'Inventory Takeoff'!G573</f>
        <v>0.13</v>
      </c>
    </row>
    <row r="570" spans="1:5" ht="15.5">
      <c r="A570" s="290">
        <f>'Inventory Takeoff'!B574</f>
        <v>569</v>
      </c>
      <c r="B570" s="290" t="e">
        <f t="shared" si="19"/>
        <v>#NAME?</v>
      </c>
      <c r="C570" s="295" t="str">
        <f>'Inventory Takeoff'!C574</f>
        <v>Nuts 3/8 Stainless Steel</v>
      </c>
      <c r="D570" s="297" t="str">
        <f>'Inventory Takeoff'!D574</f>
        <v>Each</v>
      </c>
      <c r="E570" s="291">
        <f>'Inventory Takeoff'!G574</f>
        <v>0.18</v>
      </c>
    </row>
    <row r="571" spans="1:5" ht="15.5">
      <c r="A571" s="290">
        <f>'Inventory Takeoff'!B575</f>
        <v>570</v>
      </c>
      <c r="B571" s="290" t="e">
        <f t="shared" si="19"/>
        <v>#NAME?</v>
      </c>
      <c r="C571" s="295" t="str">
        <f>'Inventory Takeoff'!C575</f>
        <v>Nuts 1/2 Stainless Steel</v>
      </c>
      <c r="D571" s="297" t="str">
        <f>'Inventory Takeoff'!D575</f>
        <v>Each</v>
      </c>
      <c r="E571" s="291">
        <f>'Inventory Takeoff'!G575</f>
        <v>0.33</v>
      </c>
    </row>
    <row r="572" spans="1:5" ht="15.5">
      <c r="A572" s="290">
        <f>'Inventory Takeoff'!B576</f>
        <v>571</v>
      </c>
      <c r="B572" s="290" t="e">
        <f>IF(SUMIFS(Ancillary_Qty,Ancillary_InventoryCode,A572,Ancillary_BoughtOut,"No")=0,"",SUMIFS(Ancillary_Qty,Ancillary_InventoryCode,A572,Ancillary_BoughtOut,"No"))</f>
        <v>#NAME?</v>
      </c>
      <c r="C572" s="295" t="str">
        <f>'Inventory Takeoff'!C576</f>
        <v>Spray Paint</v>
      </c>
      <c r="D572" s="297" t="str">
        <f>'Inventory Takeoff'!D576</f>
        <v>Each</v>
      </c>
      <c r="E572" s="291">
        <f>'Inventory Takeoff'!G576</f>
        <v>6.7799999999999994</v>
      </c>
    </row>
    <row r="573" spans="1:5" ht="15.5">
      <c r="A573" s="290">
        <f>'Inventory Takeoff'!B577</f>
        <v>572</v>
      </c>
      <c r="B573" s="290"/>
      <c r="C573" s="295" t="str">
        <f>'Inventory Takeoff'!C577</f>
        <v>Not Used</v>
      </c>
      <c r="D573" s="297">
        <f>'Inventory Takeoff'!D577</f>
        <v>0</v>
      </c>
      <c r="E573" s="291">
        <f>'Inventory Takeoff'!G577</f>
        <v>0</v>
      </c>
    </row>
    <row r="574" spans="1:5" ht="15.5">
      <c r="A574" s="290">
        <f>'Inventory Takeoff'!B578</f>
        <v>573</v>
      </c>
      <c r="B574" s="290" t="e">
        <f>IF(SUMIFS(Ancillary_Qty,Ancillary_InventoryCode,A574,Ancillary_BoughtOut,"No")=0,"",SUMIFS(Ancillary_Qty,Ancillary_InventoryCode,A574,Ancillary_BoughtOut,"No"))</f>
        <v>#NAME?</v>
      </c>
      <c r="C574" s="295" t="str">
        <f>'Inventory Takeoff'!C578</f>
        <v>Goof Off</v>
      </c>
      <c r="D574" s="297" t="str">
        <f>'Inventory Takeoff'!D578</f>
        <v>Each</v>
      </c>
      <c r="E574" s="291">
        <f>'Inventory Takeoff'!G578</f>
        <v>5.5</v>
      </c>
    </row>
    <row r="575" spans="1:5" ht="15.5">
      <c r="A575" s="290">
        <f>'Inventory Takeoff'!B579</f>
        <v>574</v>
      </c>
      <c r="B575" s="290"/>
      <c r="C575" s="295" t="str">
        <f>'Inventory Takeoff'!C579</f>
        <v>Not Used</v>
      </c>
      <c r="D575" s="297">
        <f>'Inventory Takeoff'!D579</f>
        <v>0</v>
      </c>
      <c r="E575" s="291">
        <f>'Inventory Takeoff'!G579</f>
        <v>0</v>
      </c>
    </row>
    <row r="576" spans="1:5" ht="15.5">
      <c r="A576" s="290">
        <f>'Inventory Takeoff'!B580</f>
        <v>575</v>
      </c>
      <c r="B576" s="290" t="e">
        <f>IF(SUMIFS(Ancillary_Qty,Ancillary_InventoryCode,A576,Ancillary_BoughtOut,"No")=0,"",SUMIFS(Ancillary_Qty,Ancillary_InventoryCode,A576,Ancillary_BoughtOut,"No"))</f>
        <v>#NAME?</v>
      </c>
      <c r="C576" s="295" t="str">
        <f>'Inventory Takeoff'!C580</f>
        <v>Panduit Straps</v>
      </c>
      <c r="D576" s="297" t="str">
        <f>'Inventory Takeoff'!D580</f>
        <v>Each</v>
      </c>
      <c r="E576" s="291">
        <f>'Inventory Takeoff'!G580</f>
        <v>0.43</v>
      </c>
    </row>
    <row r="577" spans="1:5" ht="15.5">
      <c r="A577" s="290">
        <f>'Inventory Takeoff'!B581</f>
        <v>576</v>
      </c>
      <c r="B577" s="290" t="e">
        <f t="shared" ref="B577:B599" si="20">IF(SUMIFS(Ancillary_Length,Ancillary_InventoryCode,A577,Ancillary_BoughtOut,"No")=0,"",SUMIFS(Ancillary_Length,Ancillary_InventoryCode,A577,Ancillary_BoughtOut,"No"))</f>
        <v>#NAME?</v>
      </c>
      <c r="C577" s="295" t="str">
        <f>'Inventory Takeoff'!C581</f>
        <v>Piano Hinge 1"</v>
      </c>
      <c r="D577" s="297" t="str">
        <f>'Inventory Takeoff'!D581</f>
        <v>Foot</v>
      </c>
      <c r="E577" s="291">
        <f>'Inventory Takeoff'!G581</f>
        <v>0.61</v>
      </c>
    </row>
    <row r="578" spans="1:5" ht="15.5">
      <c r="A578" s="290">
        <f>'Inventory Takeoff'!B582</f>
        <v>577</v>
      </c>
      <c r="B578" s="290" t="e">
        <f t="shared" si="20"/>
        <v>#NAME?</v>
      </c>
      <c r="C578" s="295" t="str">
        <f>'Inventory Takeoff'!C582</f>
        <v>Piano Hinge 1 1/2"</v>
      </c>
      <c r="D578" s="297" t="str">
        <f>'Inventory Takeoff'!D582</f>
        <v>Foot</v>
      </c>
      <c r="E578" s="291">
        <f>'Inventory Takeoff'!G582</f>
        <v>1.51</v>
      </c>
    </row>
    <row r="579" spans="1:5" ht="15.5">
      <c r="A579" s="290">
        <f>'Inventory Takeoff'!B583</f>
        <v>578</v>
      </c>
      <c r="B579" s="290"/>
      <c r="C579" s="295" t="str">
        <f>'Inventory Takeoff'!C583</f>
        <v>Not Used</v>
      </c>
      <c r="D579" s="297">
        <f>'Inventory Takeoff'!D583</f>
        <v>0</v>
      </c>
      <c r="E579" s="291">
        <f>'Inventory Takeoff'!G583</f>
        <v>0</v>
      </c>
    </row>
    <row r="580" spans="1:5" ht="15.5">
      <c r="A580" s="290">
        <f>'Inventory Takeoff'!B584</f>
        <v>579</v>
      </c>
      <c r="B580" s="290"/>
      <c r="C580" s="295" t="str">
        <f>'Inventory Takeoff'!C584</f>
        <v>Not Used</v>
      </c>
      <c r="D580" s="297">
        <f>'Inventory Takeoff'!D584</f>
        <v>0</v>
      </c>
      <c r="E580" s="291">
        <f>'Inventory Takeoff'!G584</f>
        <v>0</v>
      </c>
    </row>
    <row r="581" spans="1:5" ht="15.5">
      <c r="A581" s="290">
        <f>'Inventory Takeoff'!B585</f>
        <v>580</v>
      </c>
      <c r="B581" s="290"/>
      <c r="C581" s="295" t="str">
        <f>'Inventory Takeoff'!C585</f>
        <v>Not Used</v>
      </c>
      <c r="D581" s="297">
        <f>'Inventory Takeoff'!D585</f>
        <v>0</v>
      </c>
      <c r="E581" s="291">
        <f>'Inventory Takeoff'!G585</f>
        <v>0</v>
      </c>
    </row>
    <row r="582" spans="1:5" ht="15.5">
      <c r="A582" s="290">
        <f>'Inventory Takeoff'!B586</f>
        <v>581</v>
      </c>
      <c r="B582" s="290"/>
      <c r="C582" s="295" t="str">
        <f>'Inventory Takeoff'!C586</f>
        <v>Not Used</v>
      </c>
      <c r="D582" s="297">
        <f>'Inventory Takeoff'!D586</f>
        <v>0</v>
      </c>
      <c r="E582" s="291">
        <f>'Inventory Takeoff'!G586</f>
        <v>0</v>
      </c>
    </row>
    <row r="583" spans="1:5" ht="15.5">
      <c r="A583" s="290">
        <f>'Inventory Takeoff'!B587</f>
        <v>582</v>
      </c>
      <c r="B583" s="290"/>
      <c r="C583" s="295" t="str">
        <f>'Inventory Takeoff'!C587</f>
        <v>Not Used</v>
      </c>
      <c r="D583" s="297">
        <f>'Inventory Takeoff'!D587</f>
        <v>0</v>
      </c>
      <c r="E583" s="291">
        <f>'Inventory Takeoff'!G587</f>
        <v>0</v>
      </c>
    </row>
    <row r="584" spans="1:5" ht="15.5">
      <c r="A584" s="290">
        <f>'Inventory Takeoff'!B588</f>
        <v>583</v>
      </c>
      <c r="B584" s="290" t="e">
        <f t="shared" si="20"/>
        <v>#NAME?</v>
      </c>
      <c r="C584" s="295" t="str">
        <f>'Inventory Takeoff'!C588</f>
        <v>3" Snap Lock Pipe</v>
      </c>
      <c r="D584" s="297" t="str">
        <f>'Inventory Takeoff'!D588</f>
        <v>Foot</v>
      </c>
      <c r="E584" s="291">
        <f>'Inventory Takeoff'!G588</f>
        <v>2.29</v>
      </c>
    </row>
    <row r="585" spans="1:5" ht="15.5">
      <c r="A585" s="290">
        <f>'Inventory Takeoff'!B589</f>
        <v>584</v>
      </c>
      <c r="B585" s="290" t="e">
        <f t="shared" si="20"/>
        <v>#NAME?</v>
      </c>
      <c r="C585" s="295" t="str">
        <f>'Inventory Takeoff'!C589</f>
        <v>4" Snap Lock Pipe</v>
      </c>
      <c r="D585" s="297" t="str">
        <f>'Inventory Takeoff'!D589</f>
        <v>Foot</v>
      </c>
      <c r="E585" s="291">
        <f>'Inventory Takeoff'!G589</f>
        <v>3.31</v>
      </c>
    </row>
    <row r="586" spans="1:5" ht="15.5">
      <c r="A586" s="290">
        <f>'Inventory Takeoff'!B590</f>
        <v>585</v>
      </c>
      <c r="B586" s="290" t="e">
        <f t="shared" si="20"/>
        <v>#NAME?</v>
      </c>
      <c r="C586" s="295" t="str">
        <f>'Inventory Takeoff'!C590</f>
        <v>5" Snap Lock Pipe</v>
      </c>
      <c r="D586" s="297" t="str">
        <f>'Inventory Takeoff'!D590</f>
        <v>Foot</v>
      </c>
      <c r="E586" s="291">
        <f>'Inventory Takeoff'!G590</f>
        <v>3.79</v>
      </c>
    </row>
    <row r="587" spans="1:5" ht="15.5">
      <c r="A587" s="290">
        <f>'Inventory Takeoff'!B591</f>
        <v>586</v>
      </c>
      <c r="B587" s="290" t="e">
        <f t="shared" si="20"/>
        <v>#NAME?</v>
      </c>
      <c r="C587" s="295" t="str">
        <f>'Inventory Takeoff'!C591</f>
        <v>6" Snap Lock Pipe</v>
      </c>
      <c r="D587" s="297" t="str">
        <f>'Inventory Takeoff'!D591</f>
        <v>Foot</v>
      </c>
      <c r="E587" s="291">
        <f>'Inventory Takeoff'!G591</f>
        <v>4.08</v>
      </c>
    </row>
    <row r="588" spans="1:5" ht="15.5">
      <c r="A588" s="290">
        <f>'Inventory Takeoff'!B592</f>
        <v>587</v>
      </c>
      <c r="B588" s="290" t="e">
        <f t="shared" si="20"/>
        <v>#NAME?</v>
      </c>
      <c r="C588" s="295" t="str">
        <f>'Inventory Takeoff'!C592</f>
        <v>7" Snap Lock Pipe</v>
      </c>
      <c r="D588" s="297" t="str">
        <f>'Inventory Takeoff'!D592</f>
        <v>Foot</v>
      </c>
      <c r="E588" s="291">
        <f>'Inventory Takeoff'!G592</f>
        <v>4.72</v>
      </c>
    </row>
    <row r="589" spans="1:5" ht="15.5">
      <c r="A589" s="290">
        <f>'Inventory Takeoff'!B593</f>
        <v>588</v>
      </c>
      <c r="B589" s="290" t="e">
        <f t="shared" si="20"/>
        <v>#NAME?</v>
      </c>
      <c r="C589" s="295" t="str">
        <f>'Inventory Takeoff'!C593</f>
        <v>8" Snap Lock Pipe</v>
      </c>
      <c r="D589" s="297" t="str">
        <f>'Inventory Takeoff'!D593</f>
        <v>Foot</v>
      </c>
      <c r="E589" s="291">
        <f>'Inventory Takeoff'!G593</f>
        <v>5.43</v>
      </c>
    </row>
    <row r="590" spans="1:5" ht="15.5">
      <c r="A590" s="290">
        <f>'Inventory Takeoff'!B594</f>
        <v>589</v>
      </c>
      <c r="B590" s="290" t="e">
        <f t="shared" si="20"/>
        <v>#NAME?</v>
      </c>
      <c r="C590" s="295" t="str">
        <f>'Inventory Takeoff'!C594</f>
        <v>9" Snap Lock Pipe</v>
      </c>
      <c r="D590" s="297" t="str">
        <f>'Inventory Takeoff'!D594</f>
        <v>Foot</v>
      </c>
      <c r="E590" s="291">
        <f>'Inventory Takeoff'!G594</f>
        <v>6.36</v>
      </c>
    </row>
    <row r="591" spans="1:5" ht="15.5">
      <c r="A591" s="290">
        <f>'Inventory Takeoff'!B595</f>
        <v>590</v>
      </c>
      <c r="B591" s="290" t="e">
        <f t="shared" si="20"/>
        <v>#NAME?</v>
      </c>
      <c r="C591" s="295" t="str">
        <f>'Inventory Takeoff'!C595</f>
        <v>10" Snap Lock Pipe</v>
      </c>
      <c r="D591" s="297" t="str">
        <f>'Inventory Takeoff'!D595</f>
        <v>Foot</v>
      </c>
      <c r="E591" s="291">
        <f>'Inventory Takeoff'!G595</f>
        <v>6.63</v>
      </c>
    </row>
    <row r="592" spans="1:5" ht="15.5">
      <c r="A592" s="290">
        <f>'Inventory Takeoff'!B596</f>
        <v>591</v>
      </c>
      <c r="B592" s="290" t="e">
        <f t="shared" si="20"/>
        <v>#NAME?</v>
      </c>
      <c r="C592" s="295" t="str">
        <f>'Inventory Takeoff'!C596</f>
        <v>12" Snap Lock Pipe</v>
      </c>
      <c r="D592" s="297" t="str">
        <f>'Inventory Takeoff'!D596</f>
        <v>Foot</v>
      </c>
      <c r="E592" s="291">
        <f>'Inventory Takeoff'!G596</f>
        <v>7.84</v>
      </c>
    </row>
    <row r="593" spans="1:5" ht="15.5">
      <c r="A593" s="290">
        <f>'Inventory Takeoff'!B597</f>
        <v>592</v>
      </c>
      <c r="B593" s="290" t="e">
        <f t="shared" si="20"/>
        <v>#NAME?</v>
      </c>
      <c r="C593" s="295" t="str">
        <f>'Inventory Takeoff'!C597</f>
        <v>14" Snap Lock Pipe</v>
      </c>
      <c r="D593" s="297" t="str">
        <f>'Inventory Takeoff'!D597</f>
        <v>Foot</v>
      </c>
      <c r="E593" s="291">
        <f>'Inventory Takeoff'!G597</f>
        <v>9.68</v>
      </c>
    </row>
    <row r="594" spans="1:5" ht="15.5">
      <c r="A594" s="290">
        <f>'Inventory Takeoff'!B598</f>
        <v>593</v>
      </c>
      <c r="B594" s="290" t="e">
        <f t="shared" si="20"/>
        <v>#NAME?</v>
      </c>
      <c r="C594" s="295" t="str">
        <f>'Inventory Takeoff'!C598</f>
        <v>16" Snap Lock Pipe</v>
      </c>
      <c r="D594" s="297" t="str">
        <f>'Inventory Takeoff'!D598</f>
        <v>Foot</v>
      </c>
      <c r="E594" s="291">
        <f>'Inventory Takeoff'!G598</f>
        <v>12.29</v>
      </c>
    </row>
    <row r="595" spans="1:5" ht="15.5">
      <c r="A595" s="290">
        <f>'Inventory Takeoff'!B599</f>
        <v>594</v>
      </c>
      <c r="B595" s="290" t="e">
        <f t="shared" si="20"/>
        <v>#NAME?</v>
      </c>
      <c r="C595" s="295" t="str">
        <f>'Inventory Takeoff'!C599</f>
        <v>18" Snap Lock Pipe</v>
      </c>
      <c r="D595" s="297" t="str">
        <f>'Inventory Takeoff'!D599</f>
        <v>Foot</v>
      </c>
      <c r="E595" s="291">
        <f>'Inventory Takeoff'!G599</f>
        <v>18.549999999999997</v>
      </c>
    </row>
    <row r="596" spans="1:5" ht="15.5">
      <c r="A596" s="290">
        <f>'Inventory Takeoff'!B600</f>
        <v>595</v>
      </c>
      <c r="B596" s="290" t="e">
        <f t="shared" si="20"/>
        <v>#NAME?</v>
      </c>
      <c r="C596" s="295" t="str">
        <f>'Inventory Takeoff'!C600</f>
        <v>20" Snap Lock Pipe</v>
      </c>
      <c r="D596" s="297" t="str">
        <f>'Inventory Takeoff'!D600</f>
        <v>Foot</v>
      </c>
      <c r="E596" s="291">
        <f>'Inventory Takeoff'!G600</f>
        <v>23.21</v>
      </c>
    </row>
    <row r="597" spans="1:5" ht="15.5">
      <c r="A597" s="290">
        <f>'Inventory Takeoff'!B601</f>
        <v>596</v>
      </c>
      <c r="B597" s="290" t="e">
        <f t="shared" si="20"/>
        <v>#NAME?</v>
      </c>
      <c r="C597" s="295" t="str">
        <f>'Inventory Takeoff'!C601</f>
        <v>22" Snap Lock Pipe</v>
      </c>
      <c r="D597" s="297" t="str">
        <f>'Inventory Takeoff'!D601</f>
        <v>Foot</v>
      </c>
      <c r="E597" s="291">
        <f>'Inventory Takeoff'!G601</f>
        <v>25.75</v>
      </c>
    </row>
    <row r="598" spans="1:5" ht="15.5">
      <c r="A598" s="290">
        <f>'Inventory Takeoff'!B602</f>
        <v>597</v>
      </c>
      <c r="B598" s="290" t="e">
        <f t="shared" si="20"/>
        <v>#NAME?</v>
      </c>
      <c r="C598" s="295" t="str">
        <f>'Inventory Takeoff'!C602</f>
        <v>24" Snap Lock Pipe</v>
      </c>
      <c r="D598" s="297" t="str">
        <f>'Inventory Takeoff'!D602</f>
        <v>Foot</v>
      </c>
      <c r="E598" s="291">
        <f>'Inventory Takeoff'!G602</f>
        <v>29.16</v>
      </c>
    </row>
    <row r="599" spans="1:5" ht="15.5">
      <c r="A599" s="290">
        <f>'Inventory Takeoff'!B603</f>
        <v>598</v>
      </c>
      <c r="B599" s="290" t="e">
        <f t="shared" si="20"/>
        <v>#NAME?</v>
      </c>
      <c r="C599" s="295" t="str">
        <f>'Inventory Takeoff'!C603</f>
        <v>Plaster Ground</v>
      </c>
      <c r="D599" s="297" t="str">
        <f>'Inventory Takeoff'!D603</f>
        <v>Foot</v>
      </c>
      <c r="E599" s="291">
        <f>'Inventory Takeoff'!G603</f>
        <v>1.95</v>
      </c>
    </row>
    <row r="600" spans="1:5" ht="15.5">
      <c r="A600" s="290">
        <f>'Inventory Takeoff'!B604</f>
        <v>599</v>
      </c>
      <c r="B600" s="290" t="e">
        <f t="shared" ref="B600:B606" si="21">IF(SUMIFS(Ancillary_Qty,Ancillary_InventoryCode,A600,Ancillary_BoughtOut,"No")=0,"",SUMIFS(Ancillary_Qty,Ancillary_InventoryCode,A600,Ancillary_BoughtOut,"No",Ancillary_Spool,"&lt;&gt;"&amp;""))</f>
        <v>#NAME?</v>
      </c>
      <c r="C600" s="295" t="str">
        <f>'Inventory Takeoff'!C604</f>
        <v>Pop Rivits Galvanized 1/8</v>
      </c>
      <c r="D600" s="297" t="str">
        <f>'Inventory Takeoff'!D604</f>
        <v>Each</v>
      </c>
      <c r="E600" s="291">
        <f>'Inventory Takeoff'!G604</f>
        <v>0.12000000000000001</v>
      </c>
    </row>
    <row r="601" spans="1:5" ht="15.5">
      <c r="A601" s="290">
        <f>'Inventory Takeoff'!B605</f>
        <v>600</v>
      </c>
      <c r="B601" s="290" t="e">
        <f t="shared" si="21"/>
        <v>#NAME?</v>
      </c>
      <c r="C601" s="295" t="str">
        <f>'Inventory Takeoff'!C605</f>
        <v>Pop Rivits Stainless Steel 1/8</v>
      </c>
      <c r="D601" s="297" t="str">
        <f>'Inventory Takeoff'!D605</f>
        <v>Each</v>
      </c>
      <c r="E601" s="291">
        <f>'Inventory Takeoff'!G605</f>
        <v>6.0000000000000005E-2</v>
      </c>
    </row>
    <row r="602" spans="1:5" ht="15.5">
      <c r="A602" s="290">
        <f>'Inventory Takeoff'!B606</f>
        <v>601</v>
      </c>
      <c r="B602" s="290" t="e">
        <f t="shared" si="21"/>
        <v>#NAME?</v>
      </c>
      <c r="C602" s="295" t="str">
        <f>'Inventory Takeoff'!C606</f>
        <v>Pop Rivits Aluminum 1/8</v>
      </c>
      <c r="D602" s="297" t="str">
        <f>'Inventory Takeoff'!D606</f>
        <v>Each</v>
      </c>
      <c r="E602" s="291">
        <f>'Inventory Takeoff'!G606</f>
        <v>0.04</v>
      </c>
    </row>
    <row r="603" spans="1:5" ht="15.5">
      <c r="A603" s="290">
        <f>'Inventory Takeoff'!B607</f>
        <v>602</v>
      </c>
      <c r="B603" s="290" t="e">
        <f t="shared" si="21"/>
        <v>#NAME?</v>
      </c>
      <c r="C603" s="295" t="str">
        <f>'Inventory Takeoff'!C607</f>
        <v>Pop Rivits Copper 1/8</v>
      </c>
      <c r="D603" s="297" t="str">
        <f>'Inventory Takeoff'!D607</f>
        <v>Each</v>
      </c>
      <c r="E603" s="291">
        <f>'Inventory Takeoff'!G607</f>
        <v>0.35</v>
      </c>
    </row>
    <row r="604" spans="1:5" ht="15.5">
      <c r="A604" s="290">
        <f>'Inventory Takeoff'!B608</f>
        <v>603</v>
      </c>
      <c r="B604" s="290" t="e">
        <f t="shared" si="21"/>
        <v>#NAME?</v>
      </c>
      <c r="C604" s="295" t="str">
        <f>'Inventory Takeoff'!C608</f>
        <v>Pop Rivits White 1/8</v>
      </c>
      <c r="D604" s="297" t="str">
        <f>'Inventory Takeoff'!D608</f>
        <v>Each</v>
      </c>
      <c r="E604" s="291">
        <f>'Inventory Takeoff'!G608</f>
        <v>0.5</v>
      </c>
    </row>
    <row r="605" spans="1:5" ht="15.5">
      <c r="A605" s="290">
        <f>'Inventory Takeoff'!B609</f>
        <v>604</v>
      </c>
      <c r="B605" s="290" t="e">
        <f t="shared" si="21"/>
        <v>#NAME?</v>
      </c>
      <c r="C605" s="295" t="str">
        <f>'Inventory Takeoff'!C609</f>
        <v>Pop Rivits Galvanized 3/16</v>
      </c>
      <c r="D605" s="297" t="str">
        <f>'Inventory Takeoff'!D609</f>
        <v>Each</v>
      </c>
      <c r="E605" s="291">
        <f>'Inventory Takeoff'!G609</f>
        <v>0.05</v>
      </c>
    </row>
    <row r="606" spans="1:5" ht="15.5">
      <c r="A606" s="290">
        <f>'Inventory Takeoff'!B610</f>
        <v>605</v>
      </c>
      <c r="B606" s="290" t="e">
        <f t="shared" si="21"/>
        <v>#NAME?</v>
      </c>
      <c r="C606" s="295" t="str">
        <f>'Inventory Takeoff'!C610</f>
        <v>Pop Rivits Stainless Steel 3/16</v>
      </c>
      <c r="D606" s="297" t="str">
        <f>'Inventory Takeoff'!D610</f>
        <v>Each</v>
      </c>
      <c r="E606" s="291">
        <f>'Inventory Takeoff'!G610</f>
        <v>0.2</v>
      </c>
    </row>
    <row r="607" spans="1:5" ht="15.5">
      <c r="A607" s="290">
        <f>'Inventory Takeoff'!B611</f>
        <v>606</v>
      </c>
      <c r="B607" s="290" t="e">
        <f>IF(SUMIFS(Ancillary_Qty,Ancillary_InventoryCode,A607,Ancillary_BoughtOut,"No")=0,"",SUMIFS(Ancillary_Qty,Ancillary_InventoryCode,A607,Ancillary_BoughtOut,"No",Ancillary_Spool,"&lt;&gt;"&amp;""))</f>
        <v>#NAME?</v>
      </c>
      <c r="C607" s="295" t="str">
        <f>'Inventory Takeoff'!C611</f>
        <v>Not Used</v>
      </c>
      <c r="D607" s="297">
        <f>'Inventory Takeoff'!D611</f>
        <v>0</v>
      </c>
      <c r="E607" s="291">
        <f>'Inventory Takeoff'!G611</f>
        <v>0</v>
      </c>
    </row>
    <row r="608" spans="1:5" ht="15.5">
      <c r="A608" s="290">
        <f>'Inventory Takeoff'!B612</f>
        <v>607</v>
      </c>
      <c r="B608" s="290" t="e">
        <f t="shared" ref="B608:B617" si="22">IF(SUMIFS(Ancillary_Qty,Ancillary_InventoryCode,A608,Ancillary_BoughtOut,"No")=0,"",SUMIFS(Ancillary_Qty,Ancillary_InventoryCode,A608,Ancillary_BoughtOut,"No",Ancillary_Spool,"&lt;&gt;"&amp;""))</f>
        <v>#NAME?</v>
      </c>
      <c r="C608" s="295" t="str">
        <f>'Inventory Takeoff'!C612</f>
        <v>Not Used</v>
      </c>
      <c r="D608" s="297">
        <f>'Inventory Takeoff'!D612</f>
        <v>0</v>
      </c>
      <c r="E608" s="291">
        <f>'Inventory Takeoff'!G612</f>
        <v>0</v>
      </c>
    </row>
    <row r="609" spans="1:5" ht="15.5">
      <c r="A609" s="290">
        <f>'Inventory Takeoff'!B613</f>
        <v>608</v>
      </c>
      <c r="B609" s="290" t="e">
        <f t="shared" si="22"/>
        <v>#NAME?</v>
      </c>
      <c r="C609" s="295" t="str">
        <f>'Inventory Takeoff'!C613</f>
        <v>Not Used</v>
      </c>
      <c r="D609" s="297">
        <f>'Inventory Takeoff'!D613</f>
        <v>0</v>
      </c>
      <c r="E609" s="291">
        <f>'Inventory Takeoff'!G613</f>
        <v>0</v>
      </c>
    </row>
    <row r="610" spans="1:5" ht="15.5">
      <c r="A610" s="290">
        <f>'Inventory Takeoff'!B614</f>
        <v>609</v>
      </c>
      <c r="B610" s="290" t="e">
        <f t="shared" si="22"/>
        <v>#NAME?</v>
      </c>
      <c r="C610" s="295" t="str">
        <f>'Inventory Takeoff'!C614</f>
        <v>Not Used</v>
      </c>
      <c r="D610" s="297">
        <f>'Inventory Takeoff'!D614</f>
        <v>0</v>
      </c>
      <c r="E610" s="291">
        <f>'Inventory Takeoff'!G614</f>
        <v>0</v>
      </c>
    </row>
    <row r="611" spans="1:5" ht="15.5">
      <c r="A611" s="290">
        <f>'Inventory Takeoff'!B615</f>
        <v>610</v>
      </c>
      <c r="B611" s="290" t="e">
        <f t="shared" si="22"/>
        <v>#NAME?</v>
      </c>
      <c r="C611" s="295" t="str">
        <f>'Inventory Takeoff'!C615</f>
        <v>Not Used</v>
      </c>
      <c r="D611" s="297">
        <f>'Inventory Takeoff'!D615</f>
        <v>0</v>
      </c>
      <c r="E611" s="291">
        <f>'Inventory Takeoff'!G615</f>
        <v>0</v>
      </c>
    </row>
    <row r="612" spans="1:5" ht="15.5">
      <c r="A612" s="290">
        <f>'Inventory Takeoff'!B616</f>
        <v>611</v>
      </c>
      <c r="B612" s="290" t="e">
        <f t="shared" si="22"/>
        <v>#NAME?</v>
      </c>
      <c r="C612" s="295" t="str">
        <f>'Inventory Takeoff'!C616</f>
        <v>Not Used</v>
      </c>
      <c r="D612" s="297">
        <f>'Inventory Takeoff'!D616</f>
        <v>0</v>
      </c>
      <c r="E612" s="291">
        <f>'Inventory Takeoff'!G616</f>
        <v>0</v>
      </c>
    </row>
    <row r="613" spans="1:5" ht="15.5">
      <c r="A613" s="290">
        <f>'Inventory Takeoff'!B617</f>
        <v>612</v>
      </c>
      <c r="B613" s="290" t="e">
        <f t="shared" si="22"/>
        <v>#NAME?</v>
      </c>
      <c r="C613" s="295" t="str">
        <f>'Inventory Takeoff'!C617</f>
        <v>Not Used</v>
      </c>
      <c r="D613" s="297">
        <f>'Inventory Takeoff'!D617</f>
        <v>0</v>
      </c>
      <c r="E613" s="291">
        <f>'Inventory Takeoff'!G617</f>
        <v>0</v>
      </c>
    </row>
    <row r="614" spans="1:5" ht="15.5">
      <c r="A614" s="290">
        <f>'Inventory Takeoff'!B618</f>
        <v>613</v>
      </c>
      <c r="B614" s="290" t="e">
        <f t="shared" si="22"/>
        <v>#NAME?</v>
      </c>
      <c r="C614" s="295" t="str">
        <f>'Inventory Takeoff'!C618</f>
        <v>Not Used</v>
      </c>
      <c r="D614" s="297">
        <f>'Inventory Takeoff'!D618</f>
        <v>0</v>
      </c>
      <c r="E614" s="291">
        <f>'Inventory Takeoff'!G618</f>
        <v>0</v>
      </c>
    </row>
    <row r="615" spans="1:5" ht="15.5">
      <c r="A615" s="290">
        <f>'Inventory Takeoff'!B619</f>
        <v>614</v>
      </c>
      <c r="B615" s="290" t="e">
        <f t="shared" si="22"/>
        <v>#NAME?</v>
      </c>
      <c r="C615" s="295" t="str">
        <f>'Inventory Takeoff'!C619</f>
        <v>Not Used</v>
      </c>
      <c r="D615" s="297">
        <f>'Inventory Takeoff'!D619</f>
        <v>0</v>
      </c>
      <c r="E615" s="291">
        <f>'Inventory Takeoff'!G619</f>
        <v>0</v>
      </c>
    </row>
    <row r="616" spans="1:5" ht="15.5">
      <c r="A616" s="290">
        <f>'Inventory Takeoff'!B620</f>
        <v>615</v>
      </c>
      <c r="B616" s="290" t="e">
        <f t="shared" si="22"/>
        <v>#NAME?</v>
      </c>
      <c r="C616" s="295" t="str">
        <f>'Inventory Takeoff'!C620</f>
        <v>Not Used</v>
      </c>
      <c r="D616" s="297">
        <f>'Inventory Takeoff'!D620</f>
        <v>0</v>
      </c>
      <c r="E616" s="291">
        <f>'Inventory Takeoff'!G620</f>
        <v>0</v>
      </c>
    </row>
    <row r="617" spans="1:5" ht="15.5">
      <c r="A617" s="290">
        <f>'Inventory Takeoff'!B621</f>
        <v>616</v>
      </c>
      <c r="B617" s="290" t="e">
        <f t="shared" si="22"/>
        <v>#NAME?</v>
      </c>
      <c r="C617" s="295" t="str">
        <f>'Inventory Takeoff'!C621</f>
        <v>Not Used</v>
      </c>
      <c r="D617" s="297">
        <f>'Inventory Takeoff'!D621</f>
        <v>0</v>
      </c>
      <c r="E617" s="291">
        <f>'Inventory Takeoff'!G621</f>
        <v>0</v>
      </c>
    </row>
    <row r="618" spans="1:5" ht="15.5">
      <c r="A618" s="290">
        <f>'Inventory Takeoff'!B622</f>
        <v>617</v>
      </c>
      <c r="B618" s="290" t="e">
        <f t="shared" ref="B618:B628" si="23">IF(SUMIFS(Ancillary_Qty,Ancillary_InventoryCode,A618,Ancillary_BoughtOut,"No")=0,"",SUMIFS(Ancillary_Qty,Ancillary_InventoryCode,A618,Ancillary_BoughtOut,"No"))</f>
        <v>#NAME?</v>
      </c>
      <c r="C618" s="295" t="str">
        <f>'Inventory Takeoff'!C622</f>
        <v>3" Reducer</v>
      </c>
      <c r="D618" s="297" t="str">
        <f>'Inventory Takeoff'!D622</f>
        <v>Each</v>
      </c>
      <c r="E618" s="291">
        <f>'Inventory Takeoff'!G622</f>
        <v>5.47</v>
      </c>
    </row>
    <row r="619" spans="1:5" ht="15.5">
      <c r="A619" s="290">
        <f>'Inventory Takeoff'!B623</f>
        <v>618</v>
      </c>
      <c r="B619" s="290" t="e">
        <f t="shared" si="23"/>
        <v>#NAME?</v>
      </c>
      <c r="C619" s="295" t="str">
        <f>'Inventory Takeoff'!C623</f>
        <v>4" Reducer</v>
      </c>
      <c r="D619" s="297" t="str">
        <f>'Inventory Takeoff'!D623</f>
        <v>Each</v>
      </c>
      <c r="E619" s="291">
        <f>'Inventory Takeoff'!G623</f>
        <v>10.33</v>
      </c>
    </row>
    <row r="620" spans="1:5" ht="15.5">
      <c r="A620" s="290">
        <f>'Inventory Takeoff'!B624</f>
        <v>619</v>
      </c>
      <c r="B620" s="290" t="e">
        <f t="shared" si="23"/>
        <v>#NAME?</v>
      </c>
      <c r="C620" s="295" t="str">
        <f>'Inventory Takeoff'!C624</f>
        <v>5" Reducer</v>
      </c>
      <c r="D620" s="297" t="str">
        <f>'Inventory Takeoff'!D624</f>
        <v>Each</v>
      </c>
      <c r="E620" s="291">
        <f>'Inventory Takeoff'!G624</f>
        <v>10.42</v>
      </c>
    </row>
    <row r="621" spans="1:5" ht="15.5">
      <c r="A621" s="290">
        <f>'Inventory Takeoff'!B625</f>
        <v>620</v>
      </c>
      <c r="B621" s="290" t="e">
        <f t="shared" si="23"/>
        <v>#NAME?</v>
      </c>
      <c r="C621" s="295" t="str">
        <f>'Inventory Takeoff'!C625</f>
        <v>6" Reducer</v>
      </c>
      <c r="D621" s="297" t="str">
        <f>'Inventory Takeoff'!D625</f>
        <v>Each</v>
      </c>
      <c r="E621" s="291">
        <f>'Inventory Takeoff'!G625</f>
        <v>11.5</v>
      </c>
    </row>
    <row r="622" spans="1:5" ht="15.5">
      <c r="A622" s="290">
        <f>'Inventory Takeoff'!B626</f>
        <v>621</v>
      </c>
      <c r="B622" s="290" t="e">
        <f t="shared" si="23"/>
        <v>#NAME?</v>
      </c>
      <c r="C622" s="295" t="str">
        <f>'Inventory Takeoff'!C626</f>
        <v>7" Reducer</v>
      </c>
      <c r="D622" s="297" t="str">
        <f>'Inventory Takeoff'!D626</f>
        <v>Each</v>
      </c>
      <c r="E622" s="291">
        <f>'Inventory Takeoff'!G626</f>
        <v>12.78</v>
      </c>
    </row>
    <row r="623" spans="1:5" ht="15.5">
      <c r="A623" s="290">
        <f>'Inventory Takeoff'!B627</f>
        <v>622</v>
      </c>
      <c r="B623" s="290" t="e">
        <f t="shared" si="23"/>
        <v>#NAME?</v>
      </c>
      <c r="C623" s="295" t="str">
        <f>'Inventory Takeoff'!C627</f>
        <v>8" Reducer</v>
      </c>
      <c r="D623" s="297" t="str">
        <f>'Inventory Takeoff'!D627</f>
        <v>Each</v>
      </c>
      <c r="E623" s="291">
        <f>'Inventory Takeoff'!G627</f>
        <v>12.420000000000002</v>
      </c>
    </row>
    <row r="624" spans="1:5" ht="15.5">
      <c r="A624" s="290">
        <f>'Inventory Takeoff'!B628</f>
        <v>623</v>
      </c>
      <c r="B624" s="290" t="e">
        <f t="shared" si="23"/>
        <v>#NAME?</v>
      </c>
      <c r="C624" s="295" t="str">
        <f>'Inventory Takeoff'!C628</f>
        <v>9" Reducer</v>
      </c>
      <c r="D624" s="297" t="str">
        <f>'Inventory Takeoff'!D628</f>
        <v>Each</v>
      </c>
      <c r="E624" s="291">
        <f>'Inventory Takeoff'!G628</f>
        <v>16.940000000000001</v>
      </c>
    </row>
    <row r="625" spans="1:5" ht="15.5">
      <c r="A625" s="290">
        <f>'Inventory Takeoff'!B629</f>
        <v>624</v>
      </c>
      <c r="B625" s="290" t="e">
        <f t="shared" si="23"/>
        <v>#NAME?</v>
      </c>
      <c r="C625" s="295" t="str">
        <f>'Inventory Takeoff'!C629</f>
        <v>10" Reducer</v>
      </c>
      <c r="D625" s="297" t="str">
        <f>'Inventory Takeoff'!D629</f>
        <v>Each</v>
      </c>
      <c r="E625" s="291">
        <f>'Inventory Takeoff'!G629</f>
        <v>16.54</v>
      </c>
    </row>
    <row r="626" spans="1:5" ht="15.5">
      <c r="A626" s="290">
        <f>'Inventory Takeoff'!B630</f>
        <v>625</v>
      </c>
      <c r="B626" s="290" t="e">
        <f t="shared" si="23"/>
        <v>#NAME?</v>
      </c>
      <c r="C626" s="295" t="str">
        <f>'Inventory Takeoff'!C630</f>
        <v>12" Reducer</v>
      </c>
      <c r="D626" s="297" t="str">
        <f>'Inventory Takeoff'!D630</f>
        <v>Each</v>
      </c>
      <c r="E626" s="291">
        <f>'Inventory Takeoff'!G630</f>
        <v>24.990000000000002</v>
      </c>
    </row>
    <row r="627" spans="1:5" ht="15.5">
      <c r="A627" s="290">
        <f>'Inventory Takeoff'!B631</f>
        <v>626</v>
      </c>
      <c r="B627" s="290" t="e">
        <f t="shared" si="23"/>
        <v>#NAME?</v>
      </c>
      <c r="C627" s="295" t="str">
        <f>'Inventory Takeoff'!C631</f>
        <v>14" Reducer</v>
      </c>
      <c r="D627" s="297" t="str">
        <f>'Inventory Takeoff'!D631</f>
        <v>Each</v>
      </c>
      <c r="E627" s="291">
        <f>'Inventory Takeoff'!G631</f>
        <v>27.79</v>
      </c>
    </row>
    <row r="628" spans="1:5" ht="15.5">
      <c r="A628" s="290">
        <f>'Inventory Takeoff'!B632</f>
        <v>627</v>
      </c>
      <c r="B628" s="290" t="e">
        <f t="shared" si="23"/>
        <v>#NAME?</v>
      </c>
      <c r="C628" s="295" t="str">
        <f>'Inventory Takeoff'!C632</f>
        <v>16" Reducer</v>
      </c>
      <c r="D628" s="297" t="str">
        <f>'Inventory Takeoff'!D632</f>
        <v>Each</v>
      </c>
      <c r="E628" s="291">
        <f>'Inventory Takeoff'!G632</f>
        <v>34.69</v>
      </c>
    </row>
    <row r="629" spans="1:5" ht="15.5">
      <c r="A629" s="290">
        <f>'Inventory Takeoff'!B633</f>
        <v>628</v>
      </c>
      <c r="B629" s="290" t="e">
        <f t="shared" ref="B629:B644" si="24">IF(SUMIFS(Ancillary_Length,Ancillary_InventoryCode,A629,Ancillary_BoughtOut,"No")=0,"",SUMIFS(Ancillary_Length,Ancillary_InventoryCode,A629,Ancillary_BoughtOut,"No"))</f>
        <v>#NAME?</v>
      </c>
      <c r="C629" s="295" t="str">
        <f>'Inventory Takeoff'!C633</f>
        <v>Roof Mastic</v>
      </c>
      <c r="D629" s="297" t="str">
        <f>'Inventory Takeoff'!D633</f>
        <v>Gallon</v>
      </c>
      <c r="E629" s="291">
        <f>'Inventory Takeoff'!G633</f>
        <v>22.95</v>
      </c>
    </row>
    <row r="630" spans="1:5" ht="15.5">
      <c r="A630" s="290">
        <f>'Inventory Takeoff'!B634</f>
        <v>629</v>
      </c>
      <c r="B630" s="290" t="e">
        <f t="shared" si="24"/>
        <v>#NAME?</v>
      </c>
      <c r="C630" s="295" t="str">
        <f>'Inventory Takeoff'!C634</f>
        <v>Roofing 12"</v>
      </c>
      <c r="D630" s="297" t="str">
        <f>'Inventory Takeoff'!D634</f>
        <v>Foot</v>
      </c>
      <c r="E630" s="291">
        <f>'Inventory Takeoff'!G634</f>
        <v>0.66999999999999993</v>
      </c>
    </row>
    <row r="631" spans="1:5" ht="15.5">
      <c r="A631" s="290">
        <f>'Inventory Takeoff'!B635</f>
        <v>630</v>
      </c>
      <c r="B631" s="290" t="e">
        <f t="shared" si="24"/>
        <v>#NAME?</v>
      </c>
      <c r="C631" s="295" t="str">
        <f>'Inventory Takeoff'!C635</f>
        <v>Not Used</v>
      </c>
      <c r="D631" s="297">
        <f>'Inventory Takeoff'!D635</f>
        <v>0</v>
      </c>
      <c r="E631" s="291">
        <f>'Inventory Takeoff'!G635</f>
        <v>0</v>
      </c>
    </row>
    <row r="632" spans="1:5" ht="15.5">
      <c r="A632" s="290">
        <f>'Inventory Takeoff'!B636</f>
        <v>631</v>
      </c>
      <c r="B632" s="290" t="e">
        <f t="shared" si="24"/>
        <v>#NAME?</v>
      </c>
      <c r="C632" s="295" t="str">
        <f>'Inventory Takeoff'!C636</f>
        <v>Not Used</v>
      </c>
      <c r="D632" s="297">
        <f>'Inventory Takeoff'!D636</f>
        <v>0</v>
      </c>
      <c r="E632" s="291">
        <f>'Inventory Takeoff'!G636</f>
        <v>0</v>
      </c>
    </row>
    <row r="633" spans="1:5" ht="15.5">
      <c r="A633" s="290">
        <f>'Inventory Takeoff'!B637</f>
        <v>632</v>
      </c>
      <c r="B633" s="290" t="e">
        <f t="shared" si="24"/>
        <v>#NAME?</v>
      </c>
      <c r="C633" s="295" t="str">
        <f>'Inventory Takeoff'!C637</f>
        <v>6" Rigid Round</v>
      </c>
      <c r="D633" s="297" t="str">
        <f>'Inventory Takeoff'!D637</f>
        <v>Foot</v>
      </c>
      <c r="E633" s="291">
        <f>'Inventory Takeoff'!G637</f>
        <v>9.6</v>
      </c>
    </row>
    <row r="634" spans="1:5" ht="15.5">
      <c r="A634" s="290">
        <f>'Inventory Takeoff'!B638</f>
        <v>633</v>
      </c>
      <c r="B634" s="290" t="e">
        <f t="shared" si="24"/>
        <v>#NAME?</v>
      </c>
      <c r="C634" s="295" t="str">
        <f>'Inventory Takeoff'!C638</f>
        <v>Not Used</v>
      </c>
      <c r="D634" s="297">
        <f>'Inventory Takeoff'!D638</f>
        <v>0</v>
      </c>
      <c r="E634" s="291">
        <f>'Inventory Takeoff'!G638</f>
        <v>0</v>
      </c>
    </row>
    <row r="635" spans="1:5" ht="15.5">
      <c r="A635" s="290">
        <f>'Inventory Takeoff'!B639</f>
        <v>634</v>
      </c>
      <c r="B635" s="290" t="e">
        <f t="shared" si="24"/>
        <v>#NAME?</v>
      </c>
      <c r="C635" s="295" t="str">
        <f>'Inventory Takeoff'!C639</f>
        <v>8" Rigid Round</v>
      </c>
      <c r="D635" s="297" t="str">
        <f>'Inventory Takeoff'!D639</f>
        <v>Foot</v>
      </c>
      <c r="E635" s="291">
        <f>'Inventory Takeoff'!G639</f>
        <v>11.780000000000001</v>
      </c>
    </row>
    <row r="636" spans="1:5" ht="15.5">
      <c r="A636" s="290">
        <f>'Inventory Takeoff'!B640</f>
        <v>635</v>
      </c>
      <c r="B636" s="290" t="e">
        <f t="shared" si="24"/>
        <v>#NAME?</v>
      </c>
      <c r="C636" s="295" t="str">
        <f>'Inventory Takeoff'!C640</f>
        <v>Not Used</v>
      </c>
      <c r="D636" s="297">
        <f>'Inventory Takeoff'!D640</f>
        <v>0</v>
      </c>
      <c r="E636" s="291">
        <f>'Inventory Takeoff'!G640</f>
        <v>0</v>
      </c>
    </row>
    <row r="637" spans="1:5" ht="15.5">
      <c r="A637" s="290">
        <f>'Inventory Takeoff'!B641</f>
        <v>636</v>
      </c>
      <c r="B637" s="290" t="e">
        <f t="shared" si="24"/>
        <v>#NAME?</v>
      </c>
      <c r="C637" s="295" t="str">
        <f>'Inventory Takeoff'!C641</f>
        <v>10" Rigid Round</v>
      </c>
      <c r="D637" s="297" t="str">
        <f>'Inventory Takeoff'!D641</f>
        <v>Foot</v>
      </c>
      <c r="E637" s="291">
        <f>'Inventory Takeoff'!G641</f>
        <v>13.39</v>
      </c>
    </row>
    <row r="638" spans="1:5" ht="15.5">
      <c r="A638" s="290">
        <f>'Inventory Takeoff'!B642</f>
        <v>637</v>
      </c>
      <c r="B638" s="290" t="e">
        <f t="shared" si="24"/>
        <v>#NAME?</v>
      </c>
      <c r="C638" s="295" t="str">
        <f>'Inventory Takeoff'!C642</f>
        <v>12" Rigid Round</v>
      </c>
      <c r="D638" s="297" t="str">
        <f>'Inventory Takeoff'!D642</f>
        <v>Foot</v>
      </c>
      <c r="E638" s="291">
        <f>'Inventory Takeoff'!G642</f>
        <v>14.95</v>
      </c>
    </row>
    <row r="639" spans="1:5" ht="15.5">
      <c r="A639" s="290">
        <f>'Inventory Takeoff'!B643</f>
        <v>638</v>
      </c>
      <c r="B639" s="290" t="e">
        <f t="shared" si="24"/>
        <v>#NAME?</v>
      </c>
      <c r="C639" s="295" t="str">
        <f>'Inventory Takeoff'!C643</f>
        <v>14" Rigid Round</v>
      </c>
      <c r="D639" s="297" t="str">
        <f>'Inventory Takeoff'!D643</f>
        <v>Foot</v>
      </c>
      <c r="E639" s="291">
        <f>'Inventory Takeoff'!G643</f>
        <v>17.71</v>
      </c>
    </row>
    <row r="640" spans="1:5" ht="15.5">
      <c r="A640" s="290">
        <f>'Inventory Takeoff'!B644</f>
        <v>639</v>
      </c>
      <c r="B640" s="290" t="e">
        <f t="shared" si="24"/>
        <v>#NAME?</v>
      </c>
      <c r="C640" s="295" t="str">
        <f>'Inventory Takeoff'!C644</f>
        <v>16" Rigid Round</v>
      </c>
      <c r="D640" s="297" t="str">
        <f>'Inventory Takeoff'!D644</f>
        <v>Foot</v>
      </c>
      <c r="E640" s="291">
        <f>'Inventory Takeoff'!G644</f>
        <v>21.44</v>
      </c>
    </row>
    <row r="641" spans="1:5" ht="15.5">
      <c r="A641" s="290">
        <f>'Inventory Takeoff'!B645</f>
        <v>640</v>
      </c>
      <c r="B641" s="290" t="e">
        <f t="shared" si="24"/>
        <v>#NAME?</v>
      </c>
      <c r="C641" s="295" t="str">
        <f>'Inventory Takeoff'!C645</f>
        <v>18" Rigid Round</v>
      </c>
      <c r="D641" s="297" t="str">
        <f>'Inventory Takeoff'!D645</f>
        <v>Foot</v>
      </c>
      <c r="E641" s="291">
        <f>'Inventory Takeoff'!G645</f>
        <v>25.88</v>
      </c>
    </row>
    <row r="642" spans="1:5" ht="15.5">
      <c r="A642" s="290">
        <f>'Inventory Takeoff'!B646</f>
        <v>641</v>
      </c>
      <c r="B642" s="290" t="str">
        <f>IF(SUM(G642,H642)=0,"",SUM(G642,H642))</f>
        <v/>
      </c>
      <c r="C642" s="295" t="str">
        <f>'Inventory Takeoff'!C646</f>
        <v>Flex 333</v>
      </c>
      <c r="D642" s="297" t="str">
        <f>'Inventory Takeoff'!D646</f>
        <v>Foot</v>
      </c>
      <c r="E642" s="291">
        <f>'Inventory Takeoff'!G646</f>
        <v>5.1100000000000003</v>
      </c>
    </row>
    <row r="643" spans="1:5" ht="15.5">
      <c r="A643" s="290">
        <f>'Inventory Takeoff'!B647</f>
        <v>642</v>
      </c>
      <c r="B643" s="290" t="str">
        <f>IF(SUM(G643,H643)=0,"",SUM(G643,H643))</f>
        <v/>
      </c>
      <c r="C643" s="295" t="str">
        <f>'Inventory Takeoff'!C647</f>
        <v>Flex 444</v>
      </c>
      <c r="D643" s="297" t="str">
        <f>'Inventory Takeoff'!D647</f>
        <v>Foot</v>
      </c>
      <c r="E643" s="291">
        <f>'Inventory Takeoff'!G647</f>
        <v>5.95</v>
      </c>
    </row>
    <row r="644" spans="1:5" ht="15.5">
      <c r="A644" s="290">
        <f>'Inventory Takeoff'!B648</f>
        <v>643</v>
      </c>
      <c r="B644" s="290" t="e">
        <f t="shared" si="24"/>
        <v>#NAME?</v>
      </c>
      <c r="C644" s="295" t="str">
        <f>'Inventory Takeoff'!C648</f>
        <v>Not Used</v>
      </c>
      <c r="D644" s="297">
        <f>'Inventory Takeoff'!D648</f>
        <v>0</v>
      </c>
      <c r="E644" s="291">
        <f>'Inventory Takeoff'!G648</f>
        <v>0</v>
      </c>
    </row>
    <row r="645" spans="1:5" ht="15.5">
      <c r="A645" s="290">
        <f>'Inventory Takeoff'!B649</f>
        <v>644</v>
      </c>
      <c r="B645" s="290" t="e">
        <f>IF(SUMIFS(Ancillary_Length,Ancillary_InventoryCode,A645,Ancillary_BoughtOut,"No",Ancillary_Connector,"*"&amp;"~*~*")=0,"",SUMIFS(Ancillary_Length,Ancillary_InventoryCode,A645,Ancillary_BoughtOut,"No",Ancillary_Connector,"*"&amp;"~*~*"))</f>
        <v>#NAME?</v>
      </c>
      <c r="C645" s="295" t="str">
        <f>'Inventory Takeoff'!C649</f>
        <v>S-Lock - Flat</v>
      </c>
      <c r="D645" s="297" t="str">
        <f>'Inventory Takeoff'!D649</f>
        <v>Foot</v>
      </c>
      <c r="E645" s="291">
        <f>'Inventory Takeoff'!G649</f>
        <v>1.2999999999999998</v>
      </c>
    </row>
    <row r="646" spans="1:5" ht="15.5">
      <c r="A646" s="290">
        <f>'Inventory Takeoff'!B650</f>
        <v>645</v>
      </c>
      <c r="B646" s="290" t="e">
        <f>IF(SUMIFS(Ancillary_Length,Ancillary_InventoryCode,A646,Ancillary_BoughtOut,"No",Ancillary_Connector,"*"&amp;"~*~*")=0,"",SUMIFS(Ancillary_Length,Ancillary_InventoryCode,A646,Ancillary_BoughtOut,"No",Ancillary_Connector,"*"&amp;"~*~*"))</f>
        <v>#NAME?</v>
      </c>
      <c r="C646" s="295" t="str">
        <f>'Inventory Takeoff'!C650</f>
        <v>S-Lock - Standing</v>
      </c>
      <c r="D646" s="297" t="str">
        <f>'Inventory Takeoff'!D650</f>
        <v>Foot</v>
      </c>
      <c r="E646" s="291">
        <f>'Inventory Takeoff'!G650</f>
        <v>2.7199999999999998</v>
      </c>
    </row>
    <row r="647" spans="1:5" ht="15.5">
      <c r="A647" s="290">
        <f>'Inventory Takeoff'!B651</f>
        <v>646</v>
      </c>
      <c r="B647" s="290" t="e">
        <f>IF(SUMIFS(Ancillary_Length,Ancillary_InventoryCode,A647,Ancillary_BoughtOut,"No",Ancillary_Connector,"*"&amp;"~*~*")=0,"",SUMIFS(Ancillary_Length,Ancillary_InventoryCode,A647,Ancillary_BoughtOut,"No",Ancillary_Connector,"*"&amp;"~*~*"))</f>
        <v>#NAME?</v>
      </c>
      <c r="C647" s="295" t="str">
        <f>'Inventory Takeoff'!C651</f>
        <v>S-Lock - Seam</v>
      </c>
      <c r="D647" s="297" t="str">
        <f>'Inventory Takeoff'!D651</f>
        <v>Foot</v>
      </c>
      <c r="E647" s="291">
        <f>'Inventory Takeoff'!G651</f>
        <v>1.2999999999999998</v>
      </c>
    </row>
    <row r="648" spans="1:5" ht="15.5">
      <c r="A648" s="290">
        <f>'Inventory Takeoff'!B652</f>
        <v>647</v>
      </c>
      <c r="B648" s="290" t="e">
        <f t="shared" ref="B648:B655" si="25">IF(SUMIFS(Ancillary_Qty,Ancillary_InventoryCode,A648,Ancillary_BoughtOut,"No",Ancillary_Spool,"&lt;&gt;"&amp;"")=0,"",SUMIFS(Ancillary_Qty,Ancillary_InventoryCode,A648,Ancillary_BoughtOut,"No",Ancillary_Spool,"&lt;&gt;"&amp;""))</f>
        <v>#NAME?</v>
      </c>
      <c r="C648" s="295" t="str">
        <f>'Inventory Takeoff'!C652</f>
        <v>Zip Screw 8 x 1/2</v>
      </c>
      <c r="D648" s="297" t="str">
        <f>'Inventory Takeoff'!D652</f>
        <v>Each</v>
      </c>
      <c r="E648" s="291">
        <f>'Inventory Takeoff'!G652</f>
        <v>0.03</v>
      </c>
    </row>
    <row r="649" spans="1:5" ht="15.5">
      <c r="A649" s="290">
        <f>'Inventory Takeoff'!B653</f>
        <v>648</v>
      </c>
      <c r="B649" s="290"/>
      <c r="C649" s="295" t="str">
        <f>'Inventory Takeoff'!C653</f>
        <v>Not Used</v>
      </c>
      <c r="D649" s="297">
        <f>'Inventory Takeoff'!D653</f>
        <v>0</v>
      </c>
      <c r="E649" s="291">
        <f>'Inventory Takeoff'!G653</f>
        <v>0</v>
      </c>
    </row>
    <row r="650" spans="1:5" ht="15.5">
      <c r="A650" s="290">
        <f>'Inventory Takeoff'!B654</f>
        <v>649</v>
      </c>
      <c r="B650" s="290" t="e">
        <f t="shared" si="25"/>
        <v>#NAME?</v>
      </c>
      <c r="C650" s="295" t="str">
        <f>'Inventory Takeoff'!C654</f>
        <v>Zip Screw 8 x 1</v>
      </c>
      <c r="D650" s="297" t="str">
        <f>'Inventory Takeoff'!D654</f>
        <v>Each</v>
      </c>
      <c r="E650" s="291">
        <f>'Inventory Takeoff'!G654</f>
        <v>0.03</v>
      </c>
    </row>
    <row r="651" spans="1:5" ht="15.5">
      <c r="A651" s="290">
        <f>'Inventory Takeoff'!B655</f>
        <v>650</v>
      </c>
      <c r="B651" s="290" t="e">
        <f t="shared" si="25"/>
        <v>#NAME?</v>
      </c>
      <c r="C651" s="295" t="str">
        <f>'Inventory Takeoff'!C655</f>
        <v>Zip Screw 8 x 1 1/2</v>
      </c>
      <c r="D651" s="297" t="str">
        <f>'Inventory Takeoff'!D655</f>
        <v>Each</v>
      </c>
      <c r="E651" s="291">
        <f>'Inventory Takeoff'!G655</f>
        <v>0.03</v>
      </c>
    </row>
    <row r="652" spans="1:5" ht="15.5">
      <c r="A652" s="290">
        <f>'Inventory Takeoff'!B656</f>
        <v>651</v>
      </c>
      <c r="B652" s="290" t="e">
        <f t="shared" si="25"/>
        <v>#NAME?</v>
      </c>
      <c r="C652" s="295" t="str">
        <f>'Inventory Takeoff'!C656</f>
        <v>Zip Screw 8 x 2</v>
      </c>
      <c r="D652" s="297" t="str">
        <f>'Inventory Takeoff'!D656</f>
        <v>Each</v>
      </c>
      <c r="E652" s="291">
        <f>'Inventory Takeoff'!G656</f>
        <v>0.05</v>
      </c>
    </row>
    <row r="653" spans="1:5" ht="15.5">
      <c r="A653" s="290">
        <f>'Inventory Takeoff'!B657</f>
        <v>652</v>
      </c>
      <c r="B653" s="290" t="e">
        <f t="shared" si="25"/>
        <v>#NAME?</v>
      </c>
      <c r="C653" s="295" t="str">
        <f>'Inventory Takeoff'!C657</f>
        <v>Tec Screw 8 x 1/2</v>
      </c>
      <c r="D653" s="297" t="str">
        <f>'Inventory Takeoff'!D657</f>
        <v>Each</v>
      </c>
      <c r="E653" s="291">
        <f>'Inventory Takeoff'!G657</f>
        <v>0.03</v>
      </c>
    </row>
    <row r="654" spans="1:5" ht="15.5">
      <c r="A654" s="290">
        <f>'Inventory Takeoff'!B658</f>
        <v>653</v>
      </c>
      <c r="B654" s="290" t="str">
        <f>IF(SUM(G654,H654)=0,"",SUM(G654,H654))</f>
        <v/>
      </c>
      <c r="C654" s="295" t="str">
        <f>'Inventory Takeoff'!C658</f>
        <v>Tec Screw 10 x 3/4</v>
      </c>
      <c r="D654" s="297" t="str">
        <f>'Inventory Takeoff'!D658</f>
        <v>Each</v>
      </c>
      <c r="E654" s="291">
        <f>'Inventory Takeoff'!G658</f>
        <v>0.05</v>
      </c>
    </row>
    <row r="655" spans="1:5" ht="15.5">
      <c r="A655" s="290">
        <f>'Inventory Takeoff'!B659</f>
        <v>654</v>
      </c>
      <c r="B655" s="290" t="e">
        <f t="shared" si="25"/>
        <v>#NAME?</v>
      </c>
      <c r="C655" s="295" t="str">
        <f>'Inventory Takeoff'!C659</f>
        <v>Neo Wash Screws 10 x 3/4</v>
      </c>
      <c r="D655" s="297" t="str">
        <f>'Inventory Takeoff'!D659</f>
        <v>Each</v>
      </c>
      <c r="E655" s="291">
        <f>'Inventory Takeoff'!G659</f>
        <v>0.11</v>
      </c>
    </row>
    <row r="656" spans="1:5" ht="15.5">
      <c r="A656" s="290">
        <f>'Inventory Takeoff'!B660</f>
        <v>655</v>
      </c>
      <c r="B656" s="290" t="e">
        <f>IF(SUMIFS(Ancillary_Qty,Ancillary_InventoryCode,A656,Ancillary_BoughtOut,"No")=0,"",SUMIFS(Ancillary_Qty,Ancillary_InventoryCode,A656,Ancillary_BoughtOut,"No"))</f>
        <v>#NAME?</v>
      </c>
      <c r="C656" s="295" t="str">
        <f>'Inventory Takeoff'!C660</f>
        <v>T Locks 1/2"</v>
      </c>
      <c r="D656" s="297" t="str">
        <f>'Inventory Takeoff'!D660</f>
        <v>Each</v>
      </c>
      <c r="E656" s="291">
        <f>'Inventory Takeoff'!G660</f>
        <v>0.56999999999999995</v>
      </c>
    </row>
    <row r="657" spans="1:5" ht="15.5">
      <c r="A657" s="290">
        <f>'Inventory Takeoff'!B661</f>
        <v>656</v>
      </c>
      <c r="B657" s="290" t="e">
        <f>IF(SUMIFS(Ancillary_Length,Ancillary_Name,"Duct Seal*Shop*",Ancillary_BoughtOut,"No")=0,"",SUMIFS(Ancillary_Length,Ancillary_Name,"Duct Seal*Shop*",Ancillary_BoughtOut,"No",Ancillary_Name,"*shop*")/100)</f>
        <v>#NAME?</v>
      </c>
      <c r="C657" s="295" t="str">
        <f>'Inventory Takeoff'!C661</f>
        <v>Duct Sealant</v>
      </c>
      <c r="D657" s="297" t="str">
        <f>'Inventory Takeoff'!D661</f>
        <v>Gallon</v>
      </c>
      <c r="E657" s="291">
        <f>'Inventory Takeoff'!G661</f>
        <v>27.97</v>
      </c>
    </row>
    <row r="658" spans="1:5" ht="15.5">
      <c r="A658" s="290">
        <f>'Inventory Takeoff'!B662</f>
        <v>657</v>
      </c>
      <c r="B658" s="290" t="e">
        <f>IF(SUMIFS(Ancillary_Length,Ancillary_InventoryCode,A658,Ancillary_BoughtOut,"No")=0,"",SUMIFS(Ancillary_Length,Ancillary_InventoryCode,A658,Ancillary_BoughtOut,"No",Ancillary_Name,"*shop*")/100)</f>
        <v>#NAME?</v>
      </c>
      <c r="C658" s="295" t="str">
        <f>'Inventory Takeoff'!C662</f>
        <v>Sealer HP S-2</v>
      </c>
      <c r="D658" s="297" t="str">
        <f>'Inventory Takeoff'!D662</f>
        <v>Gallon</v>
      </c>
      <c r="E658" s="291">
        <f>'Inventory Takeoff'!G662</f>
        <v>22.9</v>
      </c>
    </row>
    <row r="659" spans="1:5" ht="15.5">
      <c r="A659" s="290">
        <f>'Inventory Takeoff'!B663</f>
        <v>658</v>
      </c>
      <c r="B659" s="290" t="e">
        <f>IF(SUMIFS(Ancillary_Length,Ancillary_InventoryCode,A659,Ancillary_BoughtOut,"No")=0,"",SUMIFS(Ancillary_Length,Ancillary_InventoryCode,A659,Ancillary_BoughtOut,"No",Ancillary_Name,"*shop*")/100)</f>
        <v>#NAME?</v>
      </c>
      <c r="C659" s="295" t="str">
        <f>'Inventory Takeoff'!C663</f>
        <v>Hardcast adhesive</v>
      </c>
      <c r="D659" s="297" t="str">
        <f>'Inventory Takeoff'!D663</f>
        <v>Gallon</v>
      </c>
      <c r="E659" s="291">
        <f>'Inventory Takeoff'!G663</f>
        <v>22.56</v>
      </c>
    </row>
    <row r="660" spans="1:5" ht="15.5">
      <c r="A660" s="290">
        <f>'Inventory Takeoff'!B664</f>
        <v>659</v>
      </c>
      <c r="B660" s="290" t="e">
        <f>IF(SUMIFS(Ancillary_Qty,Ancillary_InventoryCode,A660,Ancillary_BoughtOut,"No")=0,"",SUMIFS(Ancillary_Qty,Ancillary_InventoryCode,A660,Ancillary_BoughtOut,"No"))</f>
        <v>#NAME?</v>
      </c>
      <c r="C660" s="295" t="str">
        <f>'Inventory Takeoff'!C664</f>
        <v>Hardcast tape roll</v>
      </c>
      <c r="D660" s="297" t="str">
        <f>'Inventory Takeoff'!D664</f>
        <v>Each</v>
      </c>
      <c r="E660" s="291">
        <f>'Inventory Takeoff'!G664</f>
        <v>38.04</v>
      </c>
    </row>
    <row r="661" spans="1:5" ht="15.5">
      <c r="A661" s="290">
        <f>'Inventory Takeoff'!B665</f>
        <v>660</v>
      </c>
      <c r="B661" s="290" t="e">
        <f>IF(SUMIFS(Ancillary_Qty,Ancillary_InventoryCode,A661,Ancillary_BoughtOut,"No")=0,"",SUMIFS(Ancillary_Qty,Ancillary_InventoryCode,A661,Ancillary_BoughtOut,"No"))</f>
        <v>#NAME?</v>
      </c>
      <c r="C661" s="295" t="str">
        <f>'Inventory Takeoff'!C665</f>
        <v>Soffit Vents 4 x 16</v>
      </c>
      <c r="D661" s="297" t="str">
        <f>'Inventory Takeoff'!D665</f>
        <v>Each</v>
      </c>
      <c r="E661" s="291">
        <f>'Inventory Takeoff'!G665</f>
        <v>2.0099999999999998</v>
      </c>
    </row>
    <row r="662" spans="1:5" ht="15.5">
      <c r="A662" s="290">
        <f>'Inventory Takeoff'!B666</f>
        <v>661</v>
      </c>
      <c r="B662" s="290" t="e">
        <f>IF(SUMIFS(Ancillary_Qty,Ancillary_InventoryCode,A662,Ancillary_BoughtOut,"No")=0,"",SUMIFS(Ancillary_Qty,Ancillary_InventoryCode,A662,Ancillary_BoughtOut,"No"))</f>
        <v>#NAME?</v>
      </c>
      <c r="C662" s="295" t="str">
        <f>'Inventory Takeoff'!C666</f>
        <v>Solder - LB</v>
      </c>
      <c r="D662" s="297" t="str">
        <f>'Inventory Takeoff'!D666</f>
        <v>Each</v>
      </c>
      <c r="E662" s="291">
        <f>'Inventory Takeoff'!G666</f>
        <v>3.1999999999999997</v>
      </c>
    </row>
    <row r="663" spans="1:5" ht="15.5">
      <c r="A663" s="290">
        <f>'Inventory Takeoff'!B667</f>
        <v>662</v>
      </c>
      <c r="B663" s="290" t="e">
        <f>IF(SUMIFS(Ancillary_Length,Ancillary_InventoryCode,A663,Ancillary_BoughtOut,"No")=0,"",SUMIFS(Ancillary_Length,Ancillary_InventoryCode,A663,Ancillary_BoughtOut,"No")/25)</f>
        <v>#NAME?</v>
      </c>
      <c r="C663" s="295" t="str">
        <f>'Inventory Takeoff'!C667</f>
        <v>Sealant Water Based (Tube)</v>
      </c>
      <c r="D663" s="297" t="str">
        <f>'Inventory Takeoff'!D667</f>
        <v>Each</v>
      </c>
      <c r="E663" s="291">
        <f>'Inventory Takeoff'!G667</f>
        <v>4.75</v>
      </c>
    </row>
    <row r="664" spans="1:5" ht="15.5">
      <c r="A664" s="290">
        <f>'Inventory Takeoff'!B668</f>
        <v>663</v>
      </c>
      <c r="B664" s="290" t="e">
        <f t="shared" ref="B664:B696" si="26">IF(SUMIFS(Ancillary_Qty,Ancillary_InventoryCode,A664,Ancillary_BoughtOut,"No")=0,"",SUMIFS(Ancillary_Qty,Ancillary_InventoryCode,A664,Ancillary_BoughtOut,"No"))</f>
        <v>#NAME?</v>
      </c>
      <c r="C664" s="295" t="str">
        <f>'Inventory Takeoff'!C668</f>
        <v>Blue Wrap 24" (Roll)</v>
      </c>
      <c r="D664" s="297" t="str">
        <f>'Inventory Takeoff'!D668</f>
        <v>Each</v>
      </c>
      <c r="E664" s="291">
        <f>'Inventory Takeoff'!G668</f>
        <v>45.370000000000005</v>
      </c>
    </row>
    <row r="665" spans="1:5" ht="15.5">
      <c r="A665" s="290">
        <f>'Inventory Takeoff'!B669</f>
        <v>664</v>
      </c>
      <c r="B665" s="290" t="e">
        <f t="shared" si="26"/>
        <v>#NAME?</v>
      </c>
      <c r="C665" s="295" t="str">
        <f>'Inventory Takeoff'!C669</f>
        <v>Sanding Disk 4 x 20</v>
      </c>
      <c r="D665" s="297" t="str">
        <f>'Inventory Takeoff'!D669</f>
        <v>Each</v>
      </c>
      <c r="E665" s="291">
        <f>'Inventory Takeoff'!G669</f>
        <v>0.87</v>
      </c>
    </row>
    <row r="666" spans="1:5" ht="15.5">
      <c r="A666" s="290">
        <f>'Inventory Takeoff'!B670</f>
        <v>665</v>
      </c>
      <c r="B666" s="290" t="e">
        <f t="shared" si="26"/>
        <v>#NAME?</v>
      </c>
      <c r="C666" s="295" t="str">
        <f>'Inventory Takeoff'!C670</f>
        <v>Sanding Disk 4" ABR</v>
      </c>
      <c r="D666" s="297" t="str">
        <f>'Inventory Takeoff'!D670</f>
        <v>Each</v>
      </c>
      <c r="E666" s="291">
        <f>'Inventory Takeoff'!G670</f>
        <v>6.33</v>
      </c>
    </row>
    <row r="667" spans="1:5" ht="15.5">
      <c r="A667" s="290">
        <f>'Inventory Takeoff'!B671</f>
        <v>666</v>
      </c>
      <c r="B667" s="290" t="e">
        <f t="shared" si="26"/>
        <v>#NAME?</v>
      </c>
      <c r="C667" s="295" t="str">
        <f>'Inventory Takeoff'!C671</f>
        <v>Blue Wrap 36" (Roll)</v>
      </c>
      <c r="D667" s="297" t="str">
        <f>'Inventory Takeoff'!D671</f>
        <v>Each</v>
      </c>
      <c r="E667" s="291">
        <f>'Inventory Takeoff'!G671</f>
        <v>81.929999999999993</v>
      </c>
    </row>
    <row r="668" spans="1:5" ht="15.5">
      <c r="A668" s="290">
        <f>'Inventory Takeoff'!B672</f>
        <v>667</v>
      </c>
      <c r="B668" s="290" t="e">
        <f t="shared" si="26"/>
        <v>#NAME?</v>
      </c>
      <c r="C668" s="295" t="str">
        <f>'Inventory Takeoff'!C672</f>
        <v>7 in 60 Grit Disk</v>
      </c>
      <c r="D668" s="297" t="str">
        <f>'Inventory Takeoff'!D672</f>
        <v>Each</v>
      </c>
      <c r="E668" s="291">
        <f>'Inventory Takeoff'!G672</f>
        <v>6.95</v>
      </c>
    </row>
    <row r="669" spans="1:5" ht="15.5">
      <c r="A669" s="290">
        <f>'Inventory Takeoff'!B673</f>
        <v>668</v>
      </c>
      <c r="B669" s="290" t="e">
        <f t="shared" si="26"/>
        <v>#NAME?</v>
      </c>
      <c r="C669" s="295" t="str">
        <f>'Inventory Takeoff'!C673</f>
        <v>7 in 80 Grit Disk</v>
      </c>
      <c r="D669" s="297" t="str">
        <f>'Inventory Takeoff'!D673</f>
        <v>Each</v>
      </c>
      <c r="E669" s="291">
        <f>'Inventory Takeoff'!G673</f>
        <v>6.95</v>
      </c>
    </row>
    <row r="670" spans="1:5" ht="15.5">
      <c r="A670" s="290">
        <f>'Inventory Takeoff'!B674</f>
        <v>669</v>
      </c>
      <c r="B670" s="290" t="e">
        <f>IF(SUMIFS(Ancillary_Qty,Ancillary_InventoryCode,A670,Ancillary_BoughtOut,"No")=0,"",SUMIFS(Ancillary_Qty,Ancillary_InventoryCode,A670,Ancillary_BoughtOut,"No"))</f>
        <v>#NAME?</v>
      </c>
      <c r="C670" s="295" t="str">
        <f>'Inventory Takeoff'!C674</f>
        <v>Not Used</v>
      </c>
      <c r="D670" s="297">
        <f>'Inventory Takeoff'!D674</f>
        <v>0</v>
      </c>
      <c r="E670" s="291">
        <f>'Inventory Takeoff'!G674</f>
        <v>0</v>
      </c>
    </row>
    <row r="671" spans="1:5" ht="15.5">
      <c r="A671" s="290">
        <f>'Inventory Takeoff'!B675</f>
        <v>670</v>
      </c>
      <c r="B671" s="290" t="e">
        <f t="shared" si="26"/>
        <v>#NAME?</v>
      </c>
      <c r="C671" s="295" t="str">
        <f>'Inventory Takeoff'!C675</f>
        <v>5" ATTO</v>
      </c>
      <c r="D671" s="297" t="str">
        <f>'Inventory Takeoff'!D675</f>
        <v>Each</v>
      </c>
      <c r="E671" s="291">
        <f>'Inventory Takeoff'!G675</f>
        <v>14.63</v>
      </c>
    </row>
    <row r="672" spans="1:5" ht="15.5">
      <c r="A672" s="290">
        <f>'Inventory Takeoff'!B676</f>
        <v>671</v>
      </c>
      <c r="B672" s="290" t="e">
        <f t="shared" si="26"/>
        <v>#NAME?</v>
      </c>
      <c r="C672" s="295" t="str">
        <f>'Inventory Takeoff'!C676</f>
        <v>6" ATTO</v>
      </c>
      <c r="D672" s="297" t="str">
        <f>'Inventory Takeoff'!D676</f>
        <v>Each</v>
      </c>
      <c r="E672" s="291">
        <f>'Inventory Takeoff'!G676</f>
        <v>14.63</v>
      </c>
    </row>
    <row r="673" spans="1:5" ht="15.5">
      <c r="A673" s="290">
        <f>'Inventory Takeoff'!B677</f>
        <v>672</v>
      </c>
      <c r="B673" s="290" t="e">
        <f t="shared" si="26"/>
        <v>#NAME?</v>
      </c>
      <c r="C673" s="295" t="str">
        <f>'Inventory Takeoff'!C677</f>
        <v>7" ATTO</v>
      </c>
      <c r="D673" s="297" t="str">
        <f>'Inventory Takeoff'!D677</f>
        <v>Each</v>
      </c>
      <c r="E673" s="291">
        <f>'Inventory Takeoff'!G677</f>
        <v>18.82</v>
      </c>
    </row>
    <row r="674" spans="1:5" ht="15.5">
      <c r="A674" s="290">
        <f>'Inventory Takeoff'!B678</f>
        <v>673</v>
      </c>
      <c r="B674" s="290" t="e">
        <f t="shared" si="26"/>
        <v>#NAME?</v>
      </c>
      <c r="C674" s="295" t="str">
        <f>'Inventory Takeoff'!C678</f>
        <v>8" ATTO</v>
      </c>
      <c r="D674" s="297" t="str">
        <f>'Inventory Takeoff'!D678</f>
        <v>Each</v>
      </c>
      <c r="E674" s="291">
        <f>'Inventory Takeoff'!G678</f>
        <v>19.78</v>
      </c>
    </row>
    <row r="675" spans="1:5" ht="15.5">
      <c r="A675" s="290">
        <f>'Inventory Takeoff'!B679</f>
        <v>674</v>
      </c>
      <c r="B675" s="290" t="e">
        <f t="shared" si="26"/>
        <v>#NAME?</v>
      </c>
      <c r="C675" s="295" t="str">
        <f>'Inventory Takeoff'!C679</f>
        <v>9" ATTO</v>
      </c>
      <c r="D675" s="297" t="str">
        <f>'Inventory Takeoff'!D679</f>
        <v>Each</v>
      </c>
      <c r="E675" s="291">
        <f>'Inventory Takeoff'!G679</f>
        <v>22.97</v>
      </c>
    </row>
    <row r="676" spans="1:5" ht="15.5">
      <c r="A676" s="290">
        <f>'Inventory Takeoff'!B680</f>
        <v>675</v>
      </c>
      <c r="B676" s="290" t="e">
        <f t="shared" si="26"/>
        <v>#NAME?</v>
      </c>
      <c r="C676" s="295" t="str">
        <f>'Inventory Takeoff'!C680</f>
        <v>10" ATTO</v>
      </c>
      <c r="D676" s="297" t="str">
        <f>'Inventory Takeoff'!D680</f>
        <v>Each</v>
      </c>
      <c r="E676" s="291">
        <f>'Inventory Takeoff'!G680</f>
        <v>25.09</v>
      </c>
    </row>
    <row r="677" spans="1:5" ht="15.5">
      <c r="A677" s="290">
        <f>'Inventory Takeoff'!B681</f>
        <v>676</v>
      </c>
      <c r="B677" s="290" t="e">
        <f t="shared" si="26"/>
        <v>#NAME?</v>
      </c>
      <c r="C677" s="295" t="str">
        <f>'Inventory Takeoff'!C681</f>
        <v>12" ATTO</v>
      </c>
      <c r="D677" s="297" t="str">
        <f>'Inventory Takeoff'!D681</f>
        <v>Each</v>
      </c>
      <c r="E677" s="291">
        <f>'Inventory Takeoff'!G681</f>
        <v>27.66</v>
      </c>
    </row>
    <row r="678" spans="1:5" ht="15.5">
      <c r="A678" s="290">
        <f>'Inventory Takeoff'!B682</f>
        <v>677</v>
      </c>
      <c r="B678" s="290" t="e">
        <f t="shared" si="26"/>
        <v>#NAME?</v>
      </c>
      <c r="C678" s="295" t="str">
        <f>'Inventory Takeoff'!C682</f>
        <v>14" ATTO</v>
      </c>
      <c r="D678" s="297" t="str">
        <f>'Inventory Takeoff'!D682</f>
        <v>Each</v>
      </c>
      <c r="E678" s="291">
        <f>'Inventory Takeoff'!G682</f>
        <v>32.85</v>
      </c>
    </row>
    <row r="679" spans="1:5" ht="15.5">
      <c r="A679" s="290">
        <f>'Inventory Takeoff'!B683</f>
        <v>678</v>
      </c>
      <c r="B679" s="290" t="e">
        <f t="shared" si="26"/>
        <v>#NAME?</v>
      </c>
      <c r="C679" s="295" t="str">
        <f>'Inventory Takeoff'!C683</f>
        <v>16" ATTO</v>
      </c>
      <c r="D679" s="297" t="str">
        <f>'Inventory Takeoff'!D683</f>
        <v>Each</v>
      </c>
      <c r="E679" s="291">
        <f>'Inventory Takeoff'!G683</f>
        <v>39.42</v>
      </c>
    </row>
    <row r="680" spans="1:5" ht="15.5">
      <c r="A680" s="290">
        <f>'Inventory Takeoff'!B684</f>
        <v>679</v>
      </c>
      <c r="B680" s="290" t="e">
        <f t="shared" si="26"/>
        <v>#NAME?</v>
      </c>
      <c r="C680" s="295" t="str">
        <f>'Inventory Takeoff'!C684</f>
        <v>18" ATTO</v>
      </c>
      <c r="D680" s="297" t="str">
        <f>'Inventory Takeoff'!D684</f>
        <v>Each</v>
      </c>
      <c r="E680" s="291">
        <f>'Inventory Takeoff'!G684</f>
        <v>48.47</v>
      </c>
    </row>
    <row r="681" spans="1:5" ht="15.5">
      <c r="A681" s="290">
        <f>'Inventory Takeoff'!B685</f>
        <v>680</v>
      </c>
      <c r="B681" s="290" t="e">
        <f t="shared" si="26"/>
        <v>#NAME?</v>
      </c>
      <c r="C681" s="295" t="str">
        <f>'Inventory Takeoff'!C685</f>
        <v>5" ATTO with damper</v>
      </c>
      <c r="D681" s="297" t="str">
        <f>'Inventory Takeoff'!D685</f>
        <v>Each</v>
      </c>
      <c r="E681" s="291">
        <f>'Inventory Takeoff'!G685</f>
        <v>23.32</v>
      </c>
    </row>
    <row r="682" spans="1:5" ht="15.5">
      <c r="A682" s="290">
        <f>'Inventory Takeoff'!B686</f>
        <v>681</v>
      </c>
      <c r="B682" s="290" t="e">
        <f t="shared" si="26"/>
        <v>#NAME?</v>
      </c>
      <c r="C682" s="295" t="str">
        <f>'Inventory Takeoff'!C686</f>
        <v>6" ATTO with damper</v>
      </c>
      <c r="D682" s="297" t="str">
        <f>'Inventory Takeoff'!D686</f>
        <v>Each</v>
      </c>
      <c r="E682" s="291">
        <f>'Inventory Takeoff'!G686</f>
        <v>23.32</v>
      </c>
    </row>
    <row r="683" spans="1:5" ht="15.5">
      <c r="A683" s="290">
        <f>'Inventory Takeoff'!B687</f>
        <v>682</v>
      </c>
      <c r="B683" s="290" t="e">
        <f t="shared" si="26"/>
        <v>#NAME?</v>
      </c>
      <c r="C683" s="295" t="str">
        <f>'Inventory Takeoff'!C687</f>
        <v>7" ATTO with damper</v>
      </c>
      <c r="D683" s="297" t="str">
        <f>'Inventory Takeoff'!D687</f>
        <v>Each</v>
      </c>
      <c r="E683" s="291">
        <f>'Inventory Takeoff'!G687</f>
        <v>24.73</v>
      </c>
    </row>
    <row r="684" spans="1:5" ht="15.5">
      <c r="A684" s="290">
        <f>'Inventory Takeoff'!B688</f>
        <v>683</v>
      </c>
      <c r="B684" s="290" t="e">
        <f t="shared" si="26"/>
        <v>#NAME?</v>
      </c>
      <c r="C684" s="295" t="str">
        <f>'Inventory Takeoff'!C688</f>
        <v>8" ATTO with damper</v>
      </c>
      <c r="D684" s="297" t="str">
        <f>'Inventory Takeoff'!D688</f>
        <v>Each</v>
      </c>
      <c r="E684" s="291">
        <f>'Inventory Takeoff'!G688</f>
        <v>30.020000000000003</v>
      </c>
    </row>
    <row r="685" spans="1:5" ht="15.5">
      <c r="A685" s="290">
        <f>'Inventory Takeoff'!B689</f>
        <v>684</v>
      </c>
      <c r="B685" s="290" t="e">
        <f t="shared" si="26"/>
        <v>#NAME?</v>
      </c>
      <c r="C685" s="295" t="str">
        <f>'Inventory Takeoff'!C689</f>
        <v>9" ATTO with damper</v>
      </c>
      <c r="D685" s="297" t="str">
        <f>'Inventory Takeoff'!D689</f>
        <v>Each</v>
      </c>
      <c r="E685" s="291">
        <f>'Inventory Takeoff'!G689</f>
        <v>31.04</v>
      </c>
    </row>
    <row r="686" spans="1:5" ht="15.5">
      <c r="A686" s="290">
        <f>'Inventory Takeoff'!B690</f>
        <v>685</v>
      </c>
      <c r="B686" s="290" t="e">
        <f t="shared" si="26"/>
        <v>#NAME?</v>
      </c>
      <c r="C686" s="295" t="str">
        <f>'Inventory Takeoff'!C690</f>
        <v>10" ATTO with damper</v>
      </c>
      <c r="D686" s="297" t="str">
        <f>'Inventory Takeoff'!D690</f>
        <v>Each</v>
      </c>
      <c r="E686" s="291">
        <f>'Inventory Takeoff'!G690</f>
        <v>36.830000000000005</v>
      </c>
    </row>
    <row r="687" spans="1:5" ht="15.5">
      <c r="A687" s="290">
        <f>'Inventory Takeoff'!B691</f>
        <v>686</v>
      </c>
      <c r="B687" s="290" t="e">
        <f t="shared" si="26"/>
        <v>#NAME?</v>
      </c>
      <c r="C687" s="295" t="str">
        <f>'Inventory Takeoff'!C691</f>
        <v>12" ATTO with damper</v>
      </c>
      <c r="D687" s="297" t="str">
        <f>'Inventory Takeoff'!D691</f>
        <v>Each</v>
      </c>
      <c r="E687" s="291">
        <f>'Inventory Takeoff'!G691</f>
        <v>40.17</v>
      </c>
    </row>
    <row r="688" spans="1:5" ht="15.5">
      <c r="A688" s="290">
        <f>'Inventory Takeoff'!B692</f>
        <v>687</v>
      </c>
      <c r="B688" s="290" t="e">
        <f t="shared" si="26"/>
        <v>#NAME?</v>
      </c>
      <c r="C688" s="295" t="str">
        <f>'Inventory Takeoff'!C692</f>
        <v>14" ATTO with damper</v>
      </c>
      <c r="D688" s="297" t="str">
        <f>'Inventory Takeoff'!D692</f>
        <v>Each</v>
      </c>
      <c r="E688" s="291">
        <f>'Inventory Takeoff'!G692</f>
        <v>46.879999999999995</v>
      </c>
    </row>
    <row r="689" spans="1:5" ht="15.5">
      <c r="A689" s="290">
        <f>'Inventory Takeoff'!B693</f>
        <v>688</v>
      </c>
      <c r="B689" s="290" t="e">
        <f t="shared" si="26"/>
        <v>#NAME?</v>
      </c>
      <c r="C689" s="295" t="str">
        <f>'Inventory Takeoff'!C693</f>
        <v>16" ATTO with damper</v>
      </c>
      <c r="D689" s="297" t="str">
        <f>'Inventory Takeoff'!D693</f>
        <v>Each</v>
      </c>
      <c r="E689" s="291">
        <f>'Inventory Takeoff'!G693</f>
        <v>46.230000000000004</v>
      </c>
    </row>
    <row r="690" spans="1:5" ht="15.5">
      <c r="A690" s="290">
        <f>'Inventory Takeoff'!B694</f>
        <v>689</v>
      </c>
      <c r="B690" s="290" t="e">
        <f t="shared" si="26"/>
        <v>#NAME?</v>
      </c>
      <c r="C690" s="295" t="str">
        <f>'Inventory Takeoff'!C694</f>
        <v>18" ATTO with damper</v>
      </c>
      <c r="D690" s="297" t="str">
        <f>'Inventory Takeoff'!D694</f>
        <v>Each</v>
      </c>
      <c r="E690" s="291">
        <f>'Inventory Takeoff'!G694</f>
        <v>35.93</v>
      </c>
    </row>
    <row r="691" spans="1:5" ht="15.5">
      <c r="A691" s="290">
        <f>'Inventory Takeoff'!B695</f>
        <v>690</v>
      </c>
      <c r="B691" s="290" t="e">
        <f t="shared" si="26"/>
        <v>#NAME?</v>
      </c>
      <c r="C691" s="295" t="str">
        <f>'Inventory Takeoff'!C695</f>
        <v>Not Used</v>
      </c>
      <c r="D691" s="297">
        <f>'Inventory Takeoff'!D695</f>
        <v>0</v>
      </c>
      <c r="E691" s="291">
        <f>'Inventory Takeoff'!G695</f>
        <v>0</v>
      </c>
    </row>
    <row r="692" spans="1:5" ht="15.5">
      <c r="A692" s="290">
        <f>'Inventory Takeoff'!B696</f>
        <v>691</v>
      </c>
      <c r="B692" s="290" t="e">
        <f t="shared" si="26"/>
        <v>#NAME?</v>
      </c>
      <c r="C692" s="295" t="str">
        <f>'Inventory Takeoff'!C696</f>
        <v>6" MSI with S &amp; D</v>
      </c>
      <c r="D692" s="297" t="str">
        <f>'Inventory Takeoff'!D696</f>
        <v>Each</v>
      </c>
      <c r="E692" s="291">
        <f>'Inventory Takeoff'!G696</f>
        <v>10.1</v>
      </c>
    </row>
    <row r="693" spans="1:5" ht="15.5">
      <c r="A693" s="290">
        <f>'Inventory Takeoff'!B697</f>
        <v>692</v>
      </c>
      <c r="B693" s="290" t="e">
        <f t="shared" si="26"/>
        <v>#NAME?</v>
      </c>
      <c r="C693" s="295" t="str">
        <f>'Inventory Takeoff'!C697</f>
        <v>7" MSI with S &amp; D</v>
      </c>
      <c r="D693" s="297" t="str">
        <f>'Inventory Takeoff'!D697</f>
        <v>Each</v>
      </c>
      <c r="E693" s="291">
        <f>'Inventory Takeoff'!G697</f>
        <v>10.5</v>
      </c>
    </row>
    <row r="694" spans="1:5" ht="15.5">
      <c r="A694" s="290">
        <f>'Inventory Takeoff'!B698</f>
        <v>693</v>
      </c>
      <c r="B694" s="290" t="e">
        <f t="shared" si="26"/>
        <v>#NAME?</v>
      </c>
      <c r="C694" s="295" t="str">
        <f>'Inventory Takeoff'!C698</f>
        <v>8" MSI with S &amp; D</v>
      </c>
      <c r="D694" s="297" t="str">
        <f>'Inventory Takeoff'!D698</f>
        <v>Each</v>
      </c>
      <c r="E694" s="291">
        <f>'Inventory Takeoff'!G698</f>
        <v>8.02</v>
      </c>
    </row>
    <row r="695" spans="1:5" ht="15.5">
      <c r="A695" s="290">
        <f>'Inventory Takeoff'!B699</f>
        <v>694</v>
      </c>
      <c r="B695" s="290" t="e">
        <f t="shared" si="26"/>
        <v>#NAME?</v>
      </c>
      <c r="C695" s="295" t="str">
        <f>'Inventory Takeoff'!C699</f>
        <v>9" MSI with S &amp; D</v>
      </c>
      <c r="D695" s="297" t="str">
        <f>'Inventory Takeoff'!D699</f>
        <v>Each</v>
      </c>
      <c r="E695" s="291">
        <f>'Inventory Takeoff'!G699</f>
        <v>10.64</v>
      </c>
    </row>
    <row r="696" spans="1:5" ht="15.5">
      <c r="A696" s="290">
        <f>'Inventory Takeoff'!B700</f>
        <v>695</v>
      </c>
      <c r="B696" s="290" t="e">
        <f t="shared" si="26"/>
        <v>#NAME?</v>
      </c>
      <c r="C696" s="295" t="str">
        <f>'Inventory Takeoff'!C700</f>
        <v>10" MSI with S &amp; D</v>
      </c>
      <c r="D696" s="297" t="str">
        <f>'Inventory Takeoff'!D700</f>
        <v>Each</v>
      </c>
      <c r="E696" s="291">
        <f>'Inventory Takeoff'!G700</f>
        <v>11.08</v>
      </c>
    </row>
    <row r="697" spans="1:5" ht="15.5">
      <c r="A697" s="290">
        <f>'Inventory Takeoff'!B701</f>
        <v>696</v>
      </c>
      <c r="B697" s="290" t="e">
        <f t="shared" ref="B697:B727" si="27">IF(SUMIFS(Ancillary_Qty,Ancillary_InventoryCode,A697,Ancillary_BoughtOut,"No")=0,"",SUMIFS(Ancillary_Qty,Ancillary_InventoryCode,A697,Ancillary_BoughtOut,"No"))</f>
        <v>#NAME?</v>
      </c>
      <c r="C697" s="295" t="str">
        <f>'Inventory Takeoff'!C701</f>
        <v>12" MSI with S &amp; D</v>
      </c>
      <c r="D697" s="297" t="str">
        <f>'Inventory Takeoff'!D701</f>
        <v>Each</v>
      </c>
      <c r="E697" s="291">
        <f>'Inventory Takeoff'!G701</f>
        <v>11.84</v>
      </c>
    </row>
    <row r="698" spans="1:5" ht="15.5">
      <c r="A698" s="290">
        <f>'Inventory Takeoff'!B702</f>
        <v>697</v>
      </c>
      <c r="B698" s="290" t="e">
        <f t="shared" si="27"/>
        <v>#NAME?</v>
      </c>
      <c r="C698" s="295" t="str">
        <f>'Inventory Takeoff'!C702</f>
        <v>14" MSI with S &amp; D</v>
      </c>
      <c r="D698" s="297" t="str">
        <f>'Inventory Takeoff'!D702</f>
        <v>Each</v>
      </c>
      <c r="E698" s="291">
        <f>'Inventory Takeoff'!G702</f>
        <v>17.11</v>
      </c>
    </row>
    <row r="699" spans="1:5" ht="15.5">
      <c r="A699" s="290">
        <f>'Inventory Takeoff'!B703</f>
        <v>698</v>
      </c>
      <c r="B699" s="290" t="e">
        <f t="shared" si="27"/>
        <v>#NAME?</v>
      </c>
      <c r="C699" s="295" t="str">
        <f>'Inventory Takeoff'!C703</f>
        <v>16" MSI with S &amp; D</v>
      </c>
      <c r="D699" s="297" t="str">
        <f>'Inventory Takeoff'!D703</f>
        <v>Each</v>
      </c>
      <c r="E699" s="291">
        <f>'Inventory Takeoff'!G703</f>
        <v>21.33</v>
      </c>
    </row>
    <row r="700" spans="1:5" ht="15.5">
      <c r="A700" s="290">
        <f>'Inventory Takeoff'!B704</f>
        <v>699</v>
      </c>
      <c r="B700" s="290" t="e">
        <f t="shared" si="27"/>
        <v>#NAME?</v>
      </c>
      <c r="C700" s="295" t="str">
        <f>'Inventory Takeoff'!C704</f>
        <v>Not Used</v>
      </c>
      <c r="D700" s="297">
        <f>'Inventory Takeoff'!D704</f>
        <v>0</v>
      </c>
      <c r="E700" s="291">
        <f>'Inventory Takeoff'!G704</f>
        <v>0</v>
      </c>
    </row>
    <row r="701" spans="1:5" ht="15.5">
      <c r="A701" s="290">
        <f>'Inventory Takeoff'!B705</f>
        <v>700</v>
      </c>
      <c r="B701" s="290" t="e">
        <f t="shared" si="27"/>
        <v>#NAME?</v>
      </c>
      <c r="C701" s="295" t="str">
        <f>'Inventory Takeoff'!C705</f>
        <v>4" Spiral 45 Degree Ell</v>
      </c>
      <c r="D701" s="297" t="str">
        <f>'Inventory Takeoff'!D705</f>
        <v>Each</v>
      </c>
      <c r="E701" s="291">
        <f>'Inventory Takeoff'!G705</f>
        <v>15.06</v>
      </c>
    </row>
    <row r="702" spans="1:5" ht="15.5">
      <c r="A702" s="290">
        <f>'Inventory Takeoff'!B706</f>
        <v>701</v>
      </c>
      <c r="B702" s="290" t="e">
        <f t="shared" si="27"/>
        <v>#NAME?</v>
      </c>
      <c r="C702" s="295" t="str">
        <f>'Inventory Takeoff'!C706</f>
        <v>4" Spiral 90 Degree Ell</v>
      </c>
      <c r="D702" s="297" t="str">
        <f>'Inventory Takeoff'!D706</f>
        <v>Each</v>
      </c>
      <c r="E702" s="291">
        <f>'Inventory Takeoff'!G706</f>
        <v>15.83</v>
      </c>
    </row>
    <row r="703" spans="1:5" ht="15.5">
      <c r="A703" s="290">
        <f>'Inventory Takeoff'!B707</f>
        <v>702</v>
      </c>
      <c r="B703" s="290" t="e">
        <f t="shared" si="27"/>
        <v>#NAME?</v>
      </c>
      <c r="C703" s="295" t="str">
        <f>'Inventory Takeoff'!C707</f>
        <v>5" Spiral 45 Degree Ell</v>
      </c>
      <c r="D703" s="297" t="str">
        <f>'Inventory Takeoff'!D707</f>
        <v>Each</v>
      </c>
      <c r="E703" s="291">
        <f>'Inventory Takeoff'!G707</f>
        <v>15.040000000000001</v>
      </c>
    </row>
    <row r="704" spans="1:5" ht="15.5">
      <c r="A704" s="290">
        <f>'Inventory Takeoff'!B708</f>
        <v>703</v>
      </c>
      <c r="B704" s="290" t="e">
        <f t="shared" si="27"/>
        <v>#NAME?</v>
      </c>
      <c r="C704" s="295" t="str">
        <f>'Inventory Takeoff'!C708</f>
        <v>5" Spiral 90 Degree Ell</v>
      </c>
      <c r="D704" s="297" t="str">
        <f>'Inventory Takeoff'!D708</f>
        <v>Each</v>
      </c>
      <c r="E704" s="291">
        <f>'Inventory Takeoff'!G708</f>
        <v>15.84</v>
      </c>
    </row>
    <row r="705" spans="1:5" ht="15.5">
      <c r="A705" s="290">
        <f>'Inventory Takeoff'!B709</f>
        <v>704</v>
      </c>
      <c r="B705" s="290" t="e">
        <f t="shared" si="27"/>
        <v>#NAME?</v>
      </c>
      <c r="C705" s="295" t="str">
        <f>'Inventory Takeoff'!C709</f>
        <v>6" Spiral 45 Degree Ell</v>
      </c>
      <c r="D705" s="297" t="str">
        <f>'Inventory Takeoff'!D709</f>
        <v>Each</v>
      </c>
      <c r="E705" s="291">
        <f>'Inventory Takeoff'!G709</f>
        <v>14.52</v>
      </c>
    </row>
    <row r="706" spans="1:5" ht="15.5">
      <c r="A706" s="290">
        <f>'Inventory Takeoff'!B710</f>
        <v>705</v>
      </c>
      <c r="B706" s="290" t="e">
        <f t="shared" si="27"/>
        <v>#NAME?</v>
      </c>
      <c r="C706" s="295" t="str">
        <f>'Inventory Takeoff'!C710</f>
        <v>6" Spiral 90 Degree Ell</v>
      </c>
      <c r="D706" s="297" t="str">
        <f>'Inventory Takeoff'!D710</f>
        <v>Each</v>
      </c>
      <c r="E706" s="291">
        <f>'Inventory Takeoff'!G710</f>
        <v>15.22</v>
      </c>
    </row>
    <row r="707" spans="1:5" ht="15.5">
      <c r="A707" s="290">
        <f>'Inventory Takeoff'!B711</f>
        <v>706</v>
      </c>
      <c r="B707" s="290" t="e">
        <f t="shared" si="27"/>
        <v>#NAME?</v>
      </c>
      <c r="C707" s="295" t="str">
        <f>'Inventory Takeoff'!C711</f>
        <v>7" Spiral 45 Degree Ell</v>
      </c>
      <c r="D707" s="297" t="str">
        <f>'Inventory Takeoff'!D711</f>
        <v>Each</v>
      </c>
      <c r="E707" s="291">
        <f>'Inventory Takeoff'!G711</f>
        <v>17.849999999999998</v>
      </c>
    </row>
    <row r="708" spans="1:5" ht="15.5">
      <c r="A708" s="290">
        <f>'Inventory Takeoff'!B712</f>
        <v>707</v>
      </c>
      <c r="B708" s="290" t="e">
        <f t="shared" si="27"/>
        <v>#NAME?</v>
      </c>
      <c r="C708" s="295" t="str">
        <f>'Inventory Takeoff'!C712</f>
        <v>7" Spiral 90 Degree Ell</v>
      </c>
      <c r="D708" s="297" t="str">
        <f>'Inventory Takeoff'!D712</f>
        <v>Each</v>
      </c>
      <c r="E708" s="291">
        <f>'Inventory Takeoff'!G712</f>
        <v>18.63</v>
      </c>
    </row>
    <row r="709" spans="1:5" ht="15.5">
      <c r="A709" s="290">
        <f>'Inventory Takeoff'!B713</f>
        <v>708</v>
      </c>
      <c r="B709" s="290" t="e">
        <f t="shared" si="27"/>
        <v>#NAME?</v>
      </c>
      <c r="C709" s="295" t="str">
        <f>'Inventory Takeoff'!C713</f>
        <v>8" Spiral 45 Degree Ell</v>
      </c>
      <c r="D709" s="297" t="str">
        <f>'Inventory Takeoff'!D713</f>
        <v>Each</v>
      </c>
      <c r="E709" s="291">
        <f>'Inventory Takeoff'!G713</f>
        <v>17.849999999999998</v>
      </c>
    </row>
    <row r="710" spans="1:5" ht="15.5">
      <c r="A710" s="290">
        <f>'Inventory Takeoff'!B714</f>
        <v>709</v>
      </c>
      <c r="B710" s="290" t="e">
        <f t="shared" si="27"/>
        <v>#NAME?</v>
      </c>
      <c r="C710" s="295" t="str">
        <f>'Inventory Takeoff'!C714</f>
        <v>8" Spiral 90 Degree Ell</v>
      </c>
      <c r="D710" s="297" t="str">
        <f>'Inventory Takeoff'!D714</f>
        <v>Each</v>
      </c>
      <c r="E710" s="291">
        <f>'Inventory Takeoff'!G714</f>
        <v>18.63</v>
      </c>
    </row>
    <row r="711" spans="1:5" ht="15.5">
      <c r="A711" s="290">
        <f>'Inventory Takeoff'!B715</f>
        <v>710</v>
      </c>
      <c r="B711" s="290" t="e">
        <f t="shared" si="27"/>
        <v>#NAME?</v>
      </c>
      <c r="C711" s="295" t="str">
        <f>'Inventory Takeoff'!C715</f>
        <v>9" Spiral 45 Degree Ell</v>
      </c>
      <c r="D711" s="297" t="str">
        <f>'Inventory Takeoff'!D715</f>
        <v>Each</v>
      </c>
      <c r="E711" s="291">
        <f>'Inventory Takeoff'!G715</f>
        <v>22.13</v>
      </c>
    </row>
    <row r="712" spans="1:5" ht="15.5">
      <c r="A712" s="290">
        <f>'Inventory Takeoff'!B716</f>
        <v>711</v>
      </c>
      <c r="B712" s="290" t="e">
        <f t="shared" si="27"/>
        <v>#NAME?</v>
      </c>
      <c r="C712" s="295" t="str">
        <f>'Inventory Takeoff'!C716</f>
        <v>9" Spiral 90 Degree Ell</v>
      </c>
      <c r="D712" s="297" t="str">
        <f>'Inventory Takeoff'!D716</f>
        <v>Each</v>
      </c>
      <c r="E712" s="291">
        <f>'Inventory Takeoff'!G716</f>
        <v>25.09</v>
      </c>
    </row>
    <row r="713" spans="1:5" ht="15.5">
      <c r="A713" s="290">
        <f>'Inventory Takeoff'!B717</f>
        <v>712</v>
      </c>
      <c r="B713" s="290" t="e">
        <f t="shared" si="27"/>
        <v>#NAME?</v>
      </c>
      <c r="C713" s="295" t="str">
        <f>'Inventory Takeoff'!C717</f>
        <v>10" Spiral 45 Degree Ell</v>
      </c>
      <c r="D713" s="297" t="str">
        <f>'Inventory Takeoff'!D717</f>
        <v>Each</v>
      </c>
      <c r="E713" s="291">
        <f>'Inventory Takeoff'!G717</f>
        <v>22.13</v>
      </c>
    </row>
    <row r="714" spans="1:5" ht="15.5">
      <c r="A714" s="290">
        <f>'Inventory Takeoff'!B718</f>
        <v>713</v>
      </c>
      <c r="B714" s="290" t="e">
        <f t="shared" si="27"/>
        <v>#NAME?</v>
      </c>
      <c r="C714" s="295" t="str">
        <f>'Inventory Takeoff'!C718</f>
        <v>10" Spiral 90 Degree Ell</v>
      </c>
      <c r="D714" s="297" t="str">
        <f>'Inventory Takeoff'!D718</f>
        <v>Each</v>
      </c>
      <c r="E714" s="291">
        <f>'Inventory Takeoff'!G718</f>
        <v>28.770000000000003</v>
      </c>
    </row>
    <row r="715" spans="1:5" ht="15.5">
      <c r="A715" s="290">
        <f>'Inventory Takeoff'!B719</f>
        <v>714</v>
      </c>
      <c r="B715" s="290" t="e">
        <f t="shared" si="27"/>
        <v>#NAME?</v>
      </c>
      <c r="C715" s="295" t="str">
        <f>'Inventory Takeoff'!C719</f>
        <v>12" Spiral 45 Degree Ell</v>
      </c>
      <c r="D715" s="297" t="str">
        <f>'Inventory Takeoff'!D719</f>
        <v>Each</v>
      </c>
      <c r="E715" s="291">
        <f>'Inventory Takeoff'!G719</f>
        <v>25.810000000000002</v>
      </c>
    </row>
    <row r="716" spans="1:5" ht="15.5">
      <c r="A716" s="290">
        <f>'Inventory Takeoff'!B720</f>
        <v>715</v>
      </c>
      <c r="B716" s="290" t="e">
        <f t="shared" si="27"/>
        <v>#NAME?</v>
      </c>
      <c r="C716" s="295" t="str">
        <f>'Inventory Takeoff'!C720</f>
        <v>12" Spiral 90 Degree Ell</v>
      </c>
      <c r="D716" s="297" t="str">
        <f>'Inventory Takeoff'!D720</f>
        <v>Each</v>
      </c>
      <c r="E716" s="291">
        <f>'Inventory Takeoff'!G720</f>
        <v>36.910000000000004</v>
      </c>
    </row>
    <row r="717" spans="1:5" ht="15.5">
      <c r="A717" s="290">
        <f>'Inventory Takeoff'!B721</f>
        <v>716</v>
      </c>
      <c r="B717" s="290" t="e">
        <f t="shared" si="27"/>
        <v>#NAME?</v>
      </c>
      <c r="C717" s="295" t="str">
        <f>'Inventory Takeoff'!C721</f>
        <v>14" Spiral 45 Degree Ell</v>
      </c>
      <c r="D717" s="297" t="str">
        <f>'Inventory Takeoff'!D721</f>
        <v>Each</v>
      </c>
      <c r="E717" s="291">
        <f>'Inventory Takeoff'!G721</f>
        <v>30.25</v>
      </c>
    </row>
    <row r="718" spans="1:5" ht="15.5">
      <c r="A718" s="290">
        <f>'Inventory Takeoff'!B722</f>
        <v>717</v>
      </c>
      <c r="B718" s="290" t="e">
        <f t="shared" si="27"/>
        <v>#NAME?</v>
      </c>
      <c r="C718" s="295" t="str">
        <f>'Inventory Takeoff'!C722</f>
        <v>14" Spiral 90 Degree Ell</v>
      </c>
      <c r="D718" s="297" t="str">
        <f>'Inventory Takeoff'!D722</f>
        <v>Each</v>
      </c>
      <c r="E718" s="291">
        <f>'Inventory Takeoff'!G722</f>
        <v>45.75</v>
      </c>
    </row>
    <row r="719" spans="1:5" ht="15.5">
      <c r="A719" s="290">
        <f>'Inventory Takeoff'!B723</f>
        <v>718</v>
      </c>
      <c r="B719" s="290" t="e">
        <f t="shared" si="27"/>
        <v>#NAME?</v>
      </c>
      <c r="C719" s="295" t="str">
        <f>'Inventory Takeoff'!C723</f>
        <v>16" Spiral 45 Degree Ell</v>
      </c>
      <c r="D719" s="297" t="str">
        <f>'Inventory Takeoff'!D723</f>
        <v>Each</v>
      </c>
      <c r="E719" s="291">
        <f>'Inventory Takeoff'!G723</f>
        <v>52.66</v>
      </c>
    </row>
    <row r="720" spans="1:5" ht="15.5">
      <c r="A720" s="290">
        <f>'Inventory Takeoff'!B724</f>
        <v>719</v>
      </c>
      <c r="B720" s="290" t="e">
        <f t="shared" si="27"/>
        <v>#NAME?</v>
      </c>
      <c r="C720" s="295" t="str">
        <f>'Inventory Takeoff'!C724</f>
        <v>16" Spiral 90 Degree Ell</v>
      </c>
      <c r="D720" s="297" t="str">
        <f>'Inventory Takeoff'!D724</f>
        <v>Each</v>
      </c>
      <c r="E720" s="291">
        <f>'Inventory Takeoff'!G724</f>
        <v>87.77</v>
      </c>
    </row>
    <row r="721" spans="1:5" ht="15.5">
      <c r="A721" s="290">
        <f>'Inventory Takeoff'!B725</f>
        <v>720</v>
      </c>
      <c r="B721" s="290" t="e">
        <f t="shared" si="27"/>
        <v>#NAME?</v>
      </c>
      <c r="C721" s="295" t="str">
        <f>'Inventory Takeoff'!C725</f>
        <v>18" Spiral 45 Degree Ell</v>
      </c>
      <c r="D721" s="297" t="str">
        <f>'Inventory Takeoff'!D725</f>
        <v>Each</v>
      </c>
      <c r="E721" s="291">
        <f>'Inventory Takeoff'!G725</f>
        <v>59.739999999999995</v>
      </c>
    </row>
    <row r="722" spans="1:5" ht="15.5">
      <c r="A722" s="290">
        <f>'Inventory Takeoff'!B726</f>
        <v>721</v>
      </c>
      <c r="B722" s="290" t="e">
        <f t="shared" si="27"/>
        <v>#NAME?</v>
      </c>
      <c r="C722" s="295" t="str">
        <f>'Inventory Takeoff'!C726</f>
        <v>18" Spiral 90 Degree Ell</v>
      </c>
      <c r="D722" s="297" t="str">
        <f>'Inventory Takeoff'!D726</f>
        <v>Each</v>
      </c>
      <c r="E722" s="291">
        <f>'Inventory Takeoff'!G726</f>
        <v>101.79</v>
      </c>
    </row>
    <row r="723" spans="1:5" ht="15.5">
      <c r="A723" s="290">
        <f>'Inventory Takeoff'!B727</f>
        <v>722</v>
      </c>
      <c r="B723" s="290" t="e">
        <f t="shared" si="27"/>
        <v>#NAME?</v>
      </c>
      <c r="C723" s="295" t="str">
        <f>'Inventory Takeoff'!C727</f>
        <v>20" Spiral 45 Degree Ell</v>
      </c>
      <c r="D723" s="297" t="str">
        <f>'Inventory Takeoff'!D727</f>
        <v>Each</v>
      </c>
      <c r="E723" s="291">
        <f>'Inventory Takeoff'!G727</f>
        <v>65.510000000000005</v>
      </c>
    </row>
    <row r="724" spans="1:5" ht="15.5">
      <c r="A724" s="290">
        <f>'Inventory Takeoff'!B728</f>
        <v>723</v>
      </c>
      <c r="B724" s="290" t="e">
        <f t="shared" si="27"/>
        <v>#NAME?</v>
      </c>
      <c r="C724" s="295" t="str">
        <f>'Inventory Takeoff'!C728</f>
        <v>20" Spiral 90 Degree Ell</v>
      </c>
      <c r="D724" s="297" t="str">
        <f>'Inventory Takeoff'!D728</f>
        <v>Each</v>
      </c>
      <c r="E724" s="291">
        <f>'Inventory Takeoff'!G728</f>
        <v>125.35</v>
      </c>
    </row>
    <row r="725" spans="1:5" ht="15.5">
      <c r="A725" s="290">
        <f>'Inventory Takeoff'!B729</f>
        <v>724</v>
      </c>
      <c r="B725" s="290" t="e">
        <f t="shared" si="27"/>
        <v>#NAME?</v>
      </c>
      <c r="C725" s="295" t="str">
        <f>'Inventory Takeoff'!C729</f>
        <v>22" Spiral 45 Degree Ell</v>
      </c>
      <c r="D725" s="297" t="str">
        <f>'Inventory Takeoff'!D729</f>
        <v>Each</v>
      </c>
      <c r="E725" s="291">
        <f>'Inventory Takeoff'!G729</f>
        <v>84.29</v>
      </c>
    </row>
    <row r="726" spans="1:5" ht="15.5">
      <c r="A726" s="290">
        <f>'Inventory Takeoff'!B730</f>
        <v>725</v>
      </c>
      <c r="B726" s="290" t="e">
        <f t="shared" si="27"/>
        <v>#NAME?</v>
      </c>
      <c r="C726" s="295" t="str">
        <f>'Inventory Takeoff'!C730</f>
        <v>22" Spiral 90 Degree Ell</v>
      </c>
      <c r="D726" s="297" t="str">
        <f>'Inventory Takeoff'!D730</f>
        <v>Each</v>
      </c>
      <c r="E726" s="291">
        <f>'Inventory Takeoff'!G730</f>
        <v>136.85</v>
      </c>
    </row>
    <row r="727" spans="1:5" ht="15.5">
      <c r="A727" s="290">
        <f>'Inventory Takeoff'!B731</f>
        <v>726</v>
      </c>
      <c r="B727" s="290" t="e">
        <f t="shared" si="27"/>
        <v>#NAME?</v>
      </c>
      <c r="C727" s="295" t="str">
        <f>'Inventory Takeoff'!C731</f>
        <v>24" Spiral 45 Degree Ell</v>
      </c>
      <c r="D727" s="297" t="str">
        <f>'Inventory Takeoff'!D731</f>
        <v>Each</v>
      </c>
      <c r="E727" s="291">
        <f>'Inventory Takeoff'!G731</f>
        <v>110.19</v>
      </c>
    </row>
    <row r="728" spans="1:5" ht="15.5">
      <c r="A728" s="290">
        <f>'Inventory Takeoff'!B732</f>
        <v>727</v>
      </c>
      <c r="B728" s="290" t="e">
        <f>IF(SUMIFS(Ancillary_Length,Ancillary_InventoryCode,A728,Ancillary_BoughtOut,"No")=0,"",SUMIFS(Ancillary_Length,Ancillary_InventoryCode,A728,Ancillary_BoughtOut,"No"))</f>
        <v>#NAME?</v>
      </c>
      <c r="C728" s="295" t="str">
        <f>'Inventory Takeoff'!C732</f>
        <v>24" Spiral 90 Degree Ell</v>
      </c>
      <c r="D728" s="297" t="str">
        <f>'Inventory Takeoff'!D732</f>
        <v>Each</v>
      </c>
      <c r="E728" s="291">
        <f>'Inventory Takeoff'!G732</f>
        <v>151.80000000000001</v>
      </c>
    </row>
    <row r="729" spans="1:5" ht="15.5">
      <c r="A729" s="290">
        <f>'Inventory Takeoff'!B733</f>
        <v>728</v>
      </c>
      <c r="B729" s="290" t="e">
        <f>IF(SUMIFS(Ancillary_Qty,Ancillary_InventoryCode,A729,Ancillary_BoughtOut,"No")=0,"",SUMIFS(Ancillary_Qty,Ancillary_InventoryCode,A729,Ancillary_BoughtOut,"No"))</f>
        <v>#NAME?</v>
      </c>
      <c r="C729" s="295" t="str">
        <f>'Inventory Takeoff'!C733</f>
        <v>Not Used</v>
      </c>
      <c r="D729" s="297">
        <f>'Inventory Takeoff'!D733</f>
        <v>0</v>
      </c>
      <c r="E729" s="291">
        <f>'Inventory Takeoff'!G733</f>
        <v>0</v>
      </c>
    </row>
    <row r="730" spans="1:5" ht="15.5">
      <c r="A730" s="290">
        <f>'Inventory Takeoff'!B734</f>
        <v>729</v>
      </c>
      <c r="B730" s="290" t="str">
        <f t="shared" ref="B730:B757" si="28">IF(H730=0,"",H730*10)</f>
        <v/>
      </c>
      <c r="C730" s="295" t="str">
        <f>'Inventory Takeoff'!C734</f>
        <v>4" Spiral Galvanized</v>
      </c>
      <c r="D730" s="297" t="str">
        <f>'Inventory Takeoff'!D734</f>
        <v>Foot</v>
      </c>
      <c r="E730" s="291">
        <f>'Inventory Takeoff'!G734</f>
        <v>2.97</v>
      </c>
    </row>
    <row r="731" spans="1:5" ht="15.5">
      <c r="A731" s="290" t="str">
        <f>'Inventory Takeoff'!B735</f>
        <v>729-SS304</v>
      </c>
      <c r="B731" s="290" t="str">
        <f t="shared" si="28"/>
        <v/>
      </c>
      <c r="C731" s="295" t="str">
        <f>'Inventory Takeoff'!C735</f>
        <v>4" Spiral  Stainless</v>
      </c>
      <c r="D731" s="297" t="str">
        <f>'Inventory Takeoff'!D735</f>
        <v>Foot</v>
      </c>
      <c r="E731" s="291">
        <f>'Inventory Takeoff'!G735</f>
        <v>57.650000000000006</v>
      </c>
    </row>
    <row r="732" spans="1:5" ht="15.5">
      <c r="A732" s="290">
        <f>'Inventory Takeoff'!B736</f>
        <v>730</v>
      </c>
      <c r="B732" s="290" t="str">
        <f t="shared" si="28"/>
        <v/>
      </c>
      <c r="C732" s="295" t="str">
        <f>'Inventory Takeoff'!C736</f>
        <v>5" Spiral Galvanized</v>
      </c>
      <c r="D732" s="297" t="str">
        <f>'Inventory Takeoff'!D736</f>
        <v>Foot</v>
      </c>
      <c r="E732" s="291">
        <f>'Inventory Takeoff'!G736</f>
        <v>3.7199999999999998</v>
      </c>
    </row>
    <row r="733" spans="1:5" ht="15.5">
      <c r="A733" s="290" t="str">
        <f>'Inventory Takeoff'!B737</f>
        <v>730-SS304</v>
      </c>
      <c r="B733" s="290" t="str">
        <f t="shared" si="28"/>
        <v/>
      </c>
      <c r="C733" s="295" t="str">
        <f>'Inventory Takeoff'!C737</f>
        <v>5" Spiral  Stainless</v>
      </c>
      <c r="D733" s="297" t="str">
        <f>'Inventory Takeoff'!D737</f>
        <v>Foot</v>
      </c>
      <c r="E733" s="291">
        <f>'Inventory Takeoff'!G737</f>
        <v>16.73</v>
      </c>
    </row>
    <row r="734" spans="1:5" ht="15.5">
      <c r="A734" s="290">
        <f>'Inventory Takeoff'!B738</f>
        <v>731</v>
      </c>
      <c r="B734" s="290" t="str">
        <f t="shared" si="28"/>
        <v/>
      </c>
      <c r="C734" s="295" t="str">
        <f>'Inventory Takeoff'!C738</f>
        <v>6" Spiral Galvanized</v>
      </c>
      <c r="D734" s="297" t="str">
        <f>'Inventory Takeoff'!D738</f>
        <v>Foot</v>
      </c>
      <c r="E734" s="291">
        <f>'Inventory Takeoff'!G738</f>
        <v>3.75</v>
      </c>
    </row>
    <row r="735" spans="1:5" ht="15.5">
      <c r="A735" s="290" t="str">
        <f>'Inventory Takeoff'!B739</f>
        <v>731-SS304</v>
      </c>
      <c r="B735" s="290" t="str">
        <f t="shared" si="28"/>
        <v/>
      </c>
      <c r="C735" s="295" t="str">
        <f>'Inventory Takeoff'!C739</f>
        <v>6" Spiral  Stainless</v>
      </c>
      <c r="D735" s="297" t="str">
        <f>'Inventory Takeoff'!D739</f>
        <v>Foot</v>
      </c>
      <c r="E735" s="291">
        <f>'Inventory Takeoff'!G739</f>
        <v>19.47</v>
      </c>
    </row>
    <row r="736" spans="1:5" ht="15.5">
      <c r="A736" s="290">
        <f>'Inventory Takeoff'!B740</f>
        <v>732</v>
      </c>
      <c r="B736" s="290" t="str">
        <f t="shared" si="28"/>
        <v/>
      </c>
      <c r="C736" s="295" t="str">
        <f>'Inventory Takeoff'!C740</f>
        <v>7" Spiral Galvanized</v>
      </c>
      <c r="D736" s="297" t="str">
        <f>'Inventory Takeoff'!D740</f>
        <v>Foot</v>
      </c>
      <c r="E736" s="291">
        <f>'Inventory Takeoff'!G740</f>
        <v>4.8</v>
      </c>
    </row>
    <row r="737" spans="1:5" ht="15.5">
      <c r="A737" s="290" t="str">
        <f>'Inventory Takeoff'!B741</f>
        <v>732-SS304</v>
      </c>
      <c r="B737" s="290" t="str">
        <f t="shared" si="28"/>
        <v/>
      </c>
      <c r="C737" s="295" t="str">
        <f>'Inventory Takeoff'!C741</f>
        <v>7" Spiral  Stainless</v>
      </c>
      <c r="D737" s="297" t="str">
        <f>'Inventory Takeoff'!D741</f>
        <v>Foot</v>
      </c>
      <c r="E737" s="291">
        <f>'Inventory Takeoff'!G741</f>
        <v>22.69</v>
      </c>
    </row>
    <row r="738" spans="1:5" ht="15.5">
      <c r="A738" s="290">
        <f>'Inventory Takeoff'!B742</f>
        <v>733</v>
      </c>
      <c r="B738" s="290" t="str">
        <f t="shared" si="28"/>
        <v/>
      </c>
      <c r="C738" s="295" t="str">
        <f>'Inventory Takeoff'!C742</f>
        <v>8" Spiral Galvanized</v>
      </c>
      <c r="D738" s="297" t="str">
        <f>'Inventory Takeoff'!D742</f>
        <v>Foot</v>
      </c>
      <c r="E738" s="291">
        <f>'Inventory Takeoff'!G742</f>
        <v>5.3500000000000005</v>
      </c>
    </row>
    <row r="739" spans="1:5" ht="15.5">
      <c r="A739" s="290" t="str">
        <f>'Inventory Takeoff'!B743</f>
        <v>733-SS304</v>
      </c>
      <c r="B739" s="290" t="str">
        <f t="shared" si="28"/>
        <v/>
      </c>
      <c r="C739" s="295" t="str">
        <f>'Inventory Takeoff'!C743</f>
        <v>8" Spiral  Stainless</v>
      </c>
      <c r="D739" s="297" t="str">
        <f>'Inventory Takeoff'!D743</f>
        <v>Foot</v>
      </c>
      <c r="E739" s="291">
        <f>'Inventory Takeoff'!G743</f>
        <v>25.91</v>
      </c>
    </row>
    <row r="740" spans="1:5" ht="15.5">
      <c r="A740" s="290">
        <f>'Inventory Takeoff'!B744</f>
        <v>734</v>
      </c>
      <c r="B740" s="290" t="str">
        <f t="shared" si="28"/>
        <v/>
      </c>
      <c r="C740" s="295" t="str">
        <f>'Inventory Takeoff'!C744</f>
        <v>9" Spiral Galvanized</v>
      </c>
      <c r="D740" s="297" t="str">
        <f>'Inventory Takeoff'!D744</f>
        <v>Foot</v>
      </c>
      <c r="E740" s="291">
        <f>'Inventory Takeoff'!G744</f>
        <v>7.0699999999999994</v>
      </c>
    </row>
    <row r="741" spans="1:5" ht="15.5">
      <c r="A741" s="290" t="str">
        <f>'Inventory Takeoff'!B745</f>
        <v>734-SS304</v>
      </c>
      <c r="B741" s="290" t="str">
        <f t="shared" si="28"/>
        <v/>
      </c>
      <c r="C741" s="295" t="str">
        <f>'Inventory Takeoff'!C745</f>
        <v>9" Spiral  Stainless</v>
      </c>
      <c r="D741" s="297" t="str">
        <f>'Inventory Takeoff'!D745</f>
        <v>Foot</v>
      </c>
      <c r="E741" s="291">
        <f>'Inventory Takeoff'!G745</f>
        <v>29.16</v>
      </c>
    </row>
    <row r="742" spans="1:5" ht="15.5">
      <c r="A742" s="290">
        <f>'Inventory Takeoff'!B746</f>
        <v>735</v>
      </c>
      <c r="B742" s="290" t="str">
        <f t="shared" si="28"/>
        <v/>
      </c>
      <c r="C742" s="295" t="str">
        <f>'Inventory Takeoff'!C746</f>
        <v>10" Spiral Galvanized</v>
      </c>
      <c r="D742" s="297" t="str">
        <f>'Inventory Takeoff'!D746</f>
        <v>Foot</v>
      </c>
      <c r="E742" s="291">
        <f>'Inventory Takeoff'!G746</f>
        <v>5.96</v>
      </c>
    </row>
    <row r="743" spans="1:5" ht="15.5">
      <c r="A743" s="290" t="str">
        <f>'Inventory Takeoff'!B747</f>
        <v>735-SS304</v>
      </c>
      <c r="B743" s="290" t="str">
        <f t="shared" si="28"/>
        <v/>
      </c>
      <c r="C743" s="295" t="str">
        <f>'Inventory Takeoff'!C747</f>
        <v>10" Spiral  Stainless</v>
      </c>
      <c r="D743" s="297" t="str">
        <f>'Inventory Takeoff'!D747</f>
        <v>Foot</v>
      </c>
      <c r="E743" s="291">
        <f>'Inventory Takeoff'!G747</f>
        <v>32.39</v>
      </c>
    </row>
    <row r="744" spans="1:5" ht="15.5">
      <c r="A744" s="290">
        <f>'Inventory Takeoff'!B748</f>
        <v>737</v>
      </c>
      <c r="B744" s="290" t="str">
        <f t="shared" si="28"/>
        <v/>
      </c>
      <c r="C744" s="295" t="str">
        <f>'Inventory Takeoff'!C748</f>
        <v>12" Spiral Galvanized</v>
      </c>
      <c r="D744" s="297" t="str">
        <f>'Inventory Takeoff'!D748</f>
        <v>Foot</v>
      </c>
      <c r="E744" s="291">
        <f>'Inventory Takeoff'!G748</f>
        <v>7.5600000000000005</v>
      </c>
    </row>
    <row r="745" spans="1:5" ht="15.5">
      <c r="A745" s="290" t="str">
        <f>'Inventory Takeoff'!B749</f>
        <v>737-SS304</v>
      </c>
      <c r="B745" s="290" t="str">
        <f t="shared" si="28"/>
        <v/>
      </c>
      <c r="C745" s="295" t="str">
        <f>'Inventory Takeoff'!C749</f>
        <v>12" Spiral  Stainless</v>
      </c>
      <c r="D745" s="297" t="str">
        <f>'Inventory Takeoff'!D749</f>
        <v>Foot</v>
      </c>
      <c r="E745" s="291">
        <f>'Inventory Takeoff'!G749</f>
        <v>38.83</v>
      </c>
    </row>
    <row r="746" spans="1:5" ht="15.5">
      <c r="A746" s="290">
        <f>'Inventory Takeoff'!B750</f>
        <v>739</v>
      </c>
      <c r="B746" s="290" t="str">
        <f t="shared" si="28"/>
        <v/>
      </c>
      <c r="C746" s="295" t="str">
        <f>'Inventory Takeoff'!C750</f>
        <v>14" Spiral Galvanized</v>
      </c>
      <c r="D746" s="297" t="str">
        <f>'Inventory Takeoff'!D750</f>
        <v>Foot</v>
      </c>
      <c r="E746" s="291">
        <f>'Inventory Takeoff'!G750</f>
        <v>9.4</v>
      </c>
    </row>
    <row r="747" spans="1:5" ht="15.5">
      <c r="A747" s="290" t="str">
        <f>'Inventory Takeoff'!B751</f>
        <v>739-SS304</v>
      </c>
      <c r="B747" s="290" t="str">
        <f t="shared" si="28"/>
        <v/>
      </c>
      <c r="C747" s="295" t="str">
        <f>'Inventory Takeoff'!C751</f>
        <v>14" Spiral  Stainless</v>
      </c>
      <c r="D747" s="297" t="str">
        <f>'Inventory Takeoff'!D751</f>
        <v>Foot</v>
      </c>
      <c r="E747" s="291">
        <f>'Inventory Takeoff'!G751</f>
        <v>45.33</v>
      </c>
    </row>
    <row r="748" spans="1:5" ht="15.5">
      <c r="A748" s="290">
        <f>'Inventory Takeoff'!B752</f>
        <v>741</v>
      </c>
      <c r="B748" s="290" t="str">
        <f t="shared" si="28"/>
        <v/>
      </c>
      <c r="C748" s="295" t="str">
        <f>'Inventory Takeoff'!C752</f>
        <v>16" Spiral Galvanized</v>
      </c>
      <c r="D748" s="297" t="str">
        <f>'Inventory Takeoff'!D752</f>
        <v>Foot</v>
      </c>
      <c r="E748" s="291">
        <f>'Inventory Takeoff'!G752</f>
        <v>11.96</v>
      </c>
    </row>
    <row r="749" spans="1:5" ht="15.5">
      <c r="A749" s="290" t="str">
        <f>'Inventory Takeoff'!B753</f>
        <v>741-SS304</v>
      </c>
      <c r="B749" s="290" t="str">
        <f t="shared" si="28"/>
        <v/>
      </c>
      <c r="C749" s="295" t="str">
        <f>'Inventory Takeoff'!C753</f>
        <v>16" Spiral  Stainless</v>
      </c>
      <c r="D749" s="297" t="str">
        <f>'Inventory Takeoff'!D753</f>
        <v>Foot</v>
      </c>
      <c r="E749" s="291">
        <f>'Inventory Takeoff'!G753</f>
        <v>53.300000000000004</v>
      </c>
    </row>
    <row r="750" spans="1:5" ht="15.5">
      <c r="A750" s="290">
        <f>'Inventory Takeoff'!B754</f>
        <v>743</v>
      </c>
      <c r="B750" s="290" t="str">
        <f t="shared" si="28"/>
        <v/>
      </c>
      <c r="C750" s="295" t="str">
        <f>'Inventory Takeoff'!C754</f>
        <v>18" Spiral Galvanized</v>
      </c>
      <c r="D750" s="297" t="str">
        <f>'Inventory Takeoff'!D754</f>
        <v>Foot</v>
      </c>
      <c r="E750" s="291">
        <f>'Inventory Takeoff'!G754</f>
        <v>13.459999999999999</v>
      </c>
    </row>
    <row r="751" spans="1:5" ht="15.5">
      <c r="A751" s="290" t="str">
        <f>'Inventory Takeoff'!B755</f>
        <v>743-SS304</v>
      </c>
      <c r="B751" s="290" t="str">
        <f t="shared" si="28"/>
        <v/>
      </c>
      <c r="C751" s="295" t="str">
        <f>'Inventory Takeoff'!C755</f>
        <v>18" Spiral  Stainless</v>
      </c>
      <c r="D751" s="297" t="str">
        <f>'Inventory Takeoff'!D755</f>
        <v>Foot</v>
      </c>
      <c r="E751" s="291">
        <f>'Inventory Takeoff'!G755</f>
        <v>58.760000000000005</v>
      </c>
    </row>
    <row r="752" spans="1:5" ht="15.5">
      <c r="A752" s="290">
        <f>'Inventory Takeoff'!B756</f>
        <v>745</v>
      </c>
      <c r="B752" s="290" t="str">
        <f t="shared" si="28"/>
        <v/>
      </c>
      <c r="C752" s="295" t="str">
        <f>'Inventory Takeoff'!C756</f>
        <v>20" Spiral Galvanized</v>
      </c>
      <c r="D752" s="297" t="str">
        <f>'Inventory Takeoff'!D756</f>
        <v>Foot</v>
      </c>
      <c r="E752" s="291">
        <f>'Inventory Takeoff'!G756</f>
        <v>14.95</v>
      </c>
    </row>
    <row r="753" spans="1:5" ht="15.5">
      <c r="A753" s="290" t="str">
        <f>'Inventory Takeoff'!B757</f>
        <v>745-SS304</v>
      </c>
      <c r="B753" s="290" t="str">
        <f t="shared" si="28"/>
        <v/>
      </c>
      <c r="C753" s="295" t="str">
        <f>'Inventory Takeoff'!C757</f>
        <v>20" Spiral  Stainless</v>
      </c>
      <c r="D753" s="297" t="str">
        <f>'Inventory Takeoff'!D757</f>
        <v>Foot</v>
      </c>
      <c r="E753" s="291">
        <f>'Inventory Takeoff'!G757</f>
        <v>67.58</v>
      </c>
    </row>
    <row r="754" spans="1:5" ht="15.5">
      <c r="A754" s="290">
        <f>'Inventory Takeoff'!B758</f>
        <v>746</v>
      </c>
      <c r="B754" s="290" t="str">
        <f t="shared" si="28"/>
        <v/>
      </c>
      <c r="C754" s="295" t="str">
        <f>'Inventory Takeoff'!C758</f>
        <v>22" Spiral Galvanized</v>
      </c>
      <c r="D754" s="297" t="str">
        <f>'Inventory Takeoff'!D758</f>
        <v>Foot</v>
      </c>
      <c r="E754" s="291">
        <f>'Inventory Takeoff'!G758</f>
        <v>18.759999999999998</v>
      </c>
    </row>
    <row r="755" spans="1:5" ht="15.5">
      <c r="A755" s="290" t="str">
        <f>'Inventory Takeoff'!B759</f>
        <v>746-SS304</v>
      </c>
      <c r="B755" s="290" t="str">
        <f t="shared" si="28"/>
        <v/>
      </c>
      <c r="C755" s="295" t="str">
        <f>'Inventory Takeoff'!C759</f>
        <v>22" Spiral  Stainless</v>
      </c>
      <c r="D755" s="297" t="str">
        <f>'Inventory Takeoff'!D759</f>
        <v>Foot</v>
      </c>
      <c r="E755" s="291">
        <f>'Inventory Takeoff'!G759</f>
        <v>74.16</v>
      </c>
    </row>
    <row r="756" spans="1:5" ht="15.5">
      <c r="A756" s="290">
        <f>'Inventory Takeoff'!B760</f>
        <v>747</v>
      </c>
      <c r="B756" s="290" t="str">
        <f t="shared" si="28"/>
        <v/>
      </c>
      <c r="C756" s="295" t="str">
        <f>'Inventory Takeoff'!C760</f>
        <v xml:space="preserve">24" Spiral Galvanized </v>
      </c>
      <c r="D756" s="297" t="str">
        <f>'Inventory Takeoff'!D760</f>
        <v>Foot</v>
      </c>
      <c r="E756" s="291">
        <f>'Inventory Takeoff'!G760</f>
        <v>20.73</v>
      </c>
    </row>
    <row r="757" spans="1:5" ht="15.5">
      <c r="A757" s="290" t="str">
        <f>'Inventory Takeoff'!B761</f>
        <v>747-SS304</v>
      </c>
      <c r="B757" s="290" t="str">
        <f t="shared" si="28"/>
        <v/>
      </c>
      <c r="C757" s="295" t="str">
        <f>'Inventory Takeoff'!C761</f>
        <v>24" Spiral  Stainless</v>
      </c>
      <c r="D757" s="297" t="str">
        <f>'Inventory Takeoff'!D761</f>
        <v>Foot</v>
      </c>
      <c r="E757" s="291">
        <f>'Inventory Takeoff'!G761</f>
        <v>81.3</v>
      </c>
    </row>
    <row r="758" spans="1:5" ht="15.5">
      <c r="A758" s="290" t="str">
        <f>'Inventory Takeoff'!B762</f>
        <v>767</v>
      </c>
      <c r="B758" s="290" t="e">
        <f>IF(SUMIFS(Ancillary_Qty,Ancillary_InventoryCode,A758,Ancillary_BoughtOut,"No")=0,"",SUMIFS(Ancillary_Qty,Ancillary_InventoryCode,A758,Ancillary_BoughtOut,"No"))</f>
        <v>#NAME?</v>
      </c>
      <c r="C758" s="295" t="str">
        <f>'Inventory Takeoff'!C762</f>
        <v>Storm Collar 6"</v>
      </c>
      <c r="D758" s="297" t="str">
        <f>'Inventory Takeoff'!D762</f>
        <v>Each</v>
      </c>
      <c r="E758" s="291">
        <f>'Inventory Takeoff'!G762</f>
        <v>10.519600000000001</v>
      </c>
    </row>
    <row r="759" spans="1:5" ht="15.5">
      <c r="A759" s="290" t="str">
        <f>'Inventory Takeoff'!B763</f>
        <v>769</v>
      </c>
      <c r="B759" s="290" t="e">
        <f>IF(SUMIFS(Ancillary_Qty,Ancillary_InventoryCode,A759,Ancillary_BoughtOut,"No")=0,"",SUMIFS(Ancillary_Qty,Ancillary_InventoryCode,A759,Ancillary_BoughtOut,"No"))</f>
        <v>#NAME?</v>
      </c>
      <c r="C759" s="295" t="str">
        <f>'Inventory Takeoff'!C763</f>
        <v>Storm Collar 8"</v>
      </c>
      <c r="D759" s="297" t="str">
        <f>'Inventory Takeoff'!D763</f>
        <v>Each</v>
      </c>
      <c r="E759" s="291">
        <f>'Inventory Takeoff'!G763</f>
        <v>12.932399999999999</v>
      </c>
    </row>
    <row r="760" spans="1:5" ht="15.5">
      <c r="A760" s="290" t="str">
        <f>'Inventory Takeoff'!B764</f>
        <v>784</v>
      </c>
      <c r="B760" s="290" t="e">
        <f>IF(SUMIFS(Ancillary_Qty,Ancillary_InventoryCode,A760,Ancillary_BoughtOut,"No")=0,"",SUMIFS(Ancillary_Qty,Ancillary_InventoryCode,A760,Ancillary_BoughtOut,"No"))</f>
        <v>#NAME?</v>
      </c>
      <c r="C760" s="295" t="str">
        <f>'Inventory Takeoff'!C764</f>
        <v>Duct Tape 2"</v>
      </c>
      <c r="D760" s="297" t="str">
        <f>'Inventory Takeoff'!D764</f>
        <v>Each</v>
      </c>
      <c r="E760" s="291">
        <f>'Inventory Takeoff'!G764</f>
        <v>24.775499999999997</v>
      </c>
    </row>
    <row r="761" spans="1:5" ht="15.5">
      <c r="A761" s="290" t="str">
        <f>'Inventory Takeoff'!B765</f>
        <v>785</v>
      </c>
      <c r="B761" s="290" t="e">
        <f>IF(SUMIFS(Ancillary_Qty,Ancillary_InventoryCode,A761,Ancillary_BoughtOut,"No")=0,"",SUMIFS(Ancillary_Qty,Ancillary_InventoryCode,A761,Ancillary_BoughtOut,"No"))</f>
        <v>#NAME?</v>
      </c>
      <c r="C761" s="295" t="str">
        <f>'Inventory Takeoff'!C765</f>
        <v>Duct Tape 3"</v>
      </c>
      <c r="D761" s="297" t="str">
        <f>'Inventory Takeoff'!D765</f>
        <v>Each</v>
      </c>
      <c r="E761" s="291">
        <f>'Inventory Takeoff'!G765</f>
        <v>37.118600000000001</v>
      </c>
    </row>
    <row r="762" spans="1:5" ht="15.5">
      <c r="A762" s="290" t="str">
        <f>'Inventory Takeoff'!B766</f>
        <v>786</v>
      </c>
      <c r="B762" s="290" t="e">
        <f>IF(SUMIFS(Ancillary_Qty,Ancillary_InventoryCode,A762,Ancillary_BoughtOut,"No")=0,"",SUMIFS(Ancillary_Qty,Ancillary_InventoryCode,A762,Ancillary_BoughtOut,"No"))</f>
        <v>#NAME?</v>
      </c>
      <c r="C762" s="295" t="str">
        <f>'Inventory Takeoff'!C766</f>
        <v>Iron On Tape</v>
      </c>
      <c r="D762" s="297" t="str">
        <f>'Inventory Takeoff'!D766</f>
        <v>Each</v>
      </c>
      <c r="E762" s="291">
        <f>'Inventory Takeoff'!G766</f>
        <v>42.319999999999993</v>
      </c>
    </row>
    <row r="763" spans="1:5" ht="15.5">
      <c r="A763" s="290" t="str">
        <f>'Inventory Takeoff'!B767</f>
        <v>787-1</v>
      </c>
      <c r="B763" s="290" t="e">
        <f t="shared" ref="B763:B774" si="29">IF(SUMIFS(Ancillary_Length,Ancillary_InventoryCode,A763,Ancillary_BoughtOut,"No")=0,"",SUMIFS(Ancillary_Length,Ancillary_InventoryCode,A763,Ancillary_BoughtOut,"No"))</f>
        <v>#NAME?</v>
      </c>
      <c r="C763" s="295" t="str">
        <f>'Inventory Takeoff'!C767</f>
        <v>Heat Shrink Tape - 2"</v>
      </c>
      <c r="D763" s="297" t="str">
        <f>'Inventory Takeoff'!D767</f>
        <v>Roll</v>
      </c>
      <c r="E763" s="291">
        <f>'Inventory Takeoff'!G767</f>
        <v>454.25</v>
      </c>
    </row>
    <row r="764" spans="1:5" ht="15.5">
      <c r="A764" s="290" t="str">
        <f>'Inventory Takeoff'!B768</f>
        <v>787-2</v>
      </c>
      <c r="B764" s="290" t="e">
        <f t="shared" si="29"/>
        <v>#NAME?</v>
      </c>
      <c r="C764" s="295" t="str">
        <f>'Inventory Takeoff'!C768</f>
        <v>Heat Shrink Tape - 3"</v>
      </c>
      <c r="D764" s="297" t="str">
        <f>'Inventory Takeoff'!D768</f>
        <v>Roll</v>
      </c>
      <c r="E764" s="291">
        <f>'Inventory Takeoff'!G768</f>
        <v>468.05</v>
      </c>
    </row>
    <row r="765" spans="1:5" ht="15.5">
      <c r="A765" s="290" t="str">
        <f>'Inventory Takeoff'!B769</f>
        <v>787-3</v>
      </c>
      <c r="B765" s="290" t="e">
        <f t="shared" si="29"/>
        <v>#NAME?</v>
      </c>
      <c r="C765" s="295" t="str">
        <f>'Inventory Takeoff'!C769</f>
        <v>Heat Shrink Tape - 4"</v>
      </c>
      <c r="D765" s="297" t="str">
        <f>'Inventory Takeoff'!D769</f>
        <v>Roll</v>
      </c>
      <c r="E765" s="291">
        <f>'Inventory Takeoff'!G769</f>
        <v>516.35</v>
      </c>
    </row>
    <row r="766" spans="1:5" ht="15.5">
      <c r="A766" s="290">
        <f>'Inventory Takeoff'!B770</f>
        <v>788</v>
      </c>
      <c r="B766" s="290"/>
      <c r="C766" s="295" t="str">
        <f>'Inventory Takeoff'!C770</f>
        <v>Not Used</v>
      </c>
      <c r="D766" s="297">
        <f>'Inventory Takeoff'!D770</f>
        <v>0</v>
      </c>
      <c r="E766" s="291">
        <f>'Inventory Takeoff'!G770</f>
        <v>0</v>
      </c>
    </row>
    <row r="767" spans="1:5" ht="15.5">
      <c r="A767" s="290">
        <f>'Inventory Takeoff'!B771</f>
        <v>789</v>
      </c>
      <c r="B767" s="290" t="e">
        <f>IF(SUMIFS(Ancillary_Qty,Ancillary_InventoryCode,A767,Ancillary_BoughtOut,"No")=0,"",SUMIFS(Ancillary_Qty,Ancillary_InventoryCode,A767,Ancillary_BoughtOut,"No"))</f>
        <v>#NAME?</v>
      </c>
      <c r="C767" s="295" t="str">
        <f>'Inventory Takeoff'!C771</f>
        <v>Tape Hardcast P&amp;S</v>
      </c>
      <c r="D767" s="297" t="str">
        <f>'Inventory Takeoff'!D771</f>
        <v>Each</v>
      </c>
      <c r="E767" s="291">
        <f>'Inventory Takeoff'!G771</f>
        <v>20.84</v>
      </c>
    </row>
    <row r="768" spans="1:5" ht="15.5">
      <c r="A768" s="290">
        <f>'Inventory Takeoff'!B772</f>
        <v>790</v>
      </c>
      <c r="B768" s="290" t="e">
        <f>IF(SUMIFS(Ancillary_Qty,Ancillary_InventoryCode,A768,Ancillary_BoughtOut,"No")=0,"",SUMIFS(Ancillary_Qty,Ancillary_InventoryCode,A768,Ancillary_BoughtOut,"No"))</f>
        <v>#NAME?</v>
      </c>
      <c r="C768" s="295" t="str">
        <f>'Inventory Takeoff'!C772</f>
        <v>Not Used</v>
      </c>
      <c r="D768" s="297">
        <f>'Inventory Takeoff'!D772</f>
        <v>0</v>
      </c>
      <c r="E768" s="291">
        <f>'Inventory Takeoff'!G772</f>
        <v>0</v>
      </c>
    </row>
    <row r="769" spans="1:5" ht="15.5">
      <c r="A769" s="290">
        <f>'Inventory Takeoff'!B773</f>
        <v>791</v>
      </c>
      <c r="B769" s="290" t="e">
        <f>IF(SUMIFS(Ancillary_Qty,Ancillary_InventoryCode,A769,Ancillary_BoughtOut,"No")=0,"",SUMIFS(Ancillary_Qty,Ancillary_InventoryCode,A769,Ancillary_BoughtOut,"No"))</f>
        <v>#NAME?</v>
      </c>
      <c r="C769" s="295" t="str">
        <f>'Inventory Takeoff'!C773</f>
        <v>Not Used</v>
      </c>
      <c r="D769" s="297">
        <f>'Inventory Takeoff'!D773</f>
        <v>0</v>
      </c>
      <c r="E769" s="291">
        <f>'Inventory Takeoff'!G773</f>
        <v>0</v>
      </c>
    </row>
    <row r="770" spans="1:5" ht="15.5">
      <c r="A770" s="290">
        <f>'Inventory Takeoff'!B774</f>
        <v>792</v>
      </c>
      <c r="B770" s="290" t="e">
        <f t="shared" si="29"/>
        <v>#NAME?</v>
      </c>
      <c r="C770" s="295" t="str">
        <f>'Inventory Takeoff'!C774</f>
        <v>Turn Vane/Rail - bundle</v>
      </c>
      <c r="D770" s="297" t="str">
        <f>'Inventory Takeoff'!D774</f>
        <v>Foot</v>
      </c>
      <c r="E770" s="291">
        <f>'Inventory Takeoff'!G774</f>
        <v>2.17</v>
      </c>
    </row>
    <row r="771" spans="1:5" ht="15.5">
      <c r="A771" s="290">
        <f>'Inventory Takeoff'!B775</f>
        <v>793</v>
      </c>
      <c r="B771" s="290" t="e">
        <f t="shared" si="29"/>
        <v>#NAME?</v>
      </c>
      <c r="C771" s="295" t="str">
        <f>'Inventory Takeoff'!C775</f>
        <v>Turn Vane/Rail - Acoustical</v>
      </c>
      <c r="D771" s="297" t="str">
        <f>'Inventory Takeoff'!D775</f>
        <v>Foot</v>
      </c>
      <c r="E771" s="291">
        <f>'Inventory Takeoff'!G775</f>
        <v>3.08</v>
      </c>
    </row>
    <row r="772" spans="1:5" ht="15.5">
      <c r="A772" s="290">
        <f>'Inventory Takeoff'!B776</f>
        <v>794</v>
      </c>
      <c r="B772" s="290"/>
      <c r="C772" s="295" t="str">
        <f>'Inventory Takeoff'!C776</f>
        <v>Not Used</v>
      </c>
      <c r="D772" s="297">
        <f>'Inventory Takeoff'!D776</f>
        <v>0</v>
      </c>
      <c r="E772" s="291">
        <f>'Inventory Takeoff'!G776</f>
        <v>0</v>
      </c>
    </row>
    <row r="773" spans="1:5" ht="15.5">
      <c r="A773" s="290">
        <f>'Inventory Takeoff'!B777</f>
        <v>795</v>
      </c>
      <c r="B773" s="290" t="e">
        <f t="shared" si="29"/>
        <v>#NAME?</v>
      </c>
      <c r="C773" s="295" t="str">
        <f>'Inventory Takeoff'!C777</f>
        <v>Not Used</v>
      </c>
      <c r="D773" s="297">
        <f>'Inventory Takeoff'!D777</f>
        <v>0</v>
      </c>
      <c r="E773" s="291">
        <f>'Inventory Takeoff'!G777</f>
        <v>0</v>
      </c>
    </row>
    <row r="774" spans="1:5" ht="15.5">
      <c r="A774" s="290">
        <f>'Inventory Takeoff'!B778</f>
        <v>796</v>
      </c>
      <c r="B774" s="290" t="e">
        <f t="shared" si="29"/>
        <v>#NAME?</v>
      </c>
      <c r="C774" s="295" t="str">
        <f>'Inventory Takeoff'!C778</f>
        <v>Not Used</v>
      </c>
      <c r="D774" s="297">
        <f>'Inventory Takeoff'!D778</f>
        <v>0</v>
      </c>
      <c r="E774" s="291">
        <f>'Inventory Takeoff'!G778</f>
        <v>0</v>
      </c>
    </row>
    <row r="775" spans="1:5" ht="15.5">
      <c r="A775" s="290">
        <f>'Inventory Takeoff'!B779</f>
        <v>797</v>
      </c>
      <c r="B775" s="290" t="e">
        <f>IF(SUMIFS(Ancillary_Qty,Ancillary_InventoryCode,A775,Ancillary_BoughtOut,"No")=0,"",SUMIFS(Ancillary_Qty,Ancillary_InventoryCode,A775,Ancillary_BoughtOut,"No"))</f>
        <v>#NAME?</v>
      </c>
      <c r="C775" s="295" t="str">
        <f>'Inventory Takeoff'!C779</f>
        <v>Washers Flat 3/8</v>
      </c>
      <c r="D775" s="297" t="str">
        <f>'Inventory Takeoff'!D779</f>
        <v>Each</v>
      </c>
      <c r="E775" s="291">
        <f>'Inventory Takeoff'!G779</f>
        <v>6.0000000000000005E-2</v>
      </c>
    </row>
    <row r="776" spans="1:5" ht="15.5">
      <c r="A776" s="290">
        <f>'Inventory Takeoff'!B780</f>
        <v>798</v>
      </c>
      <c r="B776" s="290" t="e">
        <f>IF(SUMIFS(Ancillary_Qty,Ancillary_InventoryCode,A776,Ancillary_BoughtOut,"No")=0,"",SUMIFS(Ancillary_Qty,Ancillary_InventoryCode,A776,Ancillary_BoughtOut,"No"))</f>
        <v>#NAME?</v>
      </c>
      <c r="C776" s="295" t="str">
        <f>'Inventory Takeoff'!C780</f>
        <v>Washers Flat 1/2</v>
      </c>
      <c r="D776" s="297" t="str">
        <f>'Inventory Takeoff'!D780</f>
        <v>Each</v>
      </c>
      <c r="E776" s="291">
        <f>'Inventory Takeoff'!G780</f>
        <v>0.13999999999999999</v>
      </c>
    </row>
    <row r="777" spans="1:5" ht="15.5">
      <c r="A777" s="290">
        <f>'Inventory Takeoff'!B781</f>
        <v>799</v>
      </c>
      <c r="B777" s="290" t="e">
        <f>IF(SUMIFS(Ancillary_Qty,Ancillary_InventoryCode,A777,Ancillary_BoughtOut,"No")=0,"",SUMIFS(Ancillary_Qty,Ancillary_InventoryCode,A777,Ancillary_BoughtOut,"No"))</f>
        <v>#NAME?</v>
      </c>
      <c r="C777" s="295" t="str">
        <f>'Inventory Takeoff'!C781</f>
        <v>Washers Flat 5/8</v>
      </c>
      <c r="D777" s="297" t="str">
        <f>'Inventory Takeoff'!D781</f>
        <v>Each</v>
      </c>
      <c r="E777" s="291">
        <f>'Inventory Takeoff'!G781</f>
        <v>0.3</v>
      </c>
    </row>
    <row r="778" spans="1:5" ht="15.5">
      <c r="A778" s="290">
        <f>'Inventory Takeoff'!B782</f>
        <v>800</v>
      </c>
      <c r="B778" s="290" t="e">
        <f>IF(SUMIFS(Ancillary_Qty,Ancillary_InventoryCode,A778,Ancillary_BoughtOut,"No")=0,"",SUMIFS(Ancillary_Qty,Ancillary_InventoryCode,A778,Ancillary_BoughtOut,"No"))</f>
        <v>#NAME?</v>
      </c>
      <c r="C778" s="295" t="str">
        <f>'Inventory Takeoff'!C782</f>
        <v>Washers Flat 3/4</v>
      </c>
      <c r="D778" s="297" t="str">
        <f>'Inventory Takeoff'!D782</f>
        <v>Each</v>
      </c>
      <c r="E778" s="291">
        <f>'Inventory Takeoff'!G782</f>
        <v>0.43</v>
      </c>
    </row>
    <row r="779" spans="1:5" ht="15.5">
      <c r="A779" s="290">
        <f>'Inventory Takeoff'!B783</f>
        <v>801</v>
      </c>
      <c r="B779" s="290" t="e">
        <f>IF(SUMIFS(Ancillary_Qty,Ancillary_InventoryCode,A779,Ancillary_BoughtOut,"No")=0,"",SUMIFS(Ancillary_Qty,Ancillary_InventoryCode,A779,Ancillary_BoughtOut,"No"))</f>
        <v>#NAME?</v>
      </c>
      <c r="C779" s="295" t="str">
        <f>'Inventory Takeoff'!C783</f>
        <v>Washer Fender 1/4</v>
      </c>
      <c r="D779" s="297" t="str">
        <f>'Inventory Takeoff'!D783</f>
        <v>Each</v>
      </c>
      <c r="E779" s="291">
        <f>'Inventory Takeoff'!G783</f>
        <v>0.11</v>
      </c>
    </row>
    <row r="780" spans="1:5" ht="15.5">
      <c r="A780" s="290">
        <f>'Inventory Takeoff'!B784</f>
        <v>802</v>
      </c>
      <c r="B780" s="290" t="e">
        <f>IF(SUMIFS(Ancillary_Qty,Ancillary_InventoryCode,A780,Ancillary_BoughtOut,"No")=0,"",SUMIFS(Ancillary_Qty,Ancillary_InventoryCode,A780,Ancillary_BoughtOut,"No"))</f>
        <v>#NAME?</v>
      </c>
      <c r="C780" s="295" t="str">
        <f>'Inventory Takeoff'!C784</f>
        <v>Washer Fender 3/8</v>
      </c>
      <c r="D780" s="297" t="str">
        <f>'Inventory Takeoff'!D784</f>
        <v>Each</v>
      </c>
      <c r="E780" s="291">
        <f>'Inventory Takeoff'!G784</f>
        <v>0.11</v>
      </c>
    </row>
    <row r="781" spans="1:5" ht="15.5">
      <c r="A781" s="290">
        <f>'Inventory Takeoff'!B785</f>
        <v>803</v>
      </c>
      <c r="B781" s="290" t="e">
        <f>IF(SUMIFS(Ancillary_Qty,Ancillary_InventoryCode,A781,Ancillary_BoughtOut,"No")=0,"",SUMIFS(Ancillary_Qty,Ancillary_InventoryCode,A781,Ancillary_BoughtOut,"No"))</f>
        <v>#NAME?</v>
      </c>
      <c r="C781" s="295" t="str">
        <f>'Inventory Takeoff'!C785</f>
        <v>Washer Lock 1/4</v>
      </c>
      <c r="D781" s="297" t="str">
        <f>'Inventory Takeoff'!D785</f>
        <v>Each</v>
      </c>
      <c r="E781" s="291">
        <f>'Inventory Takeoff'!G785</f>
        <v>0.03</v>
      </c>
    </row>
    <row r="782" spans="1:5" ht="15.5">
      <c r="A782" s="290">
        <f>'Inventory Takeoff'!B786</f>
        <v>804</v>
      </c>
      <c r="B782" s="290" t="e">
        <f>IF(SUMIFS(Ancillary_Qty,Ancillary_InventoryCode,A782,Ancillary_BoughtOut,"No")=0,"",SUMIFS(Ancillary_Qty,Ancillary_InventoryCode,A782,Ancillary_BoughtOut,"No"))</f>
        <v>#NAME?</v>
      </c>
      <c r="C782" s="295" t="str">
        <f>'Inventory Takeoff'!C786</f>
        <v>Washer Lock 3/8</v>
      </c>
      <c r="D782" s="297" t="str">
        <f>'Inventory Takeoff'!D786</f>
        <v>Each</v>
      </c>
      <c r="E782" s="291">
        <f>'Inventory Takeoff'!G786</f>
        <v>6.0000000000000005E-2</v>
      </c>
    </row>
    <row r="783" spans="1:5" ht="15.5">
      <c r="A783" s="290">
        <f>'Inventory Takeoff'!B787</f>
        <v>805</v>
      </c>
      <c r="B783" s="290" t="e">
        <f>IF(SUMIFS(Ancillary_Qty,Ancillary_InventoryCode,A783,Ancillary_BoughtOut,"No")=0,"",SUMIFS(Ancillary_Qty,Ancillary_InventoryCode,A783,Ancillary_BoughtOut,"No"))</f>
        <v>#NAME?</v>
      </c>
      <c r="C783" s="295" t="str">
        <f>'Inventory Takeoff'!C787</f>
        <v>Washer Lock 1/2</v>
      </c>
      <c r="D783" s="297" t="str">
        <f>'Inventory Takeoff'!D787</f>
        <v>Each</v>
      </c>
      <c r="E783" s="291">
        <f>'Inventory Takeoff'!G787</f>
        <v>0.1</v>
      </c>
    </row>
    <row r="784" spans="1:5" ht="15.5">
      <c r="A784" s="290">
        <f>'Inventory Takeoff'!B788</f>
        <v>806</v>
      </c>
      <c r="B784" s="290" t="e">
        <f>IF(SUMIFS(Ancillary_Qty,Ancillary_InventoryCode,A784,Ancillary_BoughtOut,"No")=0,"",SUMIFS(Ancillary_Qty,Ancillary_InventoryCode,A784,Ancillary_BoughtOut,"No"))</f>
        <v>#NAME?</v>
      </c>
      <c r="C784" s="295" t="str">
        <f>'Inventory Takeoff'!C788</f>
        <v>6" Y</v>
      </c>
      <c r="D784" s="297" t="str">
        <f>'Inventory Takeoff'!D788</f>
        <v>Each</v>
      </c>
      <c r="E784" s="291">
        <f>'Inventory Takeoff'!G788</f>
        <v>8.58</v>
      </c>
    </row>
    <row r="785" spans="1:5" ht="15.5">
      <c r="A785" s="290">
        <f>'Inventory Takeoff'!B789</f>
        <v>807</v>
      </c>
      <c r="B785" s="290" t="e">
        <f>IF(SUMIFS(Ancillary_Length,Ancillary_InventoryCode,A785,Ancillary_BoughtOut,"No")=0,"",SUMIFS(Ancillary_Length,Ancillary_InventoryCode,A785,Ancillary_BoughtOut,"No"))</f>
        <v>#NAME?</v>
      </c>
      <c r="C785" s="295" t="str">
        <f>'Inventory Takeoff'!C789</f>
        <v>Not Used</v>
      </c>
      <c r="D785" s="297">
        <f>'Inventory Takeoff'!D789</f>
        <v>0</v>
      </c>
      <c r="E785" s="291">
        <f>'Inventory Takeoff'!G789</f>
        <v>0</v>
      </c>
    </row>
    <row r="786" spans="1:5" ht="15.5">
      <c r="A786" s="290">
        <f>'Inventory Takeoff'!B790</f>
        <v>808</v>
      </c>
      <c r="B786" s="290" t="e">
        <f>IF(SUMIFS(Ancillary_Length,Ancillary_InventoryCode,A786,Ancillary_BoughtOut,"No")=0,"",SUMIFS(Ancillary_Length,Ancillary_InventoryCode,A786,Ancillary_BoughtOut,"No"))</f>
        <v>#NAME?</v>
      </c>
      <c r="C786" s="295" t="str">
        <f>'Inventory Takeoff'!C790</f>
        <v>Not Used</v>
      </c>
      <c r="D786" s="297">
        <f>'Inventory Takeoff'!D790</f>
        <v>0</v>
      </c>
      <c r="E786" s="291">
        <f>'Inventory Takeoff'!G790</f>
        <v>0</v>
      </c>
    </row>
    <row r="787" spans="1:5" ht="15.5">
      <c r="A787" s="290">
        <f>'Inventory Takeoff'!B791</f>
        <v>809</v>
      </c>
      <c r="B787" s="290" t="e">
        <f>IF(SUMIFS(Ancillary_Qty,Ancillary_InventoryCode,A787,Ancillary_BoughtOut,"No")=0,"",SUMIFS(Ancillary_Qty,Ancillary_InventoryCode,A787,Ancillary_BoughtOut,"No"))</f>
        <v>#NAME?</v>
      </c>
      <c r="C787" s="295" t="str">
        <f>'Inventory Takeoff'!C791</f>
        <v>7" Y</v>
      </c>
      <c r="D787" s="297" t="str">
        <f>'Inventory Takeoff'!D791</f>
        <v>Each</v>
      </c>
      <c r="E787" s="291">
        <f>'Inventory Takeoff'!G791</f>
        <v>8.58</v>
      </c>
    </row>
    <row r="788" spans="1:5" ht="15.5">
      <c r="A788" s="290">
        <f>'Inventory Takeoff'!B792</f>
        <v>810</v>
      </c>
      <c r="B788" s="290" t="e">
        <f>IF(SUMIFS(Ancillary_Length,Ancillary_InventoryCode,A788,Ancillary_BoughtOut,"No")=0,"",SUMIFS(Ancillary_Length,Ancillary_InventoryCode,A788,Ancillary_BoughtOut,"No"))</f>
        <v>#NAME?</v>
      </c>
      <c r="C788" s="295" t="str">
        <f>'Inventory Takeoff'!C792</f>
        <v>Not Used</v>
      </c>
      <c r="D788" s="297">
        <f>'Inventory Takeoff'!D792</f>
        <v>0</v>
      </c>
      <c r="E788" s="291">
        <f>'Inventory Takeoff'!G792</f>
        <v>0</v>
      </c>
    </row>
    <row r="789" spans="1:5" ht="15.5">
      <c r="A789" s="290">
        <f>'Inventory Takeoff'!B793</f>
        <v>811</v>
      </c>
      <c r="B789" s="290" t="e">
        <f>IF(SUMIFS(Ancillary_Length,Ancillary_InventoryCode,A789,Ancillary_BoughtOut,"No")=0,"",SUMIFS(Ancillary_Length,Ancillary_InventoryCode,A789,Ancillary_BoughtOut,"No"))</f>
        <v>#NAME?</v>
      </c>
      <c r="C789" s="295" t="str">
        <f>'Inventory Takeoff'!C793</f>
        <v>Not Used</v>
      </c>
      <c r="D789" s="297">
        <f>'Inventory Takeoff'!D793</f>
        <v>0</v>
      </c>
      <c r="E789" s="291">
        <f>'Inventory Takeoff'!G793</f>
        <v>0</v>
      </c>
    </row>
    <row r="790" spans="1:5" ht="15.5">
      <c r="A790" s="290">
        <f>'Inventory Takeoff'!B794</f>
        <v>812</v>
      </c>
      <c r="B790" s="290" t="e">
        <f>IF(SUMIFS(Ancillary_Qty,Ancillary_InventoryCode,A790,Ancillary_BoughtOut,"No")=0,"",SUMIFS(Ancillary_Qty,Ancillary_InventoryCode,A790,Ancillary_BoughtOut,"No"))</f>
        <v>#NAME?</v>
      </c>
      <c r="C790" s="295" t="str">
        <f>'Inventory Takeoff'!C794</f>
        <v>8" Y</v>
      </c>
      <c r="D790" s="297" t="str">
        <f>'Inventory Takeoff'!D794</f>
        <v>Each</v>
      </c>
      <c r="E790" s="291">
        <f>'Inventory Takeoff'!G794</f>
        <v>8.7799999999999994</v>
      </c>
    </row>
    <row r="791" spans="1:5" ht="15.5">
      <c r="A791" s="290">
        <f>'Inventory Takeoff'!B795</f>
        <v>813</v>
      </c>
      <c r="B791" s="290" t="e">
        <f>IF(SUMIFS(Ancillary_Length,Ancillary_InventoryCode,A791,Ancillary_BoughtOut,"No")=0,"",SUMIFS(Ancillary_Length,Ancillary_InventoryCode,A791,Ancillary_BoughtOut,"No"))</f>
        <v>#NAME?</v>
      </c>
      <c r="C791" s="295" t="str">
        <f>'Inventory Takeoff'!C795</f>
        <v>Not Used</v>
      </c>
      <c r="D791" s="297">
        <f>'Inventory Takeoff'!D795</f>
        <v>0</v>
      </c>
      <c r="E791" s="291">
        <f>'Inventory Takeoff'!G795</f>
        <v>0</v>
      </c>
    </row>
    <row r="792" spans="1:5" ht="15.5">
      <c r="A792" s="290">
        <f>'Inventory Takeoff'!B796</f>
        <v>814</v>
      </c>
      <c r="B792" s="290" t="e">
        <f>IF(SUMIFS(Ancillary_Length,Ancillary_InventoryCode,A792,Ancillary_BoughtOut,"No")=0,"",SUMIFS(Ancillary_Length,Ancillary_InventoryCode,A792,Ancillary_BoughtOut,"No"))</f>
        <v>#NAME?</v>
      </c>
      <c r="C792" s="295" t="str">
        <f>'Inventory Takeoff'!C796</f>
        <v>Not Used</v>
      </c>
      <c r="D792" s="297">
        <f>'Inventory Takeoff'!D796</f>
        <v>0</v>
      </c>
      <c r="E792" s="291">
        <f>'Inventory Takeoff'!G796</f>
        <v>0</v>
      </c>
    </row>
    <row r="793" spans="1:5" ht="15.5">
      <c r="A793" s="290">
        <f>'Inventory Takeoff'!B797</f>
        <v>815</v>
      </c>
      <c r="B793" s="290" t="e">
        <f>IF(SUMIFS(Ancillary_Length,Ancillary_InventoryCode,A793,Ancillary_BoughtOut,"No")=0,"",SUMIFS(Ancillary_Length,Ancillary_InventoryCode,A793,Ancillary_BoughtOut,"No"))</f>
        <v>#NAME?</v>
      </c>
      <c r="C793" s="295" t="str">
        <f>'Inventory Takeoff'!C797</f>
        <v>Not Used</v>
      </c>
      <c r="D793" s="297">
        <f>'Inventory Takeoff'!D797</f>
        <v>0</v>
      </c>
      <c r="E793" s="291">
        <f>'Inventory Takeoff'!G797</f>
        <v>0</v>
      </c>
    </row>
    <row r="794" spans="1:5" ht="15.5">
      <c r="A794" s="290">
        <f>'Inventory Takeoff'!B798</f>
        <v>816</v>
      </c>
      <c r="B794" s="290" t="e">
        <f>IF(SUMIFS(Ancillary_Qty,Ancillary_InventoryCode,A794,Ancillary_BoughtOut,"No")=0,"",SUMIFS(Ancillary_Qty,Ancillary_InventoryCode,A794,Ancillary_BoughtOut,"No"))</f>
        <v>#NAME?</v>
      </c>
      <c r="C794" s="295" t="str">
        <f>'Inventory Takeoff'!C798</f>
        <v>9" Y</v>
      </c>
      <c r="D794" s="297" t="str">
        <f>'Inventory Takeoff'!D798</f>
        <v>Each</v>
      </c>
      <c r="E794" s="291">
        <f>'Inventory Takeoff'!G798</f>
        <v>10.389999999999999</v>
      </c>
    </row>
    <row r="795" spans="1:5" ht="15.5">
      <c r="A795" s="290">
        <f>'Inventory Takeoff'!B799</f>
        <v>817</v>
      </c>
      <c r="B795" s="290" t="e">
        <f>IF(SUMIFS(Ancillary_Length,Ancillary_InventoryCode,A795,Ancillary_BoughtOut,"No")=0,"",SUMIFS(Ancillary_Length,Ancillary_InventoryCode,A795,Ancillary_BoughtOut,"No"))</f>
        <v>#NAME?</v>
      </c>
      <c r="C795" s="295" t="str">
        <f>'Inventory Takeoff'!C799</f>
        <v>Not Used</v>
      </c>
      <c r="D795" s="297">
        <f>'Inventory Takeoff'!D799</f>
        <v>0</v>
      </c>
      <c r="E795" s="291">
        <f>'Inventory Takeoff'!G799</f>
        <v>0</v>
      </c>
    </row>
    <row r="796" spans="1:5" ht="15.5">
      <c r="A796" s="290">
        <f>'Inventory Takeoff'!B800</f>
        <v>818</v>
      </c>
      <c r="B796" s="290" t="e">
        <f>IF(SUMIFS(Ancillary_Length,Ancillary_InventoryCode,A796,Ancillary_BoughtOut,"No")=0,"",SUMIFS(Ancillary_Length,Ancillary_InventoryCode,A796,Ancillary_BoughtOut,"No"))</f>
        <v>#NAME?</v>
      </c>
      <c r="C796" s="295" t="str">
        <f>'Inventory Takeoff'!C800</f>
        <v>Not Used</v>
      </c>
      <c r="D796" s="297">
        <f>'Inventory Takeoff'!D800</f>
        <v>0</v>
      </c>
      <c r="E796" s="291">
        <f>'Inventory Takeoff'!G800</f>
        <v>0</v>
      </c>
    </row>
    <row r="797" spans="1:5" ht="15.5">
      <c r="A797" s="290">
        <f>'Inventory Takeoff'!B801</f>
        <v>819</v>
      </c>
      <c r="B797" s="290" t="e">
        <f>IF(SUMIFS(Ancillary_Qty,Ancillary_InventoryCode,A797,Ancillary_BoughtOut,"No")=0,"",SUMIFS(Ancillary_Qty,Ancillary_InventoryCode,A797,Ancillary_BoughtOut,"No"))</f>
        <v>#NAME?</v>
      </c>
      <c r="C797" s="295" t="str">
        <f>'Inventory Takeoff'!C801</f>
        <v>10" Y</v>
      </c>
      <c r="D797" s="297" t="str">
        <f>'Inventory Takeoff'!D801</f>
        <v>Each</v>
      </c>
      <c r="E797" s="291">
        <f>'Inventory Takeoff'!G801</f>
        <v>10.979999999999999</v>
      </c>
    </row>
    <row r="798" spans="1:5" ht="15.5">
      <c r="A798" s="290">
        <f>'Inventory Takeoff'!B802</f>
        <v>820</v>
      </c>
      <c r="B798" s="290" t="e">
        <f>IF(SUMIFS(Ancillary_Length,Ancillary_InventoryCode,A798,Ancillary_BoughtOut,"No")=0,"",SUMIFS(Ancillary_Length,Ancillary_InventoryCode,A798,Ancillary_BoughtOut,"No"))</f>
        <v>#NAME?</v>
      </c>
      <c r="C798" s="295" t="str">
        <f>'Inventory Takeoff'!C802</f>
        <v>Not Used</v>
      </c>
      <c r="D798" s="297">
        <f>'Inventory Takeoff'!D802</f>
        <v>0</v>
      </c>
      <c r="E798" s="291">
        <f>'Inventory Takeoff'!G802</f>
        <v>0</v>
      </c>
    </row>
    <row r="799" spans="1:5" ht="15.5">
      <c r="A799" s="290">
        <f>'Inventory Takeoff'!B803</f>
        <v>821</v>
      </c>
      <c r="B799" s="290" t="e">
        <f>IF(SUMIFS(Ancillary_Length,Ancillary_InventoryCode,A799,Ancillary_BoughtOut,"No")=0,"",SUMIFS(Ancillary_Length,Ancillary_InventoryCode,A799,Ancillary_BoughtOut,"No"))</f>
        <v>#NAME?</v>
      </c>
      <c r="C799" s="295" t="str">
        <f>'Inventory Takeoff'!C803</f>
        <v>Not Used</v>
      </c>
      <c r="D799" s="297">
        <f>'Inventory Takeoff'!D803</f>
        <v>0</v>
      </c>
      <c r="E799" s="291">
        <f>'Inventory Takeoff'!G803</f>
        <v>0</v>
      </c>
    </row>
    <row r="800" spans="1:5" ht="15.5">
      <c r="A800" s="290">
        <f>'Inventory Takeoff'!B804</f>
        <v>822</v>
      </c>
      <c r="B800" s="290" t="e">
        <f>IF(SUMIFS(Ancillary_Length,Ancillary_InventoryCode,A800,Ancillary_BoughtOut,"No")=0,"",SUMIFS(Ancillary_Length,Ancillary_InventoryCode,A800,Ancillary_BoughtOut,"No"))</f>
        <v>#NAME?</v>
      </c>
      <c r="C800" s="295" t="str">
        <f>'Inventory Takeoff'!C804</f>
        <v>Not Used</v>
      </c>
      <c r="D800" s="297">
        <f>'Inventory Takeoff'!D804</f>
        <v>0</v>
      </c>
      <c r="E800" s="291">
        <f>'Inventory Takeoff'!G804</f>
        <v>0</v>
      </c>
    </row>
    <row r="801" spans="1:5" ht="15.5">
      <c r="A801" s="290">
        <f>'Inventory Takeoff'!B805</f>
        <v>823</v>
      </c>
      <c r="B801" s="290" t="e">
        <f>IF(SUMIFS(Ancillary_Length,Ancillary_InventoryCode,A801,Ancillary_BoughtOut,"No")=0,"",SUMIFS(Ancillary_Length,Ancillary_InventoryCode,A801,Ancillary_BoughtOut,"No"))</f>
        <v>#NAME?</v>
      </c>
      <c r="C801" s="295" t="str">
        <f>'Inventory Takeoff'!C805</f>
        <v>Not Used</v>
      </c>
      <c r="D801" s="297">
        <f>'Inventory Takeoff'!D805</f>
        <v>0</v>
      </c>
      <c r="E801" s="291">
        <f>'Inventory Takeoff'!G805</f>
        <v>0</v>
      </c>
    </row>
    <row r="802" spans="1:5" ht="15.5">
      <c r="A802" s="290">
        <f>'Inventory Takeoff'!B806</f>
        <v>824</v>
      </c>
      <c r="B802" s="290" t="e">
        <f>IF(SUMIFS(Ancillary_Qty,Ancillary_InventoryCode,A802,Ancillary_BoughtOut,"No")=0,"",SUMIFS(Ancillary_Qty,Ancillary_InventoryCode,A802,Ancillary_BoughtOut,"No"))</f>
        <v>#NAME?</v>
      </c>
      <c r="C802" s="295" t="str">
        <f>'Inventory Takeoff'!C806</f>
        <v>12" Y</v>
      </c>
      <c r="D802" s="297" t="str">
        <f>'Inventory Takeoff'!D806</f>
        <v>Each</v>
      </c>
      <c r="E802" s="291">
        <f>'Inventory Takeoff'!G806</f>
        <v>17.46</v>
      </c>
    </row>
    <row r="803" spans="1:5" ht="15.5">
      <c r="A803" s="290">
        <f>'Inventory Takeoff'!B807</f>
        <v>825</v>
      </c>
      <c r="B803" s="290" t="e">
        <f>IF(SUMIFS(Ancillary_Length,Ancillary_InventoryCode,A803,Ancillary_BoughtOut,"No")=0,"",SUMIFS(Ancillary_Length,Ancillary_InventoryCode,A803,Ancillary_BoughtOut,"No"))</f>
        <v>#NAME?</v>
      </c>
      <c r="C803" s="295" t="str">
        <f>'Inventory Takeoff'!C807</f>
        <v>Not Used</v>
      </c>
      <c r="D803" s="297">
        <f>'Inventory Takeoff'!D807</f>
        <v>0</v>
      </c>
      <c r="E803" s="291">
        <f>'Inventory Takeoff'!G807</f>
        <v>0</v>
      </c>
    </row>
    <row r="804" spans="1:5" ht="15.5">
      <c r="A804" s="290">
        <f>'Inventory Takeoff'!B808</f>
        <v>826</v>
      </c>
      <c r="B804" s="290" t="e">
        <f>IF(SUMIFS(Ancillary_Length,Ancillary_InventoryCode,A804,Ancillary_BoughtOut,"No")=0,"",SUMIFS(Ancillary_Length,Ancillary_InventoryCode,A804,Ancillary_BoughtOut,"No"))</f>
        <v>#NAME?</v>
      </c>
      <c r="C804" s="295" t="str">
        <f>'Inventory Takeoff'!C808</f>
        <v>Not Used</v>
      </c>
      <c r="D804" s="297">
        <f>'Inventory Takeoff'!D808</f>
        <v>0</v>
      </c>
      <c r="E804" s="291">
        <f>'Inventory Takeoff'!G808</f>
        <v>0</v>
      </c>
    </row>
    <row r="805" spans="1:5" ht="15.5">
      <c r="A805" s="290">
        <f>'Inventory Takeoff'!B809</f>
        <v>827</v>
      </c>
      <c r="B805" s="290" t="e">
        <f>IF(SUMIFS(Ancillary_Length,Ancillary_InventoryCode,A805,Ancillary_BoughtOut,"No")=0,"",SUMIFS(Ancillary_Length,Ancillary_InventoryCode,A805,Ancillary_BoughtOut,"No"))</f>
        <v>#NAME?</v>
      </c>
      <c r="C805" s="295" t="str">
        <f>'Inventory Takeoff'!C809</f>
        <v>Not Used</v>
      </c>
      <c r="D805" s="297">
        <f>'Inventory Takeoff'!D809</f>
        <v>0</v>
      </c>
      <c r="E805" s="291">
        <f>'Inventory Takeoff'!G809</f>
        <v>0</v>
      </c>
    </row>
    <row r="806" spans="1:5" ht="15.5">
      <c r="A806" s="290">
        <f>'Inventory Takeoff'!B810</f>
        <v>828</v>
      </c>
      <c r="B806" s="290" t="e">
        <f>IF(SUMIFS(Ancillary_Qty,Ancillary_InventoryCode,A806,Ancillary_BoughtOut,"No")=0,"",SUMIFS(Ancillary_Qty,Ancillary_InventoryCode,A806,Ancillary_BoughtOut,"No"))</f>
        <v>#NAME?</v>
      </c>
      <c r="C806" s="295" t="str">
        <f>'Inventory Takeoff'!C810</f>
        <v>14" Y</v>
      </c>
      <c r="D806" s="297" t="str">
        <f>'Inventory Takeoff'!D810</f>
        <v>Each</v>
      </c>
      <c r="E806" s="291">
        <f>'Inventory Takeoff'!G810</f>
        <v>22.08</v>
      </c>
    </row>
    <row r="807" spans="1:5" ht="15.5">
      <c r="A807" s="290">
        <f>'Inventory Takeoff'!B811</f>
        <v>829</v>
      </c>
      <c r="B807" s="290" t="e">
        <f>IF(SUMIFS(Ancillary_Length,Ancillary_InventoryCode,A807,Ancillary_BoughtOut,"No")=0,"",SUMIFS(Ancillary_Length,Ancillary_InventoryCode,A807,Ancillary_BoughtOut,"No"))</f>
        <v>#NAME?</v>
      </c>
      <c r="C807" s="295" t="str">
        <f>'Inventory Takeoff'!C811</f>
        <v>Not Used</v>
      </c>
      <c r="D807" s="297">
        <f>'Inventory Takeoff'!D811</f>
        <v>0</v>
      </c>
      <c r="E807" s="291">
        <f>'Inventory Takeoff'!G811</f>
        <v>0</v>
      </c>
    </row>
    <row r="808" spans="1:5" ht="15.5">
      <c r="A808" s="290">
        <f>'Inventory Takeoff'!B812</f>
        <v>830</v>
      </c>
      <c r="B808" s="290" t="e">
        <f>IF(SUMIFS(Ancillary_Length,Ancillary_InventoryCode,A808,Ancillary_BoughtOut,"No")=0,"",SUMIFS(Ancillary_Length,Ancillary_InventoryCode,A808,Ancillary_BoughtOut,"No"))</f>
        <v>#NAME?</v>
      </c>
      <c r="C808" s="295" t="str">
        <f>'Inventory Takeoff'!C812</f>
        <v>Not Used</v>
      </c>
      <c r="D808" s="297">
        <f>'Inventory Takeoff'!D812</f>
        <v>0</v>
      </c>
      <c r="E808" s="291">
        <f>'Inventory Takeoff'!G812</f>
        <v>0</v>
      </c>
    </row>
    <row r="809" spans="1:5" ht="15.5">
      <c r="A809" s="290">
        <f>'Inventory Takeoff'!B813</f>
        <v>831</v>
      </c>
      <c r="B809" s="290" t="e">
        <f>IF(SUMIFS(Ancillary_Length,Ancillary_InventoryCode,A809,Ancillary_BoughtOut,"No")=0,"",SUMIFS(Ancillary_Length,Ancillary_InventoryCode,A809,Ancillary_BoughtOut,"No"))</f>
        <v>#NAME?</v>
      </c>
      <c r="C809" s="295" t="str">
        <f>'Inventory Takeoff'!C813</f>
        <v>Not Used</v>
      </c>
      <c r="D809" s="297">
        <f>'Inventory Takeoff'!D813</f>
        <v>0</v>
      </c>
      <c r="E809" s="291">
        <f>'Inventory Takeoff'!G813</f>
        <v>0</v>
      </c>
    </row>
    <row r="810" spans="1:5" ht="15.5">
      <c r="A810" s="290">
        <f>'Inventory Takeoff'!B814</f>
        <v>832</v>
      </c>
      <c r="B810" s="290" t="e">
        <f>IF(SUMIFS(Ancillary_Qty,Ancillary_InventoryCode,A810,Ancillary_BoughtOut,"No")=0,"",SUMIFS(Ancillary_Qty,Ancillary_InventoryCode,A810,Ancillary_BoughtOut,"No"))</f>
        <v>#NAME?</v>
      </c>
      <c r="C810" s="295" t="str">
        <f>'Inventory Takeoff'!C814</f>
        <v>16" Y</v>
      </c>
      <c r="D810" s="297" t="str">
        <f>'Inventory Takeoff'!D814</f>
        <v>Each</v>
      </c>
      <c r="E810" s="291">
        <f>'Inventory Takeoff'!G814</f>
        <v>27.82</v>
      </c>
    </row>
    <row r="811" spans="1:5" ht="15.5">
      <c r="A811" s="290">
        <f>'Inventory Takeoff'!B815</f>
        <v>833</v>
      </c>
      <c r="B811" s="290" t="e">
        <f>IF(SUMIFS(Ancillary_Length,Ancillary_InventoryCode,A811,Ancillary_BoughtOut,"No")=0,"",SUMIFS(Ancillary_Length,Ancillary_InventoryCode,A811,Ancillary_BoughtOut,"No"))</f>
        <v>#NAME?</v>
      </c>
      <c r="C811" s="295" t="str">
        <f>'Inventory Takeoff'!C815</f>
        <v>Not Used</v>
      </c>
      <c r="D811" s="297">
        <f>'Inventory Takeoff'!D815</f>
        <v>0</v>
      </c>
      <c r="E811" s="291">
        <f>'Inventory Takeoff'!G815</f>
        <v>0</v>
      </c>
    </row>
    <row r="812" spans="1:5" ht="15.5">
      <c r="A812" s="290">
        <f>'Inventory Takeoff'!B816</f>
        <v>834</v>
      </c>
      <c r="B812" s="290" t="e">
        <f>IF(SUMIFS(Ancillary_Length,Ancillary_InventoryCode,A812,Ancillary_BoughtOut,"No")=0,"",SUMIFS(Ancillary_Length,Ancillary_InventoryCode,A812,Ancillary_BoughtOut,"No"))</f>
        <v>#NAME?</v>
      </c>
      <c r="C812" s="295" t="str">
        <f>'Inventory Takeoff'!C816</f>
        <v>Not Used</v>
      </c>
      <c r="D812" s="297">
        <f>'Inventory Takeoff'!D816</f>
        <v>0</v>
      </c>
      <c r="E812" s="291">
        <f>'Inventory Takeoff'!G816</f>
        <v>0</v>
      </c>
    </row>
    <row r="813" spans="1:5" ht="15.5">
      <c r="A813" s="290">
        <f>'Inventory Takeoff'!B817</f>
        <v>835</v>
      </c>
      <c r="B813" s="290" t="e">
        <f>IF(SUMIFS(Ancillary_Length,Ancillary_InventoryCode,A813,Ancillary_BoughtOut,"No")=0,"",SUMIFS(Ancillary_Length,Ancillary_InventoryCode,A813,Ancillary_BoughtOut,"No"))</f>
        <v>#NAME?</v>
      </c>
      <c r="C813" s="295" t="str">
        <f>'Inventory Takeoff'!C817</f>
        <v>Not Used</v>
      </c>
      <c r="D813" s="297">
        <f>'Inventory Takeoff'!D817</f>
        <v>0</v>
      </c>
      <c r="E813" s="291">
        <f>'Inventory Takeoff'!G817</f>
        <v>0</v>
      </c>
    </row>
    <row r="814" spans="1:5" ht="15.5">
      <c r="A814" s="290">
        <f>'Inventory Takeoff'!B818</f>
        <v>836</v>
      </c>
      <c r="B814" s="290" t="e">
        <f>IF(SUMIFS(Ancillary_Length,Ancillary_InventoryCode,A814,Ancillary_BoughtOut,"No")=0,"",SUMIFS(Ancillary_Length,Ancillary_InventoryCode,A814,Ancillary_BoughtOut,"No"))</f>
        <v>#NAME?</v>
      </c>
      <c r="C814" s="295" t="str">
        <f>'Inventory Takeoff'!C818</f>
        <v>Welding Rod</v>
      </c>
      <c r="D814" s="297" t="str">
        <f>'Inventory Takeoff'!D818</f>
        <v>Lb</v>
      </c>
      <c r="E814" s="291">
        <f>'Inventory Takeoff'!G818</f>
        <v>1.1000000000000001</v>
      </c>
    </row>
    <row r="815" spans="1:5" ht="15.5">
      <c r="A815" s="290">
        <f>'Inventory Takeoff'!B819</f>
        <v>837</v>
      </c>
      <c r="B815" s="290" t="e">
        <f>IF(SUMIFS(Ancillary_Length,Ancillary_InventoryCode,A815,Ancillary_BoughtOut,"No")=0,"",SUMIFS(Ancillary_Length,Ancillary_InventoryCode,A815,Ancillary_BoughtOut,"No"))</f>
        <v>#NAME?</v>
      </c>
      <c r="C815" s="295" t="str">
        <f>'Inventory Takeoff'!C819</f>
        <v>Not Used</v>
      </c>
      <c r="D815" s="297">
        <f>'Inventory Takeoff'!D819</f>
        <v>0</v>
      </c>
      <c r="E815" s="291">
        <f>'Inventory Takeoff'!G819</f>
        <v>0</v>
      </c>
    </row>
    <row r="816" spans="1:5" ht="15.5">
      <c r="A816" s="290">
        <f>'Inventory Takeoff'!B820</f>
        <v>838</v>
      </c>
      <c r="B816" s="290" t="e">
        <f>IF(SUMIFS(Ancillary_Length,Ancillary_InventoryCode,A816,Ancillary_BoughtOut,"No")=0,"",SUMIFS(Ancillary_Length,Ancillary_InventoryCode,A816,Ancillary_BoughtOut,"No"))</f>
        <v>#NAME?</v>
      </c>
      <c r="C816" s="295" t="str">
        <f>'Inventory Takeoff'!C820</f>
        <v>Not Used</v>
      </c>
      <c r="D816" s="297">
        <f>'Inventory Takeoff'!D820</f>
        <v>0</v>
      </c>
      <c r="E816" s="291">
        <f>'Inventory Takeoff'!G820</f>
        <v>0</v>
      </c>
    </row>
    <row r="817" spans="1:5" ht="15.5">
      <c r="A817" s="290">
        <f>'Inventory Takeoff'!B821</f>
        <v>839</v>
      </c>
      <c r="B817" s="290" t="e">
        <f>IF(SUMIFS(Ancillary_Length,Ancillary_InventoryCode,A817,Ancillary_BoughtOut,"No")=0,"",SUMIFS(Ancillary_Length,Ancillary_InventoryCode,A817,Ancillary_BoughtOut,"No"))</f>
        <v>#NAME?</v>
      </c>
      <c r="C817" s="295" t="str">
        <f>'Inventory Takeoff'!C821</f>
        <v>Not Used</v>
      </c>
      <c r="D817" s="297">
        <f>'Inventory Takeoff'!D821</f>
        <v>0</v>
      </c>
      <c r="E817" s="291">
        <f>'Inventory Takeoff'!G821</f>
        <v>0</v>
      </c>
    </row>
    <row r="818" spans="1:5" ht="15.5">
      <c r="A818" s="290">
        <f>'Inventory Takeoff'!B822</f>
        <v>840</v>
      </c>
      <c r="B818" s="290" t="e">
        <f>IF(SUMIFS(Ancillary_Length,Ancillary_InventoryCode,A818,Ancillary_BoughtOut,"No")=0,"",SUMIFS(Ancillary_Length,Ancillary_InventoryCode,A818,Ancillary_BoughtOut,"No"))</f>
        <v>#NAME?</v>
      </c>
      <c r="C818" s="295" t="str">
        <f>'Inventory Takeoff'!C822</f>
        <v>Welding ANTI Splatter</v>
      </c>
      <c r="D818" s="297" t="str">
        <f>'Inventory Takeoff'!D822</f>
        <v>Each</v>
      </c>
      <c r="E818" s="291">
        <f>'Inventory Takeoff'!G822</f>
        <v>5.09</v>
      </c>
    </row>
    <row r="819" spans="1:5" ht="15.5">
      <c r="A819" s="290">
        <f>'Inventory Takeoff'!B823</f>
        <v>841</v>
      </c>
      <c r="B819" s="290" t="e">
        <f>IF(SUMIFS(Ancillary_Length,Ancillary_InventoryCode,A819,Ancillary_BoughtOut,"No")=0,"",SUMIFS(Ancillary_Length,Ancillary_InventoryCode,A819,Ancillary_BoughtOut,"No"))</f>
        <v>#NAME?</v>
      </c>
      <c r="C819" s="295" t="str">
        <f>'Inventory Takeoff'!C823</f>
        <v>Not Used</v>
      </c>
      <c r="D819" s="297">
        <f>'Inventory Takeoff'!D823</f>
        <v>0</v>
      </c>
      <c r="E819" s="291">
        <f>'Inventory Takeoff'!G823</f>
        <v>0</v>
      </c>
    </row>
    <row r="820" spans="1:5" ht="15.5">
      <c r="A820" s="290">
        <f>'Inventory Takeoff'!B824</f>
        <v>842</v>
      </c>
      <c r="B820" s="290" t="e">
        <f>IF(SUMIFS(Ancillary_Length,Ancillary_InventoryCode,A820,Ancillary_BoughtOut,"No")=0,"",SUMIFS(Ancillary_Length,Ancillary_InventoryCode,A820,Ancillary_BoughtOut,"No"))</f>
        <v>#NAME?</v>
      </c>
      <c r="C820" s="295" t="str">
        <f>'Inventory Takeoff'!C824</f>
        <v>Welding Gas</v>
      </c>
      <c r="D820" s="297" t="str">
        <f>'Inventory Takeoff'!D824</f>
        <v>Cubic Feet</v>
      </c>
      <c r="E820" s="291">
        <f>'Inventory Takeoff'!G824</f>
        <v>1.21</v>
      </c>
    </row>
    <row r="821" spans="1:5" ht="15.5">
      <c r="A821" s="290">
        <f>'Inventory Takeoff'!B825</f>
        <v>843</v>
      </c>
      <c r="B821" s="290" t="e">
        <f t="shared" ref="B821:B834" si="30">IF(SUMIFS(Ancillary_Qty,Ancillary_InventoryCode,A821,Ancillary_BoughtOut,"No")=0,"",SUMIFS(Ancillary_Qty,Ancillary_InventoryCode,A821,Ancillary_BoughtOut,"No"))</f>
        <v>#NAME?</v>
      </c>
      <c r="C821" s="295" t="str">
        <f>'Inventory Takeoff'!C825</f>
        <v>3" Endcap</v>
      </c>
      <c r="D821" s="297" t="str">
        <f>'Inventory Takeoff'!D825</f>
        <v>Each</v>
      </c>
      <c r="E821" s="291">
        <f>'Inventory Takeoff'!G825</f>
        <v>8.8699999999999992</v>
      </c>
    </row>
    <row r="822" spans="1:5" ht="15.5">
      <c r="A822" s="290">
        <f>'Inventory Takeoff'!B826</f>
        <v>844</v>
      </c>
      <c r="B822" s="290" t="e">
        <f t="shared" si="30"/>
        <v>#NAME?</v>
      </c>
      <c r="C822" s="295" t="str">
        <f>'Inventory Takeoff'!C826</f>
        <v>4" Endcap</v>
      </c>
      <c r="D822" s="297" t="str">
        <f>'Inventory Takeoff'!D826</f>
        <v>Each</v>
      </c>
      <c r="E822" s="291">
        <f>'Inventory Takeoff'!G826</f>
        <v>8.8699999999999992</v>
      </c>
    </row>
    <row r="823" spans="1:5" ht="15.5">
      <c r="A823" s="290">
        <f>'Inventory Takeoff'!B827</f>
        <v>845</v>
      </c>
      <c r="B823" s="290" t="e">
        <f t="shared" si="30"/>
        <v>#NAME?</v>
      </c>
      <c r="C823" s="295" t="str">
        <f>'Inventory Takeoff'!C827</f>
        <v>5" Endcap</v>
      </c>
      <c r="D823" s="297" t="str">
        <f>'Inventory Takeoff'!D827</f>
        <v>Each</v>
      </c>
      <c r="E823" s="291">
        <f>'Inventory Takeoff'!G827</f>
        <v>9.58</v>
      </c>
    </row>
    <row r="824" spans="1:5" ht="15.5">
      <c r="A824" s="290">
        <f>'Inventory Takeoff'!B828</f>
        <v>846</v>
      </c>
      <c r="B824" s="290" t="e">
        <f t="shared" si="30"/>
        <v>#NAME?</v>
      </c>
      <c r="C824" s="295" t="str">
        <f>'Inventory Takeoff'!C828</f>
        <v>6" Endcap</v>
      </c>
      <c r="D824" s="297" t="str">
        <f>'Inventory Takeoff'!D828</f>
        <v>Each</v>
      </c>
      <c r="E824" s="291">
        <f>'Inventory Takeoff'!G828</f>
        <v>9.370000000000001</v>
      </c>
    </row>
    <row r="825" spans="1:5" ht="15.5">
      <c r="A825" s="290">
        <f>'Inventory Takeoff'!B829</f>
        <v>847</v>
      </c>
      <c r="B825" s="290" t="e">
        <f t="shared" si="30"/>
        <v>#NAME?</v>
      </c>
      <c r="C825" s="295" t="str">
        <f>'Inventory Takeoff'!C829</f>
        <v>7" Endcap</v>
      </c>
      <c r="D825" s="297" t="str">
        <f>'Inventory Takeoff'!D829</f>
        <v>Each</v>
      </c>
      <c r="E825" s="291">
        <f>'Inventory Takeoff'!G829</f>
        <v>10.94</v>
      </c>
    </row>
    <row r="826" spans="1:5" ht="15.5">
      <c r="A826" s="290">
        <f>'Inventory Takeoff'!B830</f>
        <v>848</v>
      </c>
      <c r="B826" s="290" t="e">
        <f t="shared" si="30"/>
        <v>#NAME?</v>
      </c>
      <c r="C826" s="295" t="str">
        <f>'Inventory Takeoff'!C830</f>
        <v>8" Endcap</v>
      </c>
      <c r="D826" s="297" t="str">
        <f>'Inventory Takeoff'!D830</f>
        <v>Each</v>
      </c>
      <c r="E826" s="291">
        <f>'Inventory Takeoff'!G830</f>
        <v>11.860000000000001</v>
      </c>
    </row>
    <row r="827" spans="1:5" ht="15.5">
      <c r="A827" s="290">
        <f>'Inventory Takeoff'!B831</f>
        <v>849</v>
      </c>
      <c r="B827" s="290" t="e">
        <f t="shared" si="30"/>
        <v>#NAME?</v>
      </c>
      <c r="C827" s="295" t="str">
        <f>'Inventory Takeoff'!C831</f>
        <v>9" Endcap</v>
      </c>
      <c r="D827" s="297" t="str">
        <f>'Inventory Takeoff'!D831</f>
        <v>Each</v>
      </c>
      <c r="E827" s="291">
        <f>'Inventory Takeoff'!G831</f>
        <v>13.68</v>
      </c>
    </row>
    <row r="828" spans="1:5" ht="15.5">
      <c r="A828" s="290">
        <f>'Inventory Takeoff'!B832</f>
        <v>850</v>
      </c>
      <c r="B828" s="290" t="e">
        <f t="shared" si="30"/>
        <v>#NAME?</v>
      </c>
      <c r="C828" s="295" t="str">
        <f>'Inventory Takeoff'!C832</f>
        <v>10" Endcap</v>
      </c>
      <c r="D828" s="297" t="str">
        <f>'Inventory Takeoff'!D832</f>
        <v>Each</v>
      </c>
      <c r="E828" s="291">
        <f>'Inventory Takeoff'!G832</f>
        <v>14.61</v>
      </c>
    </row>
    <row r="829" spans="1:5" ht="15.5">
      <c r="A829" s="290">
        <f>'Inventory Takeoff'!B833</f>
        <v>851</v>
      </c>
      <c r="B829" s="290" t="e">
        <f t="shared" si="30"/>
        <v>#NAME?</v>
      </c>
      <c r="C829" s="295" t="str">
        <f>'Inventory Takeoff'!C833</f>
        <v>12" Endcap</v>
      </c>
      <c r="D829" s="297" t="str">
        <f>'Inventory Takeoff'!D833</f>
        <v>Each</v>
      </c>
      <c r="E829" s="291">
        <f>'Inventory Takeoff'!G833</f>
        <v>15.959999999999999</v>
      </c>
    </row>
    <row r="830" spans="1:5" ht="15.5">
      <c r="A830" s="290">
        <f>'Inventory Takeoff'!B834</f>
        <v>852</v>
      </c>
      <c r="B830" s="290" t="e">
        <f t="shared" si="30"/>
        <v>#NAME?</v>
      </c>
      <c r="C830" s="295" t="str">
        <f>'Inventory Takeoff'!C834</f>
        <v>14" Endcap</v>
      </c>
      <c r="D830" s="297" t="str">
        <f>'Inventory Takeoff'!D834</f>
        <v>Each</v>
      </c>
      <c r="E830" s="291">
        <f>'Inventory Takeoff'!G834</f>
        <v>22.22</v>
      </c>
    </row>
    <row r="831" spans="1:5" ht="15.5">
      <c r="A831" s="290">
        <f>'Inventory Takeoff'!B835</f>
        <v>853</v>
      </c>
      <c r="B831" s="290" t="e">
        <f t="shared" si="30"/>
        <v>#NAME?</v>
      </c>
      <c r="C831" s="295" t="str">
        <f>'Inventory Takeoff'!C835</f>
        <v>16" Endcap</v>
      </c>
      <c r="D831" s="297" t="str">
        <f>'Inventory Takeoff'!D835</f>
        <v>Each</v>
      </c>
      <c r="E831" s="291">
        <f>'Inventory Takeoff'!G835</f>
        <v>39.75</v>
      </c>
    </row>
    <row r="832" spans="1:5" ht="15.5">
      <c r="A832" s="290">
        <f>'Inventory Takeoff'!B836</f>
        <v>854</v>
      </c>
      <c r="B832" s="290" t="e">
        <f t="shared" si="30"/>
        <v>#NAME?</v>
      </c>
      <c r="C832" s="295" t="str">
        <f>'Inventory Takeoff'!C836</f>
        <v>Miscellaneous</v>
      </c>
      <c r="D832" s="297" t="str">
        <f>'Inventory Takeoff'!D836</f>
        <v>Each</v>
      </c>
      <c r="E832" s="291">
        <f>'Inventory Takeoff'!G836</f>
        <v>0</v>
      </c>
    </row>
    <row r="833" spans="1:5" ht="15.5">
      <c r="A833" s="290">
        <f>'Inventory Takeoff'!B837</f>
        <v>855</v>
      </c>
      <c r="B833" s="290" t="e">
        <f t="shared" si="30"/>
        <v>#NAME?</v>
      </c>
      <c r="C833" s="295" t="str">
        <f>'Inventory Takeoff'!C837</f>
        <v>Handle (Stand Off)</v>
      </c>
      <c r="D833" s="297" t="str">
        <f>'Inventory Takeoff'!D837</f>
        <v>Each</v>
      </c>
      <c r="E833" s="291">
        <f>'Inventory Takeoff'!G837</f>
        <v>6.2100000000000009</v>
      </c>
    </row>
    <row r="834" spans="1:5" ht="15.5">
      <c r="A834" s="290">
        <f>'Inventory Takeoff'!B838</f>
        <v>856</v>
      </c>
      <c r="B834" s="290" t="e">
        <f t="shared" si="30"/>
        <v>#NAME?</v>
      </c>
      <c r="C834" s="295" t="str">
        <f>'Inventory Takeoff'!C838</f>
        <v>Safety Glasses</v>
      </c>
      <c r="D834" s="297" t="str">
        <f>'Inventory Takeoff'!D838</f>
        <v>Each</v>
      </c>
      <c r="E834" s="291">
        <f>'Inventory Takeoff'!G838</f>
        <v>14.38</v>
      </c>
    </row>
    <row r="835" spans="1:5" ht="15.5">
      <c r="A835" s="290">
        <f>'Inventory Takeoff'!B839</f>
        <v>857</v>
      </c>
      <c r="B835" s="293" t="e">
        <f>IF(SUMIFS(Part_Insulation_Area,Part_Insulation_Thickness,"1",Part_Insulation,"Inside",BoughtOut,"No")=0,"",SUMIFS(Part_Insulation_Area,Part_Insulation_Thickness,"1",Part_Insulation,"Inside",BoughtOut,"No"))</f>
        <v>#NAME?</v>
      </c>
      <c r="C835" s="295" t="str">
        <f>'Inventory Takeoff'!C839</f>
        <v>Sound Attenuation 1"</v>
      </c>
      <c r="D835" s="297" t="str">
        <f>'Inventory Takeoff'!D839</f>
        <v>Sq Ft</v>
      </c>
      <c r="E835" s="291">
        <f>'Inventory Takeoff'!G839</f>
        <v>1.0900000000000001</v>
      </c>
    </row>
    <row r="836" spans="1:5" ht="15.5">
      <c r="A836" s="290">
        <f>'Inventory Takeoff'!B840</f>
        <v>858</v>
      </c>
      <c r="B836" s="293" t="e">
        <f>IF(SUMIFS(Part_Insulation_Area,Part_Insulation_Thickness,"2",Part_Insulation,"Inside",BoughtOut,"No")=0,"",SUMIFS(Part_Insulation_Area,Part_Insulation_Thickness,"2",Part_Insulation,"Inside",BoughtOut,"No"))</f>
        <v>#NAME?</v>
      </c>
      <c r="C836" s="295" t="str">
        <f>'Inventory Takeoff'!C840</f>
        <v>Sound Attenuation 2"</v>
      </c>
      <c r="D836" s="297" t="str">
        <f>'Inventory Takeoff'!D840</f>
        <v>Sq Ft</v>
      </c>
      <c r="E836" s="291">
        <f>'Inventory Takeoff'!G840</f>
        <v>2.0700000000000003</v>
      </c>
    </row>
    <row r="837" spans="1:5" ht="15.5">
      <c r="A837" s="290">
        <f>'Inventory Takeoff'!B841</f>
        <v>859</v>
      </c>
      <c r="B837" s="293" t="e">
        <f>IF(SUMIFS(Part_Insulation_Area,Part_Insulation_Thickness,".5",Part_Insulation,"Inside",BoughtOut,"No")=0,"",SUMIFS(Part_Insulation_Area,Part_Insulation_Thickness,".5",Part_Insulation,"Inside",BoughtOut,"No"))</f>
        <v>#NAME?</v>
      </c>
      <c r="C837" s="295" t="str">
        <f>'Inventory Takeoff'!C841</f>
        <v>Sound Attenuation 1/2"</v>
      </c>
      <c r="D837" s="297" t="str">
        <f>'Inventory Takeoff'!D841</f>
        <v>Sq Ft</v>
      </c>
      <c r="E837" s="291">
        <f>'Inventory Takeoff'!G841</f>
        <v>1.02</v>
      </c>
    </row>
    <row r="838" spans="1:5" ht="15.5">
      <c r="A838" s="290">
        <f>'Inventory Takeoff'!B842</f>
        <v>860</v>
      </c>
      <c r="B838" s="290" t="e">
        <f t="shared" ref="B838:B847" si="31">IF(SUMIFS(Ancillary_Qty,Ancillary_InventoryCode,A838,Ancillary_BoughtOut,"No")=0,"",SUMIFS(Ancillary_Qty,Ancillary_InventoryCode,A838,Ancillary_BoughtOut,"No"))</f>
        <v>#NAME?</v>
      </c>
      <c r="C838" s="295" t="str">
        <f>'Inventory Takeoff'!C842</f>
        <v>Safety Gloves</v>
      </c>
      <c r="D838" s="297" t="str">
        <f>'Inventory Takeoff'!D842</f>
        <v>Each</v>
      </c>
      <c r="E838" s="291">
        <f>'Inventory Takeoff'!G842</f>
        <v>10.23</v>
      </c>
    </row>
    <row r="839" spans="1:5" ht="15.5">
      <c r="A839" s="290">
        <f>'Inventory Takeoff'!B843</f>
        <v>861</v>
      </c>
      <c r="B839" s="290" t="e">
        <f t="shared" si="31"/>
        <v>#NAME?</v>
      </c>
      <c r="C839" s="295" t="str">
        <f>'Inventory Takeoff'!C843</f>
        <v>Caulk Guns</v>
      </c>
      <c r="D839" s="297" t="str">
        <f>'Inventory Takeoff'!D843</f>
        <v>Each</v>
      </c>
      <c r="E839" s="291">
        <f>'Inventory Takeoff'!G843</f>
        <v>11.5</v>
      </c>
    </row>
    <row r="840" spans="1:5" ht="15.5">
      <c r="A840" s="290">
        <f>'Inventory Takeoff'!B844</f>
        <v>862</v>
      </c>
      <c r="B840" s="290" t="e">
        <f>IF(SUMIFS(Ancillary_Length,Ancillary_InventoryCode,A840,Ancillary_BoughtOut,"No")=0,"",SUMIFS(Ancillary_Length,Ancillary_InventoryCode,A840,Ancillary_BoughtOut,"No"))</f>
        <v>#NAME?</v>
      </c>
      <c r="C840" s="295" t="str">
        <f>'Inventory Takeoff'!C844</f>
        <v>Not Used</v>
      </c>
      <c r="D840" s="297">
        <f>'Inventory Takeoff'!D844</f>
        <v>0</v>
      </c>
      <c r="E840" s="291">
        <f>'Inventory Takeoff'!G844</f>
        <v>0</v>
      </c>
    </row>
    <row r="841" spans="1:5" ht="15.5">
      <c r="A841" s="290">
        <f>'Inventory Takeoff'!B845</f>
        <v>863</v>
      </c>
      <c r="B841" s="290" t="e">
        <f>IF(SUMIFS(Ancillary_Length,Ancillary_InventoryCode,A841,Ancillary_BoughtOut,"No")=0,"",SUMIFS(Ancillary_Length,Ancillary_InventoryCode,A841,Ancillary_BoughtOut,"No"))</f>
        <v>#NAME?</v>
      </c>
      <c r="C841" s="295" t="str">
        <f>'Inventory Takeoff'!C845</f>
        <v>Not Used</v>
      </c>
      <c r="D841" s="297">
        <f>'Inventory Takeoff'!D845</f>
        <v>0</v>
      </c>
      <c r="E841" s="291">
        <f>'Inventory Takeoff'!G845</f>
        <v>0</v>
      </c>
    </row>
    <row r="842" spans="1:5" ht="15.5">
      <c r="A842" s="290">
        <f>'Inventory Takeoff'!B846</f>
        <v>864</v>
      </c>
      <c r="B842" s="290" t="e">
        <f>IF(SUMIFS(Ancillary_Length,Ancillary_InventoryCode,A842,Ancillary_BoughtOut,"No")=0,"",SUMIFS(Ancillary_Length,Ancillary_InventoryCode,A842,Ancillary_BoughtOut,"No"))</f>
        <v>#NAME?</v>
      </c>
      <c r="C842" s="295" t="str">
        <f>'Inventory Takeoff'!C846</f>
        <v>Not Used</v>
      </c>
      <c r="D842" s="297">
        <f>'Inventory Takeoff'!D846</f>
        <v>0</v>
      </c>
      <c r="E842" s="291">
        <f>'Inventory Takeoff'!G846</f>
        <v>0</v>
      </c>
    </row>
    <row r="843" spans="1:5" ht="15.5">
      <c r="A843" s="290">
        <f>'Inventory Takeoff'!B847</f>
        <v>865</v>
      </c>
      <c r="B843" s="290" t="e">
        <f t="shared" si="31"/>
        <v>#NAME?</v>
      </c>
      <c r="C843" s="295" t="str">
        <f>'Inventory Takeoff'!C847</f>
        <v>Stick Pin/Clip</v>
      </c>
      <c r="D843" s="297" t="str">
        <f>'Inventory Takeoff'!D847</f>
        <v>Each</v>
      </c>
      <c r="E843" s="291">
        <f>'Inventory Takeoff'!G847</f>
        <v>0.22</v>
      </c>
    </row>
    <row r="844" spans="1:5" ht="15.5">
      <c r="A844" s="290">
        <f>'Inventory Takeoff'!B848</f>
        <v>866</v>
      </c>
      <c r="B844" s="290" t="e">
        <f t="shared" si="31"/>
        <v>#NAME?</v>
      </c>
      <c r="C844" s="295" t="str">
        <f>'Inventory Takeoff'!C848</f>
        <v>Stick Wire</v>
      </c>
      <c r="D844" s="297" t="str">
        <f>'Inventory Takeoff'!D848</f>
        <v>Each</v>
      </c>
      <c r="E844" s="291">
        <f>'Inventory Takeoff'!G848</f>
        <v>14.76</v>
      </c>
    </row>
    <row r="845" spans="1:5" ht="15.5">
      <c r="A845" s="290">
        <f>'Inventory Takeoff'!B849</f>
        <v>867</v>
      </c>
      <c r="B845" s="290" t="e">
        <f>IF(SUMIFS(Ancillary_Length,Ancillary_InventoryCode,A845,Ancillary_BoughtOut,"No")=0,"",SUMIFS(Ancillary_Length,Ancillary_InventoryCode,A845,Ancillary_BoughtOut,"No"))</f>
        <v>#NAME?</v>
      </c>
      <c r="C845" s="295" t="str">
        <f>'Inventory Takeoff'!C849</f>
        <v>Not Used</v>
      </c>
      <c r="D845" s="297">
        <f>'Inventory Takeoff'!D849</f>
        <v>0</v>
      </c>
      <c r="E845" s="291">
        <f>'Inventory Takeoff'!G849</f>
        <v>0</v>
      </c>
    </row>
    <row r="846" spans="1:5" ht="15.5">
      <c r="A846" s="290">
        <f>'Inventory Takeoff'!B850</f>
        <v>868</v>
      </c>
      <c r="B846" s="290" t="e">
        <f t="shared" si="31"/>
        <v>#NAME?</v>
      </c>
      <c r="C846" s="295" t="str">
        <f>'Inventory Takeoff'!C850</f>
        <v>Drill Chuck 1/4</v>
      </c>
      <c r="D846" s="297" t="str">
        <f>'Inventory Takeoff'!D850</f>
        <v>Each</v>
      </c>
      <c r="E846" s="291">
        <f>'Inventory Takeoff'!G850</f>
        <v>5.0600000000000005</v>
      </c>
    </row>
    <row r="847" spans="1:5" ht="15.5">
      <c r="A847" s="290">
        <f>'Inventory Takeoff'!B851</f>
        <v>869</v>
      </c>
      <c r="B847" s="290" t="e">
        <f t="shared" si="31"/>
        <v>#NAME?</v>
      </c>
      <c r="C847" s="295" t="str">
        <f>'Inventory Takeoff'!C851</f>
        <v>Drill Chuck 5/16</v>
      </c>
      <c r="D847" s="297" t="str">
        <f>'Inventory Takeoff'!D851</f>
        <v>Each</v>
      </c>
      <c r="E847" s="291">
        <f>'Inventory Takeoff'!G851</f>
        <v>5.9</v>
      </c>
    </row>
    <row r="848" spans="1:5" ht="15.5">
      <c r="A848" s="290">
        <f>'Inventory Takeoff'!B852</f>
        <v>870</v>
      </c>
      <c r="B848" s="290" t="e">
        <f>IF(SUMIFS(Ancillary_Length,Ancillary_InventoryCode,A848,Ancillary_BoughtOut,"No")=0,"",SUMIFS(Ancillary_Length,Ancillary_InventoryCode,A848,Ancillary_BoughtOut,"No"))</f>
        <v>#NAME?</v>
      </c>
      <c r="C848" s="295" t="str">
        <f>'Inventory Takeoff'!C852</f>
        <v>Not Used</v>
      </c>
      <c r="D848" s="297">
        <f>'Inventory Takeoff'!D852</f>
        <v>0</v>
      </c>
      <c r="E848" s="291">
        <f>'Inventory Takeoff'!G852</f>
        <v>0</v>
      </c>
    </row>
    <row r="849" spans="1:5" ht="15.5">
      <c r="A849" s="290">
        <f>'Inventory Takeoff'!B853</f>
        <v>871</v>
      </c>
      <c r="B849" s="290" t="e">
        <f>IF(SUMIFS(Ancillary_Length,Ancillary_InventoryCode,A849,Ancillary_BoughtOut,"No")=0,"",SUMIFS(Ancillary_Length,Ancillary_InventoryCode,A849,Ancillary_BoughtOut,"No"))</f>
        <v>#NAME?</v>
      </c>
      <c r="C849" s="295" t="str">
        <f>'Inventory Takeoff'!C853</f>
        <v>Visqueen</v>
      </c>
      <c r="D849" s="297" t="str">
        <f>'Inventory Takeoff'!D853</f>
        <v>Roll</v>
      </c>
      <c r="E849" s="291">
        <f>'Inventory Takeoff'!G853</f>
        <v>43.77</v>
      </c>
    </row>
    <row r="850" spans="1:5" ht="15.5">
      <c r="A850" s="290">
        <f>'Inventory Takeoff'!B854</f>
        <v>872</v>
      </c>
      <c r="B850" s="290" t="e">
        <f>IF(SUMIFS(Ancillary_Qty,Ancillary_InventoryCode,A850,Ancillary_BoughtOut,"No")=0,"",SUMIFS(Ancillary_Qty,Ancillary_InventoryCode,A850,Ancillary_BoughtOut,"No"))</f>
        <v>#NAME?</v>
      </c>
      <c r="C850" s="295" t="str">
        <f>'Inventory Takeoff'!C854</f>
        <v>Beam Clamp</v>
      </c>
      <c r="D850" s="297" t="str">
        <f>'Inventory Takeoff'!D854</f>
        <v>Each</v>
      </c>
      <c r="E850" s="291">
        <f>'Inventory Takeoff'!G854</f>
        <v>4.5200000000000005</v>
      </c>
    </row>
    <row r="851" spans="1:5" ht="15.5">
      <c r="A851" s="290">
        <f>'Inventory Takeoff'!B855</f>
        <v>873</v>
      </c>
      <c r="B851" s="290" t="e">
        <f>IF(SUMIFS(Ancillary_Length,Ancillary_InventoryCode,A851,Ancillary_BoughtOut,"No")=0,"",SUMIFS(Ancillary_Length,Ancillary_InventoryCode,A851,Ancillary_BoughtOut,"No"))</f>
        <v>#NAME?</v>
      </c>
      <c r="C851" s="295" t="str">
        <f>'Inventory Takeoff'!C855</f>
        <v>Not Used</v>
      </c>
      <c r="D851" s="297">
        <f>'Inventory Takeoff'!D855</f>
        <v>0</v>
      </c>
      <c r="E851" s="291">
        <f>'Inventory Takeoff'!G855</f>
        <v>0</v>
      </c>
    </row>
    <row r="852" spans="1:5" ht="15.5">
      <c r="A852" s="290">
        <f>'Inventory Takeoff'!B856</f>
        <v>874</v>
      </c>
      <c r="B852" s="290" t="e">
        <f>IF(SUMIFS(Ancillary_Length,Ancillary_InventoryCode,A852,Ancillary_BoughtOut,"No")=0,"",SUMIFS(Ancillary_Length,Ancillary_InventoryCode,A852,Ancillary_BoughtOut,"No"))</f>
        <v>#NAME?</v>
      </c>
      <c r="C852" s="295" t="str">
        <f>'Inventory Takeoff'!C856</f>
        <v>Not Used</v>
      </c>
      <c r="D852" s="297">
        <f>'Inventory Takeoff'!D856</f>
        <v>0</v>
      </c>
      <c r="E852" s="291">
        <f>'Inventory Takeoff'!G856</f>
        <v>0</v>
      </c>
    </row>
    <row r="853" spans="1:5" ht="15.5">
      <c r="A853" s="290">
        <f>'Inventory Takeoff'!B857</f>
        <v>875</v>
      </c>
      <c r="B853" s="290" t="e">
        <f>IF(SUMIFS(Ancillary_Length,Ancillary_InventoryCode,A853,Ancillary_BoughtOut,"No")=0,"",SUMIFS(Ancillary_Length,Ancillary_InventoryCode,A853,Ancillary_BoughtOut,"No"))</f>
        <v>#NAME?</v>
      </c>
      <c r="C853" s="295" t="str">
        <f>'Inventory Takeoff'!C857</f>
        <v>Not Used</v>
      </c>
      <c r="D853" s="297">
        <f>'Inventory Takeoff'!D857</f>
        <v>0</v>
      </c>
      <c r="E853" s="291">
        <f>'Inventory Takeoff'!G857</f>
        <v>0</v>
      </c>
    </row>
    <row r="854" spans="1:5" ht="15.5">
      <c r="A854" s="290">
        <f>'Inventory Takeoff'!B858</f>
        <v>876</v>
      </c>
      <c r="B854" s="290" t="e">
        <f>IF(SUMIFS(Ancillary_Length,Ancillary_InventoryCode,A854,Ancillary_BoughtOut,"No")=0,"",SUMIFS(Ancillary_Length,Ancillary_InventoryCode,A854,Ancillary_BoughtOut,"No"))</f>
        <v>#NAME?</v>
      </c>
      <c r="C854" s="295" t="str">
        <f>'Inventory Takeoff'!C858</f>
        <v>Not Used</v>
      </c>
      <c r="D854" s="297">
        <f>'Inventory Takeoff'!D858</f>
        <v>0</v>
      </c>
      <c r="E854" s="291">
        <f>'Inventory Takeoff'!G858</f>
        <v>0</v>
      </c>
    </row>
    <row r="855" spans="1:5" ht="15.5">
      <c r="A855" s="290">
        <f>'Inventory Takeoff'!B859</f>
        <v>877</v>
      </c>
      <c r="B855" s="290" t="e">
        <f>IF(SUMIFS(Ancillary_Length,Ancillary_InventoryCode,A855,Ancillary_BoughtOut,"No")=0,"",SUMIFS(Ancillary_Length,Ancillary_InventoryCode,A855,Ancillary_BoughtOut,"No"))</f>
        <v>#NAME?</v>
      </c>
      <c r="C855" s="295" t="str">
        <f>'Inventory Takeoff'!C859</f>
        <v>Not Used</v>
      </c>
      <c r="D855" s="297">
        <f>'Inventory Takeoff'!D859</f>
        <v>0</v>
      </c>
      <c r="E855" s="291">
        <f>'Inventory Takeoff'!G859</f>
        <v>0</v>
      </c>
    </row>
    <row r="856" spans="1:5" ht="15.5">
      <c r="A856" s="290">
        <f>'Inventory Takeoff'!B860</f>
        <v>878</v>
      </c>
      <c r="B856" s="290" t="e">
        <f>IF(SUMIFS(Ancillary_Qty,Ancillary_InventoryCode,A856,Ancillary_BoughtOut,"No")=0,"",SUMIFS(Ancillary_Qty,Ancillary_InventoryCode,A856,Ancillary_BoughtOut,"No"))</f>
        <v>#NAME?</v>
      </c>
      <c r="C856" s="295" t="str">
        <f>'Inventory Takeoff'!C860</f>
        <v>1/4 Strut Nut</v>
      </c>
      <c r="D856" s="297" t="str">
        <f>'Inventory Takeoff'!D860</f>
        <v>Each</v>
      </c>
      <c r="E856" s="291">
        <f>'Inventory Takeoff'!G860</f>
        <v>1.27</v>
      </c>
    </row>
    <row r="857" spans="1:5" ht="15.5">
      <c r="A857" s="290">
        <f>'Inventory Takeoff'!B861</f>
        <v>879</v>
      </c>
      <c r="B857" s="290" t="e">
        <f>IF(SUMIFS(Ancillary_Qty,Ancillary_InventoryCode,A857,Ancillary_BoughtOut,"No")=0,"",SUMIFS(Ancillary_Qty,Ancillary_InventoryCode,A857,Ancillary_BoughtOut,"No"))</f>
        <v>#NAME?</v>
      </c>
      <c r="C857" s="295" t="str">
        <f>'Inventory Takeoff'!C861</f>
        <v>3/8 Strut Nut</v>
      </c>
      <c r="D857" s="297" t="str">
        <f>'Inventory Takeoff'!D861</f>
        <v>Each</v>
      </c>
      <c r="E857" s="291">
        <f>'Inventory Takeoff'!G861</f>
        <v>1.22</v>
      </c>
    </row>
    <row r="858" spans="1:5" ht="15.5">
      <c r="A858" s="290">
        <f>'Inventory Takeoff'!B862</f>
        <v>880</v>
      </c>
      <c r="B858" s="290" t="e">
        <f>IF(SUMIFS(Ancillary_Qty,Ancillary_InventoryCode,A858,Ancillary_BoughtOut,"No")=0,"",SUMIFS(Ancillary_Qty,Ancillary_InventoryCode,A858,Ancillary_BoughtOut,"No"))</f>
        <v>#NAME?</v>
      </c>
      <c r="C858" s="295" t="str">
        <f>'Inventory Takeoff'!C862</f>
        <v>1/2 Strut Nut</v>
      </c>
      <c r="D858" s="297" t="str">
        <f>'Inventory Takeoff'!D862</f>
        <v>Each</v>
      </c>
      <c r="E858" s="291">
        <f>'Inventory Takeoff'!G862</f>
        <v>1.2</v>
      </c>
    </row>
    <row r="859" spans="1:5" ht="15.5">
      <c r="A859" s="290">
        <f>'Inventory Takeoff'!B863</f>
        <v>881</v>
      </c>
      <c r="B859" s="290" t="e">
        <f>IF(SUMIFS(Ancillary_Length,Ancillary_InventoryCode,A859,Ancillary_BoughtOut,"No")=0,"",SUMIFS(Ancillary_Length,Ancillary_InventoryCode,A859,Ancillary_BoughtOut,"No"))</f>
        <v>#NAME?</v>
      </c>
      <c r="C859" s="295" t="str">
        <f>'Inventory Takeoff'!C863</f>
        <v>Not Used</v>
      </c>
      <c r="D859" s="297">
        <f>'Inventory Takeoff'!D863</f>
        <v>0</v>
      </c>
      <c r="E859" s="291">
        <f>'Inventory Takeoff'!G863</f>
        <v>0</v>
      </c>
    </row>
    <row r="860" spans="1:5" ht="15.5">
      <c r="A860" s="290">
        <f>'Inventory Takeoff'!B864</f>
        <v>882</v>
      </c>
      <c r="B860" s="290" t="e">
        <f>IF(SUMIFS(Ancillary_Length,Ancillary_InventoryCode,A860,Ancillary_BoughtOut,"No")=0,"",SUMIFS(Ancillary_Length,Ancillary_InventoryCode,A860,Ancillary_BoughtOut,"No"))</f>
        <v>#NAME?</v>
      </c>
      <c r="C860" s="295" t="str">
        <f>'Inventory Takeoff'!C864</f>
        <v>Not Used</v>
      </c>
      <c r="D860" s="297">
        <f>'Inventory Takeoff'!D864</f>
        <v>0</v>
      </c>
      <c r="E860" s="291">
        <f>'Inventory Takeoff'!G864</f>
        <v>0</v>
      </c>
    </row>
    <row r="861" spans="1:5" ht="15.5">
      <c r="A861" s="290">
        <f>'Inventory Takeoff'!B865</f>
        <v>883</v>
      </c>
      <c r="B861" s="290" t="e">
        <f>IF(SUMIFS(Ancillary_Length,Ancillary_InventoryCode,A861,Ancillary_BoughtOut,"No")=0,"",SUMIFS(Ancillary_Length,Ancillary_InventoryCode,A861,Ancillary_BoughtOut,"No"))</f>
        <v>#NAME?</v>
      </c>
      <c r="C861" s="295" t="str">
        <f>'Inventory Takeoff'!C865</f>
        <v>Not Used</v>
      </c>
      <c r="D861" s="297">
        <f>'Inventory Takeoff'!D865</f>
        <v>0</v>
      </c>
      <c r="E861" s="291">
        <f>'Inventory Takeoff'!G865</f>
        <v>0</v>
      </c>
    </row>
    <row r="862" spans="1:5" ht="15.5">
      <c r="A862" s="290">
        <f>'Inventory Takeoff'!B866</f>
        <v>884</v>
      </c>
      <c r="B862" s="290" t="e">
        <f>IF(SUMIFS(Ancillary_Length,Ancillary_InventoryCode,A862,Ancillary_BoughtOut,"No")=0,"",SUMIFS(Ancillary_Length,Ancillary_InventoryCode,A862,Ancillary_BoughtOut,"No"))</f>
        <v>#NAME?</v>
      </c>
      <c r="C862" s="295" t="str">
        <f>'Inventory Takeoff'!C866</f>
        <v>Not Used</v>
      </c>
      <c r="D862" s="297">
        <f>'Inventory Takeoff'!D866</f>
        <v>0</v>
      </c>
      <c r="E862" s="291">
        <f>'Inventory Takeoff'!G866</f>
        <v>0</v>
      </c>
    </row>
    <row r="863" spans="1:5" ht="15.5">
      <c r="A863" s="290">
        <f>'Inventory Takeoff'!B867</f>
        <v>885</v>
      </c>
      <c r="B863" s="290" t="e">
        <f>IF(SUMIFS(Ancillary_Length,Ancillary_InventoryCode,A863,Ancillary_BoughtOut,"No")=0,"",SUMIFS(Ancillary_Length,Ancillary_InventoryCode,A863,Ancillary_BoughtOut,"No"))</f>
        <v>#NAME?</v>
      </c>
      <c r="C863" s="295" t="str">
        <f>'Inventory Takeoff'!C867</f>
        <v>Not Used</v>
      </c>
      <c r="D863" s="297">
        <f>'Inventory Takeoff'!D867</f>
        <v>0</v>
      </c>
      <c r="E863" s="291">
        <f>'Inventory Takeoff'!G867</f>
        <v>0</v>
      </c>
    </row>
    <row r="864" spans="1:5" ht="15.5">
      <c r="A864" s="290">
        <f>'Inventory Takeoff'!B868</f>
        <v>886</v>
      </c>
      <c r="B864" s="290" t="e">
        <f>IF(SUMIFS(Ancillary_Qty,Ancillary_InventoryCode,A864,Ancillary_BoughtOut,"No")=0,"",SUMIFS(Ancillary_Qty,Ancillary_InventoryCode,A864,Ancillary_BoughtOut,"No"))</f>
        <v>#NAME?</v>
      </c>
      <c r="C864" s="295" t="str">
        <f>'Inventory Takeoff'!C868</f>
        <v>Stick Wire</v>
      </c>
      <c r="D864" s="297" t="str">
        <f>'Inventory Takeoff'!D868</f>
        <v>Each</v>
      </c>
      <c r="E864" s="291">
        <f>'Inventory Takeoff'!G868</f>
        <v>15.870000000000001</v>
      </c>
    </row>
    <row r="865" spans="1:5" ht="15.5">
      <c r="A865" s="290">
        <f>'Inventory Takeoff'!B869</f>
        <v>887</v>
      </c>
      <c r="B865" s="290" t="e">
        <f>IF(SUMIFS(Ancillary_Qty,Ancillary_InventoryCode,A865,Ancillary_BoughtOut,"No")=0,"",SUMIFS(Ancillary_Qty,Ancillary_InventoryCode,A865,Ancillary_BoughtOut,"No"))</f>
        <v>#NAME?</v>
      </c>
      <c r="C865" s="295" t="str">
        <f>'Inventory Takeoff'!C869</f>
        <v>Ladd Shots</v>
      </c>
      <c r="D865" s="297" t="str">
        <f>'Inventory Takeoff'!D869</f>
        <v>Each</v>
      </c>
      <c r="E865" s="291">
        <f>'Inventory Takeoff'!G869</f>
        <v>0.35</v>
      </c>
    </row>
    <row r="866" spans="1:5" ht="15.5">
      <c r="A866" s="290">
        <f>'Inventory Takeoff'!B870</f>
        <v>888</v>
      </c>
      <c r="B866" s="290" t="e">
        <f>IF(SUMIFS(Ancillary_Length,Ancillary_InventoryCode,A866,Ancillary_BoughtOut,"No")=0,"",SUMIFS(Ancillary_Length,Ancillary_InventoryCode,A866,Ancillary_BoughtOut,"No"))</f>
        <v>#NAME?</v>
      </c>
      <c r="C866" s="295" t="str">
        <f>'Inventory Takeoff'!C870</f>
        <v>Not Used</v>
      </c>
      <c r="D866" s="297">
        <f>'Inventory Takeoff'!D870</f>
        <v>0</v>
      </c>
      <c r="E866" s="291">
        <f>'Inventory Takeoff'!G870</f>
        <v>0</v>
      </c>
    </row>
    <row r="867" spans="1:5" ht="15.5">
      <c r="A867" s="290">
        <f>'Inventory Takeoff'!B871</f>
        <v>889</v>
      </c>
      <c r="B867" s="290" t="e">
        <f>IF(SUMIFS(Ancillary_Length,Ancillary_InventoryCode,A867,Ancillary_BoughtOut,"No")=0,"",SUMIFS(Ancillary_Length,Ancillary_InventoryCode,A867,Ancillary_BoughtOut,"No"))</f>
        <v>#NAME?</v>
      </c>
      <c r="C867" s="295" t="str">
        <f>'Inventory Takeoff'!C871</f>
        <v>Not Used</v>
      </c>
      <c r="D867" s="297">
        <f>'Inventory Takeoff'!D871</f>
        <v>0</v>
      </c>
      <c r="E867" s="291">
        <f>'Inventory Takeoff'!G871</f>
        <v>0</v>
      </c>
    </row>
    <row r="868" spans="1:5" ht="15.5">
      <c r="A868" s="290">
        <f>'Inventory Takeoff'!B872</f>
        <v>890</v>
      </c>
      <c r="B868" s="290" t="e">
        <f>IF(SUMIFS(Ancillary_Length,Ancillary_InventoryCode,A868,Ancillary_BoughtOut,"No")=0,"",SUMIFS(Ancillary_Length,Ancillary_InventoryCode,A868,Ancillary_BoughtOut,"No"))</f>
        <v>#NAME?</v>
      </c>
      <c r="C868" s="295" t="str">
        <f>'Inventory Takeoff'!C872</f>
        <v>Not Used</v>
      </c>
      <c r="D868" s="297">
        <f>'Inventory Takeoff'!D872</f>
        <v>0</v>
      </c>
      <c r="E868" s="291">
        <f>'Inventory Takeoff'!G872</f>
        <v>0</v>
      </c>
    </row>
    <row r="869" spans="1:5" ht="15.5">
      <c r="A869" s="290">
        <f>'Inventory Takeoff'!B873</f>
        <v>891</v>
      </c>
      <c r="B869" s="290" t="e">
        <f>IF(SUMIFS(Ancillary_Length,Ancillary_InventoryCode,A869,Ancillary_BoughtOut,"No")=0,"",SUMIFS(Ancillary_Length,Ancillary_InventoryCode,A869,Ancillary_BoughtOut,"No"))</f>
        <v>#NAME?</v>
      </c>
      <c r="C869" s="295" t="str">
        <f>'Inventory Takeoff'!C873</f>
        <v>Not Used</v>
      </c>
      <c r="D869" s="297">
        <f>'Inventory Takeoff'!D873</f>
        <v>0</v>
      </c>
      <c r="E869" s="291">
        <f>'Inventory Takeoff'!G873</f>
        <v>0</v>
      </c>
    </row>
    <row r="870" spans="1:5" ht="15.5">
      <c r="A870" s="290">
        <f>'Inventory Takeoff'!B874</f>
        <v>892</v>
      </c>
      <c r="B870" s="290" t="e">
        <f>IF(SUMIFS(Ancillary_Length,Ancillary_InventoryCode,A870,Ancillary_BoughtOut,"No")=0,"",SUMIFS(Ancillary_Length,Ancillary_InventoryCode,A870,Ancillary_BoughtOut,"No"))</f>
        <v>#NAME?</v>
      </c>
      <c r="C870" s="295" t="str">
        <f>'Inventory Takeoff'!C874</f>
        <v>Not Used</v>
      </c>
      <c r="D870" s="297">
        <f>'Inventory Takeoff'!D874</f>
        <v>0</v>
      </c>
      <c r="E870" s="291">
        <f>'Inventory Takeoff'!G874</f>
        <v>0</v>
      </c>
    </row>
    <row r="871" spans="1:5" ht="15.5">
      <c r="A871" s="290">
        <f>'Inventory Takeoff'!B875</f>
        <v>893</v>
      </c>
      <c r="B871" s="290" t="e">
        <f>IF(SUMIFS(Ancillary_Length,Ancillary_InventoryCode,A871,Ancillary_BoughtOut,"No")=0,"",SUMIFS(Ancillary_Length,Ancillary_InventoryCode,A871,Ancillary_BoughtOut,"No"))</f>
        <v>#NAME?</v>
      </c>
      <c r="C871" s="295" t="str">
        <f>'Inventory Takeoff'!C875</f>
        <v>Not Used</v>
      </c>
      <c r="D871" s="297">
        <f>'Inventory Takeoff'!D875</f>
        <v>0</v>
      </c>
      <c r="E871" s="291">
        <f>'Inventory Takeoff'!G875</f>
        <v>0</v>
      </c>
    </row>
    <row r="872" spans="1:5" ht="15.5">
      <c r="A872" s="290">
        <f>'Inventory Takeoff'!B876</f>
        <v>894</v>
      </c>
      <c r="B872" s="290" t="e">
        <f>IF(SUMIFS(Ancillary_Length,Ancillary_InventoryCode,A872,Ancillary_BoughtOut,"No")=0,"",SUMIFS(Ancillary_Length,Ancillary_InventoryCode,A872,Ancillary_BoughtOut,"No"))</f>
        <v>#NAME?</v>
      </c>
      <c r="C872" s="295" t="str">
        <f>'Inventory Takeoff'!C876</f>
        <v>Not Used</v>
      </c>
      <c r="D872" s="297">
        <f>'Inventory Takeoff'!D876</f>
        <v>0</v>
      </c>
      <c r="E872" s="291">
        <f>'Inventory Takeoff'!G876</f>
        <v>0</v>
      </c>
    </row>
    <row r="873" spans="1:5" ht="15.5">
      <c r="A873" s="290">
        <f>'Inventory Takeoff'!B877</f>
        <v>895</v>
      </c>
      <c r="B873" s="290" t="e">
        <f>IF(SUMIFS(Ancillary_Length,Ancillary_InventoryCode,A873,Ancillary_BoughtOut,"No")=0,"",SUMIFS(Ancillary_Length,Ancillary_InventoryCode,A873,Ancillary_BoughtOut,"No"))</f>
        <v>#NAME?</v>
      </c>
      <c r="C873" s="295" t="str">
        <f>'Inventory Takeoff'!C877</f>
        <v>Not Used</v>
      </c>
      <c r="D873" s="297">
        <f>'Inventory Takeoff'!D877</f>
        <v>0</v>
      </c>
      <c r="E873" s="291">
        <f>'Inventory Takeoff'!G877</f>
        <v>0</v>
      </c>
    </row>
    <row r="874" spans="1:5" ht="15.5">
      <c r="A874" s="290">
        <f>'Inventory Takeoff'!B878</f>
        <v>896</v>
      </c>
      <c r="B874" s="290" t="e">
        <f>IF(SUMIFS(Ancillary_Length,Ancillary_InventoryCode,A874,Ancillary_BoughtOut,"No")=0,"",SUMIFS(Ancillary_Length,Ancillary_InventoryCode,A874,Ancillary_BoughtOut,"No"))</f>
        <v>#NAME?</v>
      </c>
      <c r="C874" s="295" t="str">
        <f>'Inventory Takeoff'!C878</f>
        <v>Not Used</v>
      </c>
      <c r="D874" s="297">
        <f>'Inventory Takeoff'!D878</f>
        <v>0</v>
      </c>
      <c r="E874" s="291">
        <f>'Inventory Takeoff'!G878</f>
        <v>0</v>
      </c>
    </row>
    <row r="875" spans="1:5" ht="15.5">
      <c r="A875" s="290">
        <f>'Inventory Takeoff'!B879</f>
        <v>897</v>
      </c>
      <c r="B875" s="290" t="e">
        <f>IF(SUMIFS(Ancillary_Length,Ancillary_InventoryCode,A875,Ancillary_BoughtOut,"No")=0,"",SUMIFS(Ancillary_Length,Ancillary_InventoryCode,A875,Ancillary_BoughtOut,"No"))</f>
        <v>#NAME?</v>
      </c>
      <c r="C875" s="295" t="str">
        <f>'Inventory Takeoff'!C879</f>
        <v>Not Used</v>
      </c>
      <c r="D875" s="297">
        <f>'Inventory Takeoff'!D879</f>
        <v>0</v>
      </c>
      <c r="E875" s="291">
        <f>'Inventory Takeoff'!G879</f>
        <v>0</v>
      </c>
    </row>
    <row r="876" spans="1:5" ht="15.5">
      <c r="A876" s="290">
        <f>'Inventory Takeoff'!B880</f>
        <v>898</v>
      </c>
      <c r="B876" s="290" t="e">
        <f>IF(SUMIFS(Ancillary_Qty,Ancillary_InventoryCode,A876,Ancillary_BoughtOut,"No")=0,"",SUMIFS(Ancillary_Qty,Ancillary_InventoryCode,A876,Ancillary_BoughtOut,"No"))</f>
        <v>#NAME?</v>
      </c>
      <c r="C876" s="295" t="str">
        <f>'Inventory Takeoff'!C880</f>
        <v>Sikaflex</v>
      </c>
      <c r="D876" s="297" t="str">
        <f>'Inventory Takeoff'!D880</f>
        <v>Each</v>
      </c>
      <c r="E876" s="291">
        <f>'Inventory Takeoff'!G880</f>
        <v>9.1</v>
      </c>
    </row>
    <row r="877" spans="1:5" ht="15.5">
      <c r="A877" s="290">
        <f>'Inventory Takeoff'!B881</f>
        <v>899</v>
      </c>
      <c r="B877" s="290" t="e">
        <f>IF(SUMIFS(Ancillary_Qty,Ancillary_InventoryCode,A877,Ancillary_BoughtOut,"No")=0,"",SUMIFS(Ancillary_Qty,Ancillary_InventoryCode,A877,Ancillary_BoughtOut,"No"))</f>
        <v>#NAME?</v>
      </c>
      <c r="C877" s="295" t="str">
        <f>'Inventory Takeoff'!C881</f>
        <v>Caddy Clip</v>
      </c>
      <c r="D877" s="297" t="str">
        <f>'Inventory Takeoff'!D881</f>
        <v>Each</v>
      </c>
      <c r="E877" s="291">
        <f>'Inventory Takeoff'!G881</f>
        <v>1.0899999999999999</v>
      </c>
    </row>
    <row r="878" spans="1:5" ht="15.5">
      <c r="A878" s="290">
        <f>'Inventory Takeoff'!B882</f>
        <v>900</v>
      </c>
      <c r="B878" s="290" t="e">
        <f>IF(SUMIFS(Ancillary_Length,Ancillary_InventoryCode,A878,Ancillary_BoughtOut,"No")=0,"",SUMIFS(Ancillary_Length,Ancillary_InventoryCode,A878,Ancillary_BoughtOut,"No"))</f>
        <v>#NAME?</v>
      </c>
      <c r="C878" s="295" t="str">
        <f>'Inventory Takeoff'!C882</f>
        <v>Not Used</v>
      </c>
      <c r="D878" s="297">
        <f>'Inventory Takeoff'!D882</f>
        <v>0</v>
      </c>
      <c r="E878" s="291">
        <f>'Inventory Takeoff'!G882</f>
        <v>0</v>
      </c>
    </row>
    <row r="879" spans="1:5" ht="15.5">
      <c r="A879" s="290">
        <f>'Inventory Takeoff'!B883</f>
        <v>901</v>
      </c>
      <c r="B879" s="290" t="e">
        <f>IF(SUMIFS(Ancillary_Qty,Ancillary_InventoryCode,A879,Ancillary_BoughtOut,"No")=0,"",SUMIFS(Ancillary_Qty,Ancillary_InventoryCode,A879,Ancillary_BoughtOut,"No"))</f>
        <v>#NAME?</v>
      </c>
      <c r="C879" s="295" t="str">
        <f>'Inventory Takeoff'!C883</f>
        <v>Not Used</v>
      </c>
      <c r="D879" s="297">
        <f>'Inventory Takeoff'!D883</f>
        <v>0</v>
      </c>
      <c r="E879" s="291">
        <f>'Inventory Takeoff'!G883</f>
        <v>0</v>
      </c>
    </row>
    <row r="880" spans="1:5" ht="15.5">
      <c r="A880" s="290">
        <f>'Inventory Takeoff'!B884</f>
        <v>902</v>
      </c>
      <c r="B880" s="290" t="e">
        <f>IF(SUMIFS(Ancillary_Qty,Ancillary_InventoryCode,A880,Ancillary_BoughtOut,"No")=0,"",SUMIFS(Ancillary_Qty,Ancillary_InventoryCode,A880,Ancillary_BoughtOut,"No"))</f>
        <v>#NAME?</v>
      </c>
      <c r="C880" s="295" t="str">
        <f>'Inventory Takeoff'!C884</f>
        <v>Not Used</v>
      </c>
      <c r="D880" s="297">
        <f>'Inventory Takeoff'!D884</f>
        <v>0</v>
      </c>
      <c r="E880" s="291">
        <f>'Inventory Takeoff'!G884</f>
        <v>0</v>
      </c>
    </row>
    <row r="881" spans="1:5" ht="15.5">
      <c r="A881" s="290">
        <f>'Inventory Takeoff'!B885</f>
        <v>903</v>
      </c>
      <c r="B881" s="290" t="e">
        <f>IF(SUMIFS(Ancillary_Qty,Ancillary_InventoryCode,A881,Ancillary_BoughtOut,"No")=0,"",SUMIFS(Ancillary_Qty,Ancillary_InventoryCode,A881,Ancillary_BoughtOut,"No"))</f>
        <v>#NAME?</v>
      </c>
      <c r="C881" s="295" t="str">
        <f>'Inventory Takeoff'!C885</f>
        <v>TDC Corners</v>
      </c>
      <c r="D881" s="297" t="str">
        <f>'Inventory Takeoff'!D885</f>
        <v>Each</v>
      </c>
      <c r="E881" s="291">
        <f>'Inventory Takeoff'!G885</f>
        <v>0.59</v>
      </c>
    </row>
    <row r="882" spans="1:5" ht="15.5">
      <c r="A882" s="290">
        <f>'Inventory Takeoff'!B886</f>
        <v>904</v>
      </c>
      <c r="B882" s="290" t="e">
        <f>IF(SUMIFS(Ancillary_Qty,Ancillary_InventoryCode,A882,Ancillary_BoughtOut,"No",Ancillary_Spool,"&lt;&gt;"&amp;"")=0,"",SUMIFS(Ancillary_Qty,Ancillary_InventoryCode,A882,Ancillary_BoughtOut,"No",Ancillary_Spool,"&lt;&gt;"&amp;""))</f>
        <v>#NAME?</v>
      </c>
      <c r="C882" s="295" t="str">
        <f>'Inventory Takeoff'!C886</f>
        <v>TDC Cleats</v>
      </c>
      <c r="D882" s="297" t="str">
        <f>'Inventory Takeoff'!D886</f>
        <v>Each</v>
      </c>
      <c r="E882" s="291">
        <f>'Inventory Takeoff'!G886</f>
        <v>0.53</v>
      </c>
    </row>
    <row r="883" spans="1:5" ht="15.5">
      <c r="A883" s="290">
        <f>'Inventory Takeoff'!B887</f>
        <v>905</v>
      </c>
      <c r="B883" s="290" t="e">
        <f>IF(SUMIFS(Ancillary_Qty,Ancillary_InventoryCode,A883,Ancillary_BoughtOut,"No")=0,"",SUMIFS(Ancillary_Qty,Ancillary_InventoryCode,A883,Ancillary_BoughtOut,"No"))</f>
        <v>#NAME?</v>
      </c>
      <c r="C883" s="295" t="str">
        <f>'Inventory Takeoff'!C887</f>
        <v>Not Used</v>
      </c>
      <c r="D883" s="297">
        <f>'Inventory Takeoff'!D887</f>
        <v>0</v>
      </c>
      <c r="E883" s="291">
        <f>'Inventory Takeoff'!G887</f>
        <v>0</v>
      </c>
    </row>
    <row r="884" spans="1:5" ht="15.5">
      <c r="A884" s="290">
        <f>'Inventory Takeoff'!B888</f>
        <v>906</v>
      </c>
      <c r="B884" s="290" t="e">
        <f>IF(SUMIFS(Ancillary_Qty,Ancillary_InventoryCode,A884,Ancillary_BoughtOut,"No")=0,"",SUMIFS(Ancillary_Qty,Ancillary_InventoryCode,A884,Ancillary_BoughtOut,"No"))</f>
        <v>#NAME?</v>
      </c>
      <c r="C884" s="295" t="str">
        <f>'Inventory Takeoff'!C888</f>
        <v>Not Used</v>
      </c>
      <c r="D884" s="297">
        <f>'Inventory Takeoff'!D888</f>
        <v>0</v>
      </c>
      <c r="E884" s="291">
        <f>'Inventory Takeoff'!G888</f>
        <v>0</v>
      </c>
    </row>
    <row r="885" spans="1:5" ht="15.5">
      <c r="A885" s="290">
        <f>'Inventory Takeoff'!B889</f>
        <v>907</v>
      </c>
      <c r="B885" s="290" t="e">
        <f>IF(SUMIFS(Ancillary_Qty,Ancillary_InventoryCode,A885,Ancillary_BoughtOut,"No")=0,"",SUMIFS(Ancillary_Qty,Ancillary_InventoryCode,A885,Ancillary_BoughtOut,"No"))</f>
        <v>#NAME?</v>
      </c>
      <c r="C885" s="295" t="str">
        <f>'Inventory Takeoff'!C889</f>
        <v>Not Used</v>
      </c>
      <c r="D885" s="297">
        <f>'Inventory Takeoff'!D889</f>
        <v>0</v>
      </c>
      <c r="E885" s="291">
        <f>'Inventory Takeoff'!G889</f>
        <v>0</v>
      </c>
    </row>
    <row r="886" spans="1:5" ht="15.5">
      <c r="A886" s="290">
        <f>'Inventory Takeoff'!B890</f>
        <v>908</v>
      </c>
      <c r="B886" s="290" t="e">
        <f>IF(SUMIFS(Ancillary_Qty,Ancillary_InventoryCode,A886,Ancillary_BoughtOut,"No")=0,"",SUMIFS(Ancillary_Qty,Ancillary_InventoryCode,A886,Ancillary_BoughtOut,"No"))</f>
        <v>#NAME?</v>
      </c>
      <c r="C886" s="295" t="str">
        <f>'Inventory Takeoff'!C890</f>
        <v>Not Used</v>
      </c>
      <c r="D886" s="297">
        <f>'Inventory Takeoff'!D890</f>
        <v>0</v>
      </c>
      <c r="E886" s="291">
        <f>'Inventory Takeoff'!G890</f>
        <v>0</v>
      </c>
    </row>
    <row r="887" spans="1:5" ht="15.5">
      <c r="A887" s="290">
        <f>'Inventory Takeoff'!B891</f>
        <v>909</v>
      </c>
      <c r="B887" s="290" t="e">
        <f>IF(SUMIFS(Ancillary_Qty,Ancillary_InventoryCode,A887,Ancillary_BoughtOut,"No")=0,"",SUMIFS(Ancillary_Qty,Ancillary_InventoryCode,A887,Ancillary_BoughtOut,"No"))</f>
        <v>#NAME?</v>
      </c>
      <c r="C887" s="295" t="str">
        <f>'Inventory Takeoff'!C891</f>
        <v>Not Used</v>
      </c>
      <c r="D887" s="297">
        <f>'Inventory Takeoff'!D891</f>
        <v>0</v>
      </c>
      <c r="E887" s="291">
        <f>'Inventory Takeoff'!G891</f>
        <v>0</v>
      </c>
    </row>
    <row r="888" spans="1:5" ht="15.5">
      <c r="A888" s="290">
        <f>'Inventory Takeoff'!B892</f>
        <v>910</v>
      </c>
      <c r="B888" s="290" t="e">
        <f>IF(SUMIFS(Ancillary_Qty,Ancillary_InventoryCode,A888,Ancillary_BoughtOut,"No")=0,"",SUMIFS(Ancillary_Qty,Ancillary_InventoryCode,A888,Ancillary_BoughtOut,"No"))</f>
        <v>#NAME?</v>
      </c>
      <c r="C888" s="295" t="str">
        <f>'Inventory Takeoff'!C892</f>
        <v>Not Used</v>
      </c>
      <c r="D888" s="297">
        <f>'Inventory Takeoff'!D892</f>
        <v>0</v>
      </c>
      <c r="E888" s="291">
        <f>'Inventory Takeoff'!G892</f>
        <v>0</v>
      </c>
    </row>
    <row r="889" spans="1:5" ht="15.5">
      <c r="A889" s="290">
        <f>'Inventory Takeoff'!B893</f>
        <v>911</v>
      </c>
      <c r="B889" s="290" t="e">
        <f>IF(SUMIFS(Ancillary_Qty,Ancillary_InventoryCode,A889,Ancillary_BoughtOut,"No")=0,"",SUMIFS(Ancillary_Qty,Ancillary_InventoryCode,A889,Ancillary_BoughtOut,"No"))</f>
        <v>#NAME?</v>
      </c>
      <c r="C889" s="295" t="str">
        <f>'Inventory Takeoff'!C893</f>
        <v>Nail-ins</v>
      </c>
      <c r="D889" s="297" t="str">
        <f>'Inventory Takeoff'!D893</f>
        <v>Each</v>
      </c>
      <c r="E889" s="291">
        <f>'Inventory Takeoff'!G893</f>
        <v>0.54999999999999993</v>
      </c>
    </row>
    <row r="890" spans="1:5" ht="15.5">
      <c r="A890" s="290">
        <f>'Inventory Takeoff'!B894</f>
        <v>912</v>
      </c>
      <c r="B890" s="290" t="e">
        <f>IF(SUMIFS(Ancillary_Qty,Ancillary_InventoryCode,A890,Ancillary_BoughtOut,"No")=0,"",SUMIFS(Ancillary_Qty,Ancillary_InventoryCode,A890,Ancillary_BoughtOut,"No"))</f>
        <v>#NAME?</v>
      </c>
      <c r="C890" s="295" t="str">
        <f>'Inventory Takeoff'!C894</f>
        <v>Caulking - "739" Clean Room</v>
      </c>
      <c r="D890" s="297" t="str">
        <f>'Inventory Takeoff'!D894</f>
        <v>Each</v>
      </c>
      <c r="E890" s="291">
        <f>'Inventory Takeoff'!G894</f>
        <v>27.979999999999997</v>
      </c>
    </row>
    <row r="891" spans="1:5" ht="15.5">
      <c r="A891" s="290">
        <f>'Inventory Takeoff'!B895</f>
        <v>913</v>
      </c>
      <c r="B891" s="290" t="e">
        <f>IF(SUMIFS(Ancillary_Length,Ancillary_InventoryCode,A891,Ancillary_BoughtOut,"No")=0,"",SUMIFS(Ancillary_Length,Ancillary_InventoryCode,A891,Ancillary_BoughtOut,"No"))</f>
        <v>#NAME?</v>
      </c>
      <c r="C891" s="295" t="str">
        <f>'Inventory Takeoff'!C895</f>
        <v>Danger/Caution Tape</v>
      </c>
      <c r="D891" s="297" t="str">
        <f>'Inventory Takeoff'!D895</f>
        <v>Roll</v>
      </c>
      <c r="E891" s="291">
        <f>'Inventory Takeoff'!G895</f>
        <v>9.17</v>
      </c>
    </row>
    <row r="892" spans="1:5" ht="15.5">
      <c r="A892" s="290">
        <f>'Inventory Takeoff'!B896</f>
        <v>914</v>
      </c>
      <c r="B892" s="290" t="e">
        <f>IF(SUMIFS(Ancillary_Length,Ancillary_InventoryCode,A892,Ancillary_BoughtOut,"No")=0,"",SUMIFS(Ancillary_Length,Ancillary_InventoryCode,A892,Ancillary_BoughtOut,"No"))</f>
        <v>#NAME?</v>
      </c>
      <c r="C892" s="295" t="str">
        <f>'Inventory Takeoff'!C896</f>
        <v>Dust Masks</v>
      </c>
      <c r="D892" s="297" t="str">
        <f>'Inventory Takeoff'!D896</f>
        <v>Box</v>
      </c>
      <c r="E892" s="291">
        <f>'Inventory Takeoff'!G896</f>
        <v>31.4</v>
      </c>
    </row>
    <row r="893" spans="1:5" ht="15.5">
      <c r="A893" s="290">
        <f>'Inventory Takeoff'!B897</f>
        <v>915</v>
      </c>
      <c r="B893" s="290" t="e">
        <f>IF(SUMIFS(Ancillary_Length,Ancillary_InventoryCode,A893,Ancillary_BoughtOut,"No")=0,"",SUMIFS(Ancillary_Length,Ancillary_InventoryCode,A893,Ancillary_BoughtOut,"No"))</f>
        <v>#NAME?</v>
      </c>
      <c r="C893" s="295" t="str">
        <f>'Inventory Takeoff'!C897</f>
        <v>Filter Media</v>
      </c>
      <c r="D893" s="297" t="str">
        <f>'Inventory Takeoff'!D897</f>
        <v>Box</v>
      </c>
      <c r="E893" s="291">
        <f>'Inventory Takeoff'!G897</f>
        <v>29.46</v>
      </c>
    </row>
    <row r="894" spans="1:5" ht="15.5">
      <c r="A894" s="290">
        <f>'Inventory Takeoff'!B898</f>
        <v>916</v>
      </c>
      <c r="B894" s="290" t="e">
        <f>IF(SUMIFS(Ancillary_Qty,Ancillary_InventoryCode,A894,Ancillary_BoughtOut,"No")=0,"",SUMIFS(Ancillary_Qty,Ancillary_InventoryCode,A894,Ancillary_BoughtOut,"No"))</f>
        <v>#NAME?</v>
      </c>
      <c r="C894" s="295" t="str">
        <f>'Inventory Takeoff'!C898</f>
        <v>Hardcast Sticky Tape - Roll</v>
      </c>
      <c r="D894" s="297" t="str">
        <f>'Inventory Takeoff'!D898</f>
        <v>Each</v>
      </c>
      <c r="E894" s="291">
        <f>'Inventory Takeoff'!G898</f>
        <v>30.78</v>
      </c>
    </row>
    <row r="895" spans="1:5" ht="15.5">
      <c r="A895" s="290">
        <f>'Inventory Takeoff'!B899</f>
        <v>917</v>
      </c>
      <c r="B895" s="290" t="e">
        <f>IF(SUMIFS(Ancillary_Length,Ancillary_InventoryCode,A895,Ancillary_BoughtOut,"No")=0,"",SUMIFS(Ancillary_Length,Ancillary_InventoryCode,A895,Ancillary_BoughtOut,"No"))</f>
        <v>#NAME?</v>
      </c>
      <c r="C895" s="295" t="str">
        <f>'Inventory Takeoff'!C899</f>
        <v>Ladd/Cobra Shot</v>
      </c>
      <c r="D895" s="297" t="str">
        <f>'Inventory Takeoff'!D899</f>
        <v>Box</v>
      </c>
      <c r="E895" s="291">
        <f>'Inventory Takeoff'!G899</f>
        <v>13.07</v>
      </c>
    </row>
    <row r="896" spans="1:5" ht="15.5">
      <c r="A896" s="290">
        <f>'Inventory Takeoff'!B900</f>
        <v>918</v>
      </c>
      <c r="B896" s="290" t="e">
        <f>IF(SUMIFS(Ancillary_Length,Ancillary_InventoryCode,A896,Ancillary_BoughtOut,"No")=0,"",SUMIFS(Ancillary_Length,Ancillary_InventoryCode,A896,Ancillary_BoughtOut,"No"))</f>
        <v>#NAME?</v>
      </c>
      <c r="C896" s="295" t="str">
        <f>'Inventory Takeoff'!C900</f>
        <v>Ladd/Cobra Pins (Box 100)</v>
      </c>
      <c r="D896" s="297" t="str">
        <f>'Inventory Takeoff'!D900</f>
        <v>Box</v>
      </c>
      <c r="E896" s="291">
        <f>'Inventory Takeoff'!G900</f>
        <v>4.8</v>
      </c>
    </row>
    <row r="897" spans="1:5" ht="15.5">
      <c r="A897" s="290">
        <f>'Inventory Takeoff'!B901</f>
        <v>919</v>
      </c>
      <c r="B897" s="290" t="e">
        <f t="shared" ref="B897:B909" si="32">IF(SUMIFS(Ancillary_Length,Ancillary_InventoryCode,A897,Ancillary_BoughtOut,"No")=0,"",SUMIFS(Ancillary_Length,Ancillary_InventoryCode,A897,Ancillary_BoughtOut,"No"))</f>
        <v>#NAME?</v>
      </c>
      <c r="C897" s="295" t="str">
        <f>'Inventory Takeoff'!C901</f>
        <v>Latex Gloves (100/Box)</v>
      </c>
      <c r="D897" s="297" t="str">
        <f>'Inventory Takeoff'!D901</f>
        <v>Box</v>
      </c>
      <c r="E897" s="291">
        <f>'Inventory Takeoff'!G901</f>
        <v>9.73</v>
      </c>
    </row>
    <row r="898" spans="1:5" ht="15.5">
      <c r="A898" s="290">
        <f>'Inventory Takeoff'!B902</f>
        <v>920</v>
      </c>
      <c r="B898" s="290" t="e">
        <f t="shared" si="32"/>
        <v>#NAME?</v>
      </c>
      <c r="C898" s="295" t="str">
        <f>'Inventory Takeoff'!C902</f>
        <v>Rags</v>
      </c>
      <c r="D898" s="297" t="str">
        <f>'Inventory Takeoff'!D902</f>
        <v>Lb</v>
      </c>
      <c r="E898" s="291">
        <f>'Inventory Takeoff'!G902</f>
        <v>2.1</v>
      </c>
    </row>
    <row r="899" spans="1:5" ht="15.5">
      <c r="A899" s="290">
        <f>'Inventory Takeoff'!B903</f>
        <v>921</v>
      </c>
      <c r="B899" s="290" t="e">
        <f>IF(SUMIFS(Ancillary_Qty,Ancillary_InventoryCode,A899,Ancillary_BoughtOut,"No")=0,"",SUMIFS(Ancillary_Qty,Ancillary_InventoryCode,A899,Ancillary_BoughtOut,"No"))</f>
        <v>#NAME?</v>
      </c>
      <c r="C899" s="295" t="str">
        <f>'Inventory Takeoff'!C903</f>
        <v>Screw Chuck 3/8</v>
      </c>
      <c r="D899" s="297" t="str">
        <f>'Inventory Takeoff'!D903</f>
        <v>Each</v>
      </c>
      <c r="E899" s="291">
        <f>'Inventory Takeoff'!G903</f>
        <v>6.24</v>
      </c>
    </row>
    <row r="900" spans="1:5" ht="15.5">
      <c r="A900" s="290">
        <f>'Inventory Takeoff'!B904</f>
        <v>922</v>
      </c>
      <c r="B900" s="290" t="e">
        <f>IF(SUMIFS(Ancillary_Qty,Ancillary_InventoryCode,A900,Ancillary_BoughtOut,"No")=0,"",SUMIFS(Ancillary_Qty,Ancillary_InventoryCode,A900,Ancillary_BoughtOut,"No"))</f>
        <v>#NAME?</v>
      </c>
      <c r="C900" s="295" t="str">
        <f>'Inventory Takeoff'!C904</f>
        <v>Screw Chuck 7/16</v>
      </c>
      <c r="D900" s="297" t="str">
        <f>'Inventory Takeoff'!D904</f>
        <v>Each</v>
      </c>
      <c r="E900" s="291">
        <f>'Inventory Takeoff'!G904</f>
        <v>10.34</v>
      </c>
    </row>
    <row r="901" spans="1:5" ht="15.5">
      <c r="A901" s="290">
        <f>'Inventory Takeoff'!B905</f>
        <v>923</v>
      </c>
      <c r="B901" s="290" t="e">
        <f t="shared" si="32"/>
        <v>#NAME?</v>
      </c>
      <c r="C901" s="295" t="str">
        <f>'Inventory Takeoff'!C905</f>
        <v>Scru Seal (hose clamp) (50' Box)</v>
      </c>
      <c r="D901" s="297" t="str">
        <f>'Inventory Takeoff'!D905</f>
        <v>Box</v>
      </c>
      <c r="E901" s="291">
        <f>'Inventory Takeoff'!G905</f>
        <v>64.95</v>
      </c>
    </row>
    <row r="902" spans="1:5" ht="15.5">
      <c r="A902" s="290">
        <f>'Inventory Takeoff'!B906</f>
        <v>924</v>
      </c>
      <c r="B902" s="290" t="e">
        <f>IF(SUMIFS(Ancillary_Qty,Ancillary_InventoryCode,A902,Ancillary_BoughtOut,"No")=0,"",SUMIFS(Ancillary_Qty,Ancillary_InventoryCode,A902,Ancillary_BoughtOut,"No"))</f>
        <v>#NAME?</v>
      </c>
      <c r="C902" s="295" t="str">
        <f>'Inventory Takeoff'!C906</f>
        <v>T-Bar Return</v>
      </c>
      <c r="D902" s="297" t="str">
        <f>'Inventory Takeoff'!D906</f>
        <v>Each</v>
      </c>
      <c r="E902" s="291">
        <f>'Inventory Takeoff'!G906</f>
        <v>28.75</v>
      </c>
    </row>
    <row r="903" spans="1:5" ht="15.5">
      <c r="A903" s="290">
        <f>'Inventory Takeoff'!B907</f>
        <v>925</v>
      </c>
      <c r="B903" s="290" t="e">
        <f>IF(SUMIFS(Ancillary_Qty,Ancillary_InventoryCode,A903,Ancillary_BoughtOut,"No")=0,"",SUMIFS(Ancillary_Qty,Ancillary_InventoryCode,A903,Ancillary_BoughtOut,"No"))</f>
        <v>#NAME?</v>
      </c>
      <c r="C903" s="295" t="str">
        <f>'Inventory Takeoff'!C907</f>
        <v>T-Bar Supply</v>
      </c>
      <c r="D903" s="297" t="str">
        <f>'Inventory Takeoff'!D907</f>
        <v>Each</v>
      </c>
      <c r="E903" s="291">
        <f>'Inventory Takeoff'!G907</f>
        <v>28.75</v>
      </c>
    </row>
    <row r="904" spans="1:5" ht="15.5">
      <c r="A904" s="290">
        <f>'Inventory Takeoff'!B908</f>
        <v>926</v>
      </c>
      <c r="B904" s="290" t="e">
        <f>IF(SUMIFS(Ancillary_Qty,Ancillary_InventoryCode,A904,Ancillary_BoughtOut,"No")=0,"",SUMIFS(Ancillary_Qty,Ancillary_InventoryCode,A904,Ancillary_BoughtOut,"No"))</f>
        <v>#NAME?</v>
      </c>
      <c r="C904" s="295" t="str">
        <f>'Inventory Takeoff'!C908</f>
        <v>Unistrut Angle</v>
      </c>
      <c r="D904" s="297" t="str">
        <f>'Inventory Takeoff'!D908</f>
        <v>Each</v>
      </c>
      <c r="E904" s="291">
        <f>'Inventory Takeoff'!G908</f>
        <v>1.41</v>
      </c>
    </row>
    <row r="905" spans="1:5" ht="15.5">
      <c r="A905" s="290">
        <f>'Inventory Takeoff'!B909</f>
        <v>927</v>
      </c>
      <c r="B905" s="290" t="e">
        <f t="shared" si="32"/>
        <v>#NAME?</v>
      </c>
      <c r="C905" s="295" t="str">
        <f>'Inventory Takeoff'!C909</f>
        <v>Unistrut 1 5/8"</v>
      </c>
      <c r="D905" s="297" t="str">
        <f>'Inventory Takeoff'!D909</f>
        <v>Foot</v>
      </c>
      <c r="E905" s="291">
        <f>'Inventory Takeoff'!G909</f>
        <v>3.79</v>
      </c>
    </row>
    <row r="906" spans="1:5" ht="15.5">
      <c r="A906" s="290">
        <f>'Inventory Takeoff'!B910</f>
        <v>928</v>
      </c>
      <c r="B906" s="290" t="e">
        <f t="shared" si="32"/>
        <v>#NAME?</v>
      </c>
      <c r="C906" s="295" t="str">
        <f>'Inventory Takeoff'!C910</f>
        <v>Unistrut Double</v>
      </c>
      <c r="D906" s="297" t="str">
        <f>'Inventory Takeoff'!D910</f>
        <v>Foot</v>
      </c>
      <c r="E906" s="291">
        <f>'Inventory Takeoff'!G910</f>
        <v>17.89</v>
      </c>
    </row>
    <row r="907" spans="1:5" ht="15.5">
      <c r="A907" s="290">
        <f>'Inventory Takeoff'!B911</f>
        <v>929</v>
      </c>
      <c r="B907" s="290" t="e">
        <f>IF(SUMIFS(Ancillary_Qty,Ancillary_InventoryCode,A907,Ancillary_BoughtOut,"No")=0,"",SUMIFS(Ancillary_Qty,Ancillary_InventoryCode,A907,Ancillary_BoughtOut,"No"))</f>
        <v>#NAME?</v>
      </c>
      <c r="C907" s="295" t="str">
        <f>'Inventory Takeoff'!C911</f>
        <v>Stud Anchors 3/8"</v>
      </c>
      <c r="D907" s="297" t="str">
        <f>'Inventory Takeoff'!D911</f>
        <v>Each</v>
      </c>
      <c r="E907" s="291">
        <f>'Inventory Takeoff'!G911</f>
        <v>1.06</v>
      </c>
    </row>
    <row r="908" spans="1:5" ht="15.5">
      <c r="A908" s="290">
        <f>'Inventory Takeoff'!B912</f>
        <v>930</v>
      </c>
      <c r="B908" s="290" t="e">
        <f>IF(SUMIFS(Ancillary_Qty,Ancillary_InventoryCode,A908,Ancillary_BoughtOut,"No")=0,"",SUMIFS(Ancillary_Qty,Ancillary_InventoryCode,A908,Ancillary_BoughtOut,"No"))</f>
        <v>#NAME?</v>
      </c>
      <c r="C908" s="295" t="str">
        <f>'Inventory Takeoff'!C912</f>
        <v>Stud Anchors 1/2"</v>
      </c>
      <c r="D908" s="297" t="str">
        <f>'Inventory Takeoff'!D912</f>
        <v>Each</v>
      </c>
      <c r="E908" s="291">
        <f>'Inventory Takeoff'!G912</f>
        <v>1.72</v>
      </c>
    </row>
    <row r="909" spans="1:5" ht="15.5">
      <c r="A909" s="290">
        <f>'Inventory Takeoff'!B913</f>
        <v>931</v>
      </c>
      <c r="B909" s="290" t="e">
        <f t="shared" si="32"/>
        <v>#NAME?</v>
      </c>
      <c r="C909" s="295" t="str">
        <f>'Inventory Takeoff'!C913</f>
        <v>Wood 2 x 4 - 4 x 4</v>
      </c>
      <c r="D909" s="297" t="str">
        <f>'Inventory Takeoff'!D913</f>
        <v>Foot</v>
      </c>
      <c r="E909" s="291">
        <f>'Inventory Takeoff'!G913</f>
        <v>1.1099999999999999</v>
      </c>
    </row>
    <row r="910" spans="1:5" ht="15.5">
      <c r="A910" s="290">
        <f>'Inventory Takeoff'!B914</f>
        <v>932</v>
      </c>
      <c r="B910" s="290" t="e">
        <f t="shared" ref="B910:B963" si="33">IF(SUMIFS(Ancillary_Qty,Ancillary_InventoryCode,A910,Ancillary_BoughtOut,"No")=0,"",SUMIFS(Ancillary_Qty,Ancillary_InventoryCode,A910,Ancillary_BoughtOut,"No"))</f>
        <v>#NAME?</v>
      </c>
      <c r="C910" s="295" t="str">
        <f>'Inventory Takeoff'!C914</f>
        <v>Mop Disc - 4" - 60</v>
      </c>
      <c r="D910" s="297" t="str">
        <f>'Inventory Takeoff'!D914</f>
        <v>Each</v>
      </c>
      <c r="E910" s="291">
        <f>'Inventory Takeoff'!G914</f>
        <v>14.280000000000001</v>
      </c>
    </row>
    <row r="911" spans="1:5" ht="15.5">
      <c r="A911" s="290">
        <f>'Inventory Takeoff'!B915</f>
        <v>933</v>
      </c>
      <c r="B911" s="290" t="e">
        <f t="shared" si="33"/>
        <v>#NAME?</v>
      </c>
      <c r="C911" s="295" t="str">
        <f>'Inventory Takeoff'!C915</f>
        <v>Not Used</v>
      </c>
      <c r="D911" s="297">
        <f>'Inventory Takeoff'!D915</f>
        <v>0</v>
      </c>
      <c r="E911" s="291">
        <f>'Inventory Takeoff'!G915</f>
        <v>0</v>
      </c>
    </row>
    <row r="912" spans="1:5" ht="15.5">
      <c r="A912" s="290">
        <f>'Inventory Takeoff'!B916</f>
        <v>934</v>
      </c>
      <c r="B912" s="290" t="e">
        <f t="shared" si="33"/>
        <v>#NAME?</v>
      </c>
      <c r="C912" s="295" t="str">
        <f>'Inventory Takeoff'!C916</f>
        <v>Foil Tape</v>
      </c>
      <c r="D912" s="297" t="str">
        <f>'Inventory Takeoff'!D916</f>
        <v>Each</v>
      </c>
      <c r="E912" s="291">
        <f>'Inventory Takeoff'!G916</f>
        <v>28.2</v>
      </c>
    </row>
    <row r="913" spans="1:5" ht="15.5">
      <c r="A913" s="290">
        <f>'Inventory Takeoff'!B917</f>
        <v>935</v>
      </c>
      <c r="B913" s="290" t="e">
        <f t="shared" si="33"/>
        <v>#NAME?</v>
      </c>
      <c r="C913" s="295" t="str">
        <f>'Inventory Takeoff'!C917</f>
        <v>2" round SS Dbl Threaded pipe 6"</v>
      </c>
      <c r="D913" s="297" t="str">
        <f>'Inventory Takeoff'!D917</f>
        <v>Each</v>
      </c>
      <c r="E913" s="291">
        <f>'Inventory Takeoff'!G917</f>
        <v>23</v>
      </c>
    </row>
    <row r="914" spans="1:5" ht="15.5">
      <c r="A914" s="290">
        <f>'Inventory Takeoff'!B918</f>
        <v>936</v>
      </c>
      <c r="B914" s="290" t="e">
        <f t="shared" si="33"/>
        <v>#NAME?</v>
      </c>
      <c r="C914" s="295" t="str">
        <f>'Inventory Takeoff'!C918</f>
        <v>3/8" x 3/8" SS Tube End Reducer</v>
      </c>
      <c r="D914" s="297" t="str">
        <f>'Inventory Takeoff'!D918</f>
        <v>Each</v>
      </c>
      <c r="E914" s="291">
        <f>'Inventory Takeoff'!G918</f>
        <v>10.69</v>
      </c>
    </row>
    <row r="915" spans="1:5" ht="15.5">
      <c r="A915" s="290">
        <f>'Inventory Takeoff'!B919</f>
        <v>937</v>
      </c>
      <c r="B915" s="290" t="e">
        <f t="shared" si="33"/>
        <v>#NAME?</v>
      </c>
      <c r="C915" s="295" t="str">
        <f>'Inventory Takeoff'!C919</f>
        <v>3/8" SS Comp end fitting</v>
      </c>
      <c r="D915" s="297" t="str">
        <f>'Inventory Takeoff'!D919</f>
        <v>Each</v>
      </c>
      <c r="E915" s="291">
        <f>'Inventory Takeoff'!G919</f>
        <v>17.25</v>
      </c>
    </row>
    <row r="916" spans="1:5" ht="15.5">
      <c r="A916" s="290">
        <f>'Inventory Takeoff'!B920</f>
        <v>938</v>
      </c>
      <c r="B916" s="290" t="e">
        <f t="shared" si="33"/>
        <v>#NAME?</v>
      </c>
      <c r="C916" s="295" t="str">
        <f>'Inventory Takeoff'!C920</f>
        <v>3/4" SS Comp caps</v>
      </c>
      <c r="D916" s="297" t="str">
        <f>'Inventory Takeoff'!D920</f>
        <v>Each</v>
      </c>
      <c r="E916" s="291">
        <f>'Inventory Takeoff'!G920</f>
        <v>12.129999999999999</v>
      </c>
    </row>
    <row r="917" spans="1:5" ht="15.5">
      <c r="A917" s="290">
        <f>'Inventory Takeoff'!B921</f>
        <v>939</v>
      </c>
      <c r="B917" s="290" t="e">
        <f t="shared" si="33"/>
        <v>#NAME?</v>
      </c>
      <c r="C917" s="295" t="str">
        <f>'Inventory Takeoff'!C921</f>
        <v>3/4" x 3/4" SS Comp fitting</v>
      </c>
      <c r="D917" s="297" t="str">
        <f>'Inventory Takeoff'!D921</f>
        <v>Each</v>
      </c>
      <c r="E917" s="291">
        <f>'Inventory Takeoff'!G921</f>
        <v>25.479999999999997</v>
      </c>
    </row>
    <row r="918" spans="1:5" ht="15.5">
      <c r="A918" s="290">
        <f>'Inventory Takeoff'!B922</f>
        <v>940</v>
      </c>
      <c r="B918" s="290" t="e">
        <f t="shared" si="33"/>
        <v>#NAME?</v>
      </c>
      <c r="C918" s="295" t="str">
        <f>'Inventory Takeoff'!C922</f>
        <v>4" x 2.5" Conc Reducer</v>
      </c>
      <c r="D918" s="297" t="str">
        <f>'Inventory Takeoff'!D922</f>
        <v>Each</v>
      </c>
      <c r="E918" s="291">
        <f>'Inventory Takeoff'!G922</f>
        <v>39.449999999999996</v>
      </c>
    </row>
    <row r="919" spans="1:5" ht="15.5">
      <c r="A919" s="290">
        <f>'Inventory Takeoff'!B923</f>
        <v>941</v>
      </c>
      <c r="B919" s="290" t="e">
        <f t="shared" si="33"/>
        <v>#NAME?</v>
      </c>
      <c r="C919" s="295" t="str">
        <f>'Inventory Takeoff'!C923</f>
        <v>4" Round EPDM Ring</v>
      </c>
      <c r="D919" s="297" t="str">
        <f>'Inventory Takeoff'!D923</f>
        <v>Each</v>
      </c>
      <c r="E919" s="291">
        <f>'Inventory Takeoff'!G923</f>
        <v>1.47</v>
      </c>
    </row>
    <row r="920" spans="1:5" ht="15.5">
      <c r="A920" s="290">
        <f>'Inventory Takeoff'!B924</f>
        <v>942</v>
      </c>
      <c r="B920" s="290" t="e">
        <f t="shared" si="33"/>
        <v>#NAME?</v>
      </c>
      <c r="C920" s="295" t="str">
        <f>'Inventory Takeoff'!C924</f>
        <v>6" Round EPDM Ring</v>
      </c>
      <c r="D920" s="297" t="str">
        <f>'Inventory Takeoff'!D924</f>
        <v>Each</v>
      </c>
      <c r="E920" s="291">
        <f>'Inventory Takeoff'!G924</f>
        <v>1.91</v>
      </c>
    </row>
    <row r="921" spans="1:5" ht="15.5">
      <c r="A921" s="290">
        <f>'Inventory Takeoff'!B925</f>
        <v>943</v>
      </c>
      <c r="B921" s="290" t="e">
        <f t="shared" si="33"/>
        <v>#NAME?</v>
      </c>
      <c r="C921" s="295" t="str">
        <f>'Inventory Takeoff'!C925</f>
        <v>8" Round EPDM Ring</v>
      </c>
      <c r="D921" s="297" t="str">
        <f>'Inventory Takeoff'!D925</f>
        <v>Each</v>
      </c>
      <c r="E921" s="291">
        <f>'Inventory Takeoff'!G925</f>
        <v>3.58</v>
      </c>
    </row>
    <row r="922" spans="1:5" ht="15.5">
      <c r="A922" s="290">
        <f>'Inventory Takeoff'!B926</f>
        <v>944</v>
      </c>
      <c r="B922" s="290" t="e">
        <f t="shared" si="33"/>
        <v>#NAME?</v>
      </c>
      <c r="C922" s="295" t="str">
        <f>'Inventory Takeoff'!C926</f>
        <v>10" Round EPDM Ring</v>
      </c>
      <c r="D922" s="297" t="str">
        <f>'Inventory Takeoff'!D926</f>
        <v>Each</v>
      </c>
      <c r="E922" s="291">
        <f>'Inventory Takeoff'!G926</f>
        <v>4.72</v>
      </c>
    </row>
    <row r="923" spans="1:5" ht="15.5">
      <c r="A923" s="290">
        <f>'Inventory Takeoff'!B927</f>
        <v>945</v>
      </c>
      <c r="B923" s="290" t="e">
        <f t="shared" si="33"/>
        <v>#NAME?</v>
      </c>
      <c r="C923" s="295" t="str">
        <f>'Inventory Takeoff'!C927</f>
        <v>12" Round EPDM Ring</v>
      </c>
      <c r="D923" s="297" t="str">
        <f>'Inventory Takeoff'!D927</f>
        <v>Each</v>
      </c>
      <c r="E923" s="291">
        <f>'Inventory Takeoff'!G927</f>
        <v>6.71</v>
      </c>
    </row>
    <row r="924" spans="1:5" ht="15.5">
      <c r="A924" s="290">
        <f>'Inventory Takeoff'!B928</f>
        <v>946</v>
      </c>
      <c r="B924" s="290" t="e">
        <f t="shared" si="33"/>
        <v>#NAME?</v>
      </c>
      <c r="C924" s="295" t="str">
        <f>'Inventory Takeoff'!C928</f>
        <v>14" Round EPDM Ring</v>
      </c>
      <c r="D924" s="297" t="str">
        <f>'Inventory Takeoff'!D928</f>
        <v>Each</v>
      </c>
      <c r="E924" s="291">
        <f>'Inventory Takeoff'!G928</f>
        <v>7.57</v>
      </c>
    </row>
    <row r="925" spans="1:5" ht="15.5">
      <c r="A925" s="290">
        <f>'Inventory Takeoff'!B929</f>
        <v>947</v>
      </c>
      <c r="B925" s="290" t="e">
        <f>IF(SUMIFS(Ancillary_Qty,Ancillary_InventoryCode,A925,Ancillary_BoughtOut,"No")=0,"",SUMIFS(Ancillary_Qty,Ancillary_InventoryCode,A925,Ancillary_BoughtOut,"No"))</f>
        <v>#NAME?</v>
      </c>
      <c r="C925" s="295" t="str">
        <f>'Inventory Takeoff'!C929</f>
        <v>3/8" x.065x6" SS tubing</v>
      </c>
      <c r="D925" s="297" t="str">
        <f>'Inventory Takeoff'!D929</f>
        <v>Each</v>
      </c>
      <c r="E925" s="291">
        <f>'Inventory Takeoff'!G929</f>
        <v>10.71</v>
      </c>
    </row>
    <row r="926" spans="1:5" ht="15.5">
      <c r="A926" s="290">
        <f>'Inventory Takeoff'!B930</f>
        <v>948</v>
      </c>
      <c r="B926" s="290" t="e">
        <f>IF(SUMIFS(Ancillary_Qty,Ancillary_InventoryCode,A926,Ancillary_BoughtOut,"No")=0,"",SUMIFS(Ancillary_Qty,Ancillary_InventoryCode,A926,Ancillary_BoughtOut,"No"))</f>
        <v>#NAME?</v>
      </c>
      <c r="C926" s="295" t="str">
        <f>'Inventory Takeoff'!C930</f>
        <v>3/8" Test Port</v>
      </c>
      <c r="D926" s="297" t="str">
        <f>'Inventory Takeoff'!D930</f>
        <v>Each</v>
      </c>
      <c r="E926" s="291">
        <f>'Inventory Takeoff'!G930</f>
        <v>66.670869565217387</v>
      </c>
    </row>
    <row r="927" spans="1:5" ht="15.5">
      <c r="A927" s="290">
        <f>'Inventory Takeoff'!B931</f>
        <v>949</v>
      </c>
      <c r="B927" s="290" t="e">
        <f>IF(SUMIFS(Ancillary_Qty,Ancillary_InventoryCode,A927,Ancillary_BoughtOut,"No")=0,"",SUMIFS(Ancillary_Qty,Ancillary_InventoryCode,A927,Ancillary_BoughtOut,"No"))</f>
        <v>#NAME?</v>
      </c>
      <c r="C927" s="295" t="str">
        <f>'Inventory Takeoff'!C931</f>
        <v>Not Used</v>
      </c>
      <c r="D927" s="297">
        <f>'Inventory Takeoff'!D931</f>
        <v>0</v>
      </c>
      <c r="E927" s="291">
        <f>'Inventory Takeoff'!G931</f>
        <v>0</v>
      </c>
    </row>
    <row r="928" spans="1:5" ht="15.5">
      <c r="A928" s="290">
        <f>'Inventory Takeoff'!B932</f>
        <v>950</v>
      </c>
      <c r="B928" s="290" t="e">
        <f t="shared" si="33"/>
        <v>#NAME?</v>
      </c>
      <c r="C928" s="295" t="str">
        <f>'Inventory Takeoff'!C932</f>
        <v>Mileage Charge</v>
      </c>
      <c r="D928" s="297" t="str">
        <f>'Inventory Takeoff'!D932</f>
        <v>Each</v>
      </c>
      <c r="E928" s="291">
        <f>'Inventory Takeoff'!G932</f>
        <v>0.66499999999999992</v>
      </c>
    </row>
    <row r="929" spans="1:5" ht="15.5">
      <c r="A929" s="290">
        <f>'Inventory Takeoff'!B933</f>
        <v>951</v>
      </c>
      <c r="B929" s="290" t="e">
        <f t="shared" si="33"/>
        <v>#NAME?</v>
      </c>
      <c r="C929" s="295" t="str">
        <f>'Inventory Takeoff'!C933</f>
        <v>6" Elgen Conical W / Damper</v>
      </c>
      <c r="D929" s="297" t="str">
        <f>'Inventory Takeoff'!D933</f>
        <v>Each</v>
      </c>
      <c r="E929" s="291">
        <f>'Inventory Takeoff'!G933</f>
        <v>42.519999999999996</v>
      </c>
    </row>
    <row r="930" spans="1:5" ht="15.5">
      <c r="A930" s="290">
        <f>'Inventory Takeoff'!B934</f>
        <v>952</v>
      </c>
      <c r="B930" s="290" t="e">
        <f t="shared" si="33"/>
        <v>#NAME?</v>
      </c>
      <c r="C930" s="295" t="str">
        <f>'Inventory Takeoff'!C934</f>
        <v>8" Elgen Conical W / Damper</v>
      </c>
      <c r="D930" s="297" t="str">
        <f>'Inventory Takeoff'!D934</f>
        <v>Each</v>
      </c>
      <c r="E930" s="291">
        <f>'Inventory Takeoff'!G934</f>
        <v>46.940000000000005</v>
      </c>
    </row>
    <row r="931" spans="1:5" ht="15.5">
      <c r="A931" s="290">
        <f>'Inventory Takeoff'!B935</f>
        <v>953</v>
      </c>
      <c r="B931" s="290" t="e">
        <f t="shared" si="33"/>
        <v>#NAME?</v>
      </c>
      <c r="C931" s="295" t="str">
        <f>'Inventory Takeoff'!C935</f>
        <v>10" Elgen Conical W / Damper</v>
      </c>
      <c r="D931" s="297" t="str">
        <f>'Inventory Takeoff'!D935</f>
        <v>Each</v>
      </c>
      <c r="E931" s="291">
        <f>'Inventory Takeoff'!G935</f>
        <v>57.75</v>
      </c>
    </row>
    <row r="932" spans="1:5" ht="15.5">
      <c r="A932" s="290">
        <f>'Inventory Takeoff'!B936</f>
        <v>954</v>
      </c>
      <c r="B932" s="290" t="e">
        <f t="shared" si="33"/>
        <v>#NAME?</v>
      </c>
      <c r="C932" s="295" t="str">
        <f>'Inventory Takeoff'!C936</f>
        <v>12" Elgen Conical W / Damper</v>
      </c>
      <c r="D932" s="297" t="str">
        <f>'Inventory Takeoff'!D936</f>
        <v>Each</v>
      </c>
      <c r="E932" s="291">
        <f>'Inventory Takeoff'!G936</f>
        <v>68.13</v>
      </c>
    </row>
    <row r="933" spans="1:5" ht="15.5">
      <c r="A933" s="290">
        <f>'Inventory Takeoff'!B937</f>
        <v>955</v>
      </c>
      <c r="B933" s="290" t="e">
        <f t="shared" si="33"/>
        <v>#NAME?</v>
      </c>
      <c r="C933" s="295" t="str">
        <f>'Inventory Takeoff'!C937</f>
        <v>14" Elgen Conical W / Damper</v>
      </c>
      <c r="D933" s="297" t="str">
        <f>'Inventory Takeoff'!D937</f>
        <v>Each</v>
      </c>
      <c r="E933" s="291">
        <f>'Inventory Takeoff'!G937</f>
        <v>82.6</v>
      </c>
    </row>
    <row r="934" spans="1:5" ht="15.5">
      <c r="A934" s="290">
        <f>'Inventory Takeoff'!B938</f>
        <v>956</v>
      </c>
      <c r="B934" s="290" t="e">
        <f t="shared" si="33"/>
        <v>#NAME?</v>
      </c>
      <c r="C934" s="295" t="str">
        <f>'Inventory Takeoff'!C938</f>
        <v>6" Elgen DS</v>
      </c>
      <c r="D934" s="297" t="str">
        <f>'Inventory Takeoff'!D938</f>
        <v>Each</v>
      </c>
      <c r="E934" s="291">
        <f>'Inventory Takeoff'!G938</f>
        <v>22.51</v>
      </c>
    </row>
    <row r="935" spans="1:5" ht="15.5">
      <c r="A935" s="290">
        <f>'Inventory Takeoff'!B939</f>
        <v>957</v>
      </c>
      <c r="B935" s="290" t="e">
        <f t="shared" si="33"/>
        <v>#NAME?</v>
      </c>
      <c r="C935" s="295" t="str">
        <f>'Inventory Takeoff'!C939</f>
        <v>8" Elgen DS</v>
      </c>
      <c r="D935" s="297" t="str">
        <f>'Inventory Takeoff'!D939</f>
        <v>Each</v>
      </c>
      <c r="E935" s="291">
        <f>'Inventory Takeoff'!G939</f>
        <v>24.060000000000002</v>
      </c>
    </row>
    <row r="936" spans="1:5" ht="15.5">
      <c r="A936" s="290">
        <f>'Inventory Takeoff'!B940</f>
        <v>958</v>
      </c>
      <c r="B936" s="290" t="e">
        <f t="shared" si="33"/>
        <v>#NAME?</v>
      </c>
      <c r="C936" s="295" t="str">
        <f>'Inventory Takeoff'!C940</f>
        <v>10" Elgen DS</v>
      </c>
      <c r="D936" s="297" t="str">
        <f>'Inventory Takeoff'!D940</f>
        <v>Each</v>
      </c>
      <c r="E936" s="291">
        <f>'Inventory Takeoff'!G940</f>
        <v>15.7</v>
      </c>
    </row>
    <row r="937" spans="1:5" ht="15.5">
      <c r="A937" s="290">
        <f>'Inventory Takeoff'!B941</f>
        <v>959</v>
      </c>
      <c r="B937" s="290" t="e">
        <f t="shared" si="33"/>
        <v>#NAME?</v>
      </c>
      <c r="C937" s="295" t="str">
        <f>'Inventory Takeoff'!C941</f>
        <v>12" Elgen DS</v>
      </c>
      <c r="D937" s="297" t="str">
        <f>'Inventory Takeoff'!D941</f>
        <v>Each</v>
      </c>
      <c r="E937" s="291">
        <f>'Inventory Takeoff'!G941</f>
        <v>16.75</v>
      </c>
    </row>
    <row r="938" spans="1:5" ht="15.5">
      <c r="A938" s="290">
        <f>'Inventory Takeoff'!B942</f>
        <v>960</v>
      </c>
      <c r="B938" s="290" t="e">
        <f t="shared" si="33"/>
        <v>#NAME?</v>
      </c>
      <c r="C938" s="295" t="str">
        <f>'Inventory Takeoff'!C942</f>
        <v>14" Elgen DS</v>
      </c>
      <c r="D938" s="297" t="str">
        <f>'Inventory Takeoff'!D942</f>
        <v>Each</v>
      </c>
      <c r="E938" s="291">
        <f>'Inventory Takeoff'!G942</f>
        <v>33.32</v>
      </c>
    </row>
    <row r="939" spans="1:5" ht="15.5">
      <c r="A939" s="290">
        <f>'Inventory Takeoff'!B943</f>
        <v>961</v>
      </c>
      <c r="B939" s="290" t="e">
        <f t="shared" si="33"/>
        <v>#NAME?</v>
      </c>
      <c r="C939" s="295" t="str">
        <f>'Inventory Takeoff'!C943</f>
        <v>3/4" Test Port</v>
      </c>
      <c r="D939" s="297" t="str">
        <f>'Inventory Takeoff'!D943</f>
        <v>Each</v>
      </c>
      <c r="E939" s="291">
        <f>'Inventory Takeoff'!G943</f>
        <v>125.9303431132272</v>
      </c>
    </row>
    <row r="940" spans="1:5" ht="15.5">
      <c r="A940" s="290">
        <f>'Inventory Takeoff'!B944</f>
        <v>962</v>
      </c>
      <c r="B940" s="290" t="e">
        <f t="shared" si="33"/>
        <v>#NAME?</v>
      </c>
      <c r="C940" s="295" t="str">
        <f>'Inventory Takeoff'!C944</f>
        <v>1/2" Test Port</v>
      </c>
      <c r="D940" s="297" t="str">
        <f>'Inventory Takeoff'!D944</f>
        <v>Each</v>
      </c>
      <c r="E940" s="291">
        <f>'Inventory Takeoff'!G944</f>
        <v>74.070916195095649</v>
      </c>
    </row>
    <row r="941" spans="1:5" ht="15.5">
      <c r="A941" s="290">
        <f>'Inventory Takeoff'!B945</f>
        <v>963</v>
      </c>
      <c r="B941" s="290" t="e">
        <f t="shared" si="33"/>
        <v>#NAME?</v>
      </c>
      <c r="C941" s="295" t="str">
        <f>'Inventory Takeoff'!C945</f>
        <v>1/4" Test Port</v>
      </c>
      <c r="D941" s="297" t="str">
        <f>'Inventory Takeoff'!D945</f>
        <v>Each</v>
      </c>
      <c r="E941" s="291">
        <f>'Inventory Takeoff'!G945</f>
        <v>62.960731045181305</v>
      </c>
    </row>
    <row r="942" spans="1:5" ht="15.5">
      <c r="A942" s="290">
        <f>'Inventory Takeoff'!B946</f>
        <v>964</v>
      </c>
      <c r="B942" s="290" t="e">
        <f t="shared" si="33"/>
        <v>#NAME?</v>
      </c>
      <c r="C942" s="295" t="str">
        <f>'Inventory Takeoff'!C946</f>
        <v>P-Vent Test Port</v>
      </c>
      <c r="D942" s="297" t="str">
        <f>'Inventory Takeoff'!D946</f>
        <v>Each</v>
      </c>
      <c r="E942" s="291">
        <f>'Inventory Takeoff'!G946</f>
        <v>170.37045281937378</v>
      </c>
    </row>
    <row r="943" spans="1:5" ht="15.5">
      <c r="A943" s="290">
        <f>'Inventory Takeoff'!B947</f>
        <v>965</v>
      </c>
      <c r="B943" s="290" t="e">
        <f t="shared" si="33"/>
        <v>#NAME?</v>
      </c>
      <c r="C943" s="295" t="str">
        <f>'Inventory Takeoff'!C947</f>
        <v>Ventlock Handle Set</v>
      </c>
      <c r="D943" s="297" t="str">
        <f>'Inventory Takeoff'!D947</f>
        <v>Each</v>
      </c>
      <c r="E943" s="291">
        <f>'Inventory Takeoff'!G947</f>
        <v>13.23</v>
      </c>
    </row>
    <row r="944" spans="1:5" ht="15.5">
      <c r="A944" s="290">
        <f>'Inventory Takeoff'!B948</f>
        <v>966</v>
      </c>
      <c r="B944" s="290" t="e">
        <f t="shared" si="33"/>
        <v>#NAME?</v>
      </c>
      <c r="C944" s="295" t="str">
        <f>'Inventory Takeoff'!C948</f>
        <v>1/2" S.S. Round Rod</v>
      </c>
      <c r="D944" s="297" t="str">
        <f>'Inventory Takeoff'!D948</f>
        <v>Each</v>
      </c>
      <c r="E944" s="291">
        <f>'Inventory Takeoff'!G948</f>
        <v>2.65</v>
      </c>
    </row>
    <row r="945" spans="1:5" ht="15.5">
      <c r="A945" s="290">
        <f>'Inventory Takeoff'!B949</f>
        <v>967</v>
      </c>
      <c r="B945" s="290" t="e">
        <f t="shared" si="33"/>
        <v>#NAME?</v>
      </c>
      <c r="C945" s="295" t="str">
        <f>'Inventory Takeoff'!C949</f>
        <v>3/8" S.S. Square Rod</v>
      </c>
      <c r="D945" s="297" t="str">
        <f>'Inventory Takeoff'!D949</f>
        <v>Each</v>
      </c>
      <c r="E945" s="291">
        <f>'Inventory Takeoff'!G949</f>
        <v>2.65</v>
      </c>
    </row>
    <row r="946" spans="1:5" ht="15.5">
      <c r="A946" s="290">
        <f>'Inventory Takeoff'!B950</f>
        <v>968</v>
      </c>
      <c r="B946" s="290" t="e">
        <f t="shared" si="33"/>
        <v>#NAME?</v>
      </c>
      <c r="C946" s="295" t="str">
        <f>'Inventory Takeoff'!C950</f>
        <v>3/4" Swagelok Cap</v>
      </c>
      <c r="D946" s="297" t="str">
        <f>'Inventory Takeoff'!D950</f>
        <v>Each</v>
      </c>
      <c r="E946" s="291">
        <f>'Inventory Takeoff'!G950</f>
        <v>28.75</v>
      </c>
    </row>
    <row r="947" spans="1:5" ht="15.5">
      <c r="A947" s="290">
        <f>'Inventory Takeoff'!B951</f>
        <v>969</v>
      </c>
      <c r="B947" s="290" t="e">
        <f t="shared" si="33"/>
        <v>#NAME?</v>
      </c>
      <c r="C947" s="295" t="str">
        <f>'Inventory Takeoff'!C951</f>
        <v>3/4" Swagelok Port Base</v>
      </c>
      <c r="D947" s="297" t="str">
        <f>'Inventory Takeoff'!D951</f>
        <v>Each</v>
      </c>
      <c r="E947" s="291">
        <f>'Inventory Takeoff'!G951</f>
        <v>63.25</v>
      </c>
    </row>
    <row r="948" spans="1:5" ht="15.5">
      <c r="A948" s="290">
        <f>'Inventory Takeoff'!B952</f>
        <v>970</v>
      </c>
      <c r="B948" s="290" t="e">
        <f t="shared" si="33"/>
        <v>#NAME?</v>
      </c>
      <c r="C948" s="295" t="str">
        <f>'Inventory Takeoff'!C952</f>
        <v>1/2" Swagelok Port</v>
      </c>
      <c r="D948" s="297" t="str">
        <f>'Inventory Takeoff'!D952</f>
        <v>Each</v>
      </c>
      <c r="E948" s="291">
        <f>'Inventory Takeoff'!G952</f>
        <v>31.05</v>
      </c>
    </row>
    <row r="949" spans="1:5" ht="15.5">
      <c r="A949" s="290">
        <f>'Inventory Takeoff'!B953</f>
        <v>971</v>
      </c>
      <c r="B949" s="290" t="e">
        <f t="shared" si="33"/>
        <v>#NAME?</v>
      </c>
      <c r="C949" s="295" t="str">
        <f>'Inventory Takeoff'!C953</f>
        <v>1/4" Swagelok Port</v>
      </c>
      <c r="D949" s="297" t="str">
        <f>'Inventory Takeoff'!D953</f>
        <v>Each</v>
      </c>
      <c r="E949" s="291">
        <f>'Inventory Takeoff'!G953</f>
        <v>19.55</v>
      </c>
    </row>
    <row r="950" spans="1:5" ht="15.5">
      <c r="A950" s="290">
        <f>'Inventory Takeoff'!B954</f>
        <v>972</v>
      </c>
      <c r="B950" s="290" t="e">
        <f t="shared" si="33"/>
        <v>#NAME?</v>
      </c>
      <c r="C950" s="295" t="str">
        <f>'Inventory Takeoff'!C954</f>
        <v>3/8" Swagelok Port</v>
      </c>
      <c r="D950" s="297" t="str">
        <f>'Inventory Takeoff'!D954</f>
        <v>Each</v>
      </c>
      <c r="E950" s="291">
        <f>'Inventory Takeoff'!G954</f>
        <v>21.85</v>
      </c>
    </row>
    <row r="951" spans="1:5" ht="15.5">
      <c r="A951" s="290">
        <f>'Inventory Takeoff'!B955</f>
        <v>973</v>
      </c>
      <c r="B951" s="290" t="e">
        <f t="shared" si="33"/>
        <v>#NAME?</v>
      </c>
      <c r="C951" s="295" t="str">
        <f>'Inventory Takeoff'!C955</f>
        <v>Spiral Pipe Connector - 3-7/8"</v>
      </c>
      <c r="D951" s="297" t="str">
        <f>'Inventory Takeoff'!D955</f>
        <v>Each</v>
      </c>
      <c r="E951" s="291">
        <f>'Inventory Takeoff'!G955</f>
        <v>8.27</v>
      </c>
    </row>
    <row r="952" spans="1:5" ht="15.5">
      <c r="A952" s="290">
        <f>'Inventory Takeoff'!B956</f>
        <v>974</v>
      </c>
      <c r="B952" s="290" t="e">
        <f t="shared" si="33"/>
        <v>#NAME?</v>
      </c>
      <c r="C952" s="295" t="str">
        <f>'Inventory Takeoff'!C956</f>
        <v>Spiral Pipe Connector - 4-7/8"</v>
      </c>
      <c r="D952" s="297" t="str">
        <f>'Inventory Takeoff'!D956</f>
        <v>Each</v>
      </c>
      <c r="E952" s="291">
        <f>'Inventory Takeoff'!G956</f>
        <v>8.81</v>
      </c>
    </row>
    <row r="953" spans="1:5" ht="15.5">
      <c r="A953" s="290">
        <f>'Inventory Takeoff'!B957</f>
        <v>975</v>
      </c>
      <c r="B953" s="290" t="e">
        <f t="shared" si="33"/>
        <v>#NAME?</v>
      </c>
      <c r="C953" s="295" t="str">
        <f>'Inventory Takeoff'!C957</f>
        <v>Spiral Pipe Connector - 5-7/8"</v>
      </c>
      <c r="D953" s="297" t="str">
        <f>'Inventory Takeoff'!D957</f>
        <v>Each</v>
      </c>
      <c r="E953" s="291">
        <f>'Inventory Takeoff'!G957</f>
        <v>8.27</v>
      </c>
    </row>
    <row r="954" spans="1:5" ht="15.5">
      <c r="A954" s="290">
        <f>'Inventory Takeoff'!B958</f>
        <v>976</v>
      </c>
      <c r="B954" s="290" t="e">
        <f t="shared" si="33"/>
        <v>#NAME?</v>
      </c>
      <c r="C954" s="295" t="str">
        <f>'Inventory Takeoff'!C958</f>
        <v>Spiral Pipe Connector - 6-7/8"</v>
      </c>
      <c r="D954" s="297" t="str">
        <f>'Inventory Takeoff'!D958</f>
        <v>Each</v>
      </c>
      <c r="E954" s="291">
        <f>'Inventory Takeoff'!G958</f>
        <v>9.7899999999999991</v>
      </c>
    </row>
    <row r="955" spans="1:5" ht="15.5">
      <c r="A955" s="290">
        <f>'Inventory Takeoff'!B959</f>
        <v>977</v>
      </c>
      <c r="B955" s="290" t="e">
        <f t="shared" si="33"/>
        <v>#NAME?</v>
      </c>
      <c r="C955" s="295" t="str">
        <f>'Inventory Takeoff'!C959</f>
        <v>Spiral Pipe Connector - 7-7/8"</v>
      </c>
      <c r="D955" s="297" t="str">
        <f>'Inventory Takeoff'!D959</f>
        <v>Each</v>
      </c>
      <c r="E955" s="291">
        <f>'Inventory Takeoff'!G959</f>
        <v>9.1199999999999992</v>
      </c>
    </row>
    <row r="956" spans="1:5" ht="15.5">
      <c r="A956" s="290">
        <f>'Inventory Takeoff'!B960</f>
        <v>978</v>
      </c>
      <c r="B956" s="290" t="e">
        <f t="shared" si="33"/>
        <v>#NAME?</v>
      </c>
      <c r="C956" s="295" t="str">
        <f>'Inventory Takeoff'!C960</f>
        <v>Spiral Pipe Connector - 9-7/8"</v>
      </c>
      <c r="D956" s="297" t="str">
        <f>'Inventory Takeoff'!D960</f>
        <v>Each</v>
      </c>
      <c r="E956" s="291">
        <f>'Inventory Takeoff'!G960</f>
        <v>9.75</v>
      </c>
    </row>
    <row r="957" spans="1:5" ht="15.5">
      <c r="A957" s="290">
        <f>'Inventory Takeoff'!B961</f>
        <v>979</v>
      </c>
      <c r="B957" s="290" t="e">
        <f t="shared" si="33"/>
        <v>#NAME?</v>
      </c>
      <c r="C957" s="295" t="str">
        <f>'Inventory Takeoff'!C961</f>
        <v>Spiral Pipe Connector - 11-7/8"</v>
      </c>
      <c r="D957" s="297" t="str">
        <f>'Inventory Takeoff'!D961</f>
        <v>Each</v>
      </c>
      <c r="E957" s="291">
        <f>'Inventory Takeoff'!G961</f>
        <v>10.08</v>
      </c>
    </row>
    <row r="958" spans="1:5" ht="15.5">
      <c r="A958" s="290">
        <f>'Inventory Takeoff'!B962</f>
        <v>980</v>
      </c>
      <c r="B958" s="290" t="e">
        <f t="shared" si="33"/>
        <v>#NAME?</v>
      </c>
      <c r="C958" s="295" t="str">
        <f>'Inventory Takeoff'!C962</f>
        <v>Spiral Pipe Connector - 13-7/8"</v>
      </c>
      <c r="D958" s="297" t="str">
        <f>'Inventory Takeoff'!D962</f>
        <v>Each</v>
      </c>
      <c r="E958" s="291">
        <f>'Inventory Takeoff'!G962</f>
        <v>12.91</v>
      </c>
    </row>
    <row r="959" spans="1:5" ht="15.5">
      <c r="A959" s="290">
        <f>'Inventory Takeoff'!B963</f>
        <v>981</v>
      </c>
      <c r="B959" s="290" t="e">
        <f t="shared" si="33"/>
        <v>#NAME?</v>
      </c>
      <c r="C959" s="295" t="str">
        <f>'Inventory Takeoff'!C963</f>
        <v>Spiral Pipe Connector - 15-7/8"</v>
      </c>
      <c r="D959" s="297" t="str">
        <f>'Inventory Takeoff'!D963</f>
        <v>Each</v>
      </c>
      <c r="E959" s="291">
        <f>'Inventory Takeoff'!G963</f>
        <v>12.95</v>
      </c>
    </row>
    <row r="960" spans="1:5" ht="15.5">
      <c r="A960" s="290">
        <f>'Inventory Takeoff'!B964</f>
        <v>982</v>
      </c>
      <c r="B960" s="290" t="e">
        <f t="shared" si="33"/>
        <v>#NAME?</v>
      </c>
      <c r="C960" s="295" t="str">
        <f>'Inventory Takeoff'!C964</f>
        <v>Spiral Pipe Connector - 17-7/8"</v>
      </c>
      <c r="D960" s="297" t="str">
        <f>'Inventory Takeoff'!D964</f>
        <v>Each</v>
      </c>
      <c r="E960" s="291">
        <f>'Inventory Takeoff'!G964</f>
        <v>16.45</v>
      </c>
    </row>
    <row r="961" spans="1:5" ht="15.5">
      <c r="A961" s="290">
        <f>'Inventory Takeoff'!B965</f>
        <v>983</v>
      </c>
      <c r="B961" s="290" t="e">
        <f t="shared" si="33"/>
        <v>#NAME?</v>
      </c>
      <c r="C961" s="295" t="str">
        <f>'Inventory Takeoff'!C965</f>
        <v>Spiral Pipe Connector - 19-7/8"</v>
      </c>
      <c r="D961" s="297" t="str">
        <f>'Inventory Takeoff'!D965</f>
        <v>Each</v>
      </c>
      <c r="E961" s="291">
        <f>'Inventory Takeoff'!G965</f>
        <v>17.68</v>
      </c>
    </row>
    <row r="962" spans="1:5" ht="15.5">
      <c r="A962" s="290">
        <f>'Inventory Takeoff'!B966</f>
        <v>984</v>
      </c>
      <c r="B962" s="290" t="e">
        <f t="shared" si="33"/>
        <v>#NAME?</v>
      </c>
      <c r="C962" s="295" t="str">
        <f>'Inventory Takeoff'!C966</f>
        <v>Spiral Pipe Connector - 21-7/8"</v>
      </c>
      <c r="D962" s="297" t="str">
        <f>'Inventory Takeoff'!D966</f>
        <v>Each</v>
      </c>
      <c r="E962" s="291">
        <f>'Inventory Takeoff'!G966</f>
        <v>19.41</v>
      </c>
    </row>
    <row r="963" spans="1:5" ht="15.5">
      <c r="A963" s="290">
        <f>'Inventory Takeoff'!B967</f>
        <v>985</v>
      </c>
      <c r="B963" s="290" t="e">
        <f t="shared" si="33"/>
        <v>#NAME?</v>
      </c>
      <c r="C963" s="295" t="str">
        <f>'Inventory Takeoff'!C967</f>
        <v>Spiral Pipe Connector - 23-7/8"</v>
      </c>
      <c r="D963" s="297" t="str">
        <f>'Inventory Takeoff'!D967</f>
        <v>Each</v>
      </c>
      <c r="E963" s="291">
        <f>'Inventory Takeoff'!G967</f>
        <v>18.700000000000003</v>
      </c>
    </row>
    <row r="964" spans="1:5" ht="15.5">
      <c r="A964" s="290" t="s">
        <v>1123</v>
      </c>
      <c r="B964" s="290" t="e">
        <f>SUMIFS(Ancillary_Qty,Ancillary_Name,"Rossi*")</f>
        <v>#NAME?</v>
      </c>
      <c r="C964" s="295" t="s">
        <v>1124</v>
      </c>
      <c r="D964" s="297" t="s">
        <v>228</v>
      </c>
      <c r="E964" s="291">
        <v>37.519999999999996</v>
      </c>
    </row>
    <row r="965" spans="1:5" ht="15.5">
      <c r="A965" s="290"/>
      <c r="B965" s="290"/>
      <c r="C965" s="295"/>
      <c r="D965" s="297"/>
      <c r="E965" s="291"/>
    </row>
    <row r="966" spans="1:5" ht="15.5">
      <c r="A966" s="290"/>
      <c r="B966" s="290"/>
      <c r="C966" s="295"/>
      <c r="D966" s="297"/>
      <c r="E966" s="291"/>
    </row>
    <row r="967" spans="1:5" ht="15.5">
      <c r="A967" s="290"/>
      <c r="B967" s="290"/>
      <c r="C967" s="295"/>
      <c r="D967" s="297"/>
      <c r="E967" s="291"/>
    </row>
    <row r="968" spans="1:5" ht="15.5">
      <c r="A968" s="290"/>
      <c r="B968" s="290"/>
      <c r="C968" s="295"/>
      <c r="D968" s="297"/>
      <c r="E968" s="291"/>
    </row>
    <row r="969" spans="1:5" ht="15.5">
      <c r="A969" s="290"/>
      <c r="B969" s="290"/>
      <c r="C969" s="295"/>
      <c r="D969" s="297"/>
      <c r="E969" s="291"/>
    </row>
    <row r="970" spans="1:5" ht="15.5">
      <c r="A970" s="290"/>
      <c r="B970" s="290"/>
      <c r="C970" s="295"/>
      <c r="D970" s="297"/>
      <c r="E970" s="291"/>
    </row>
  </sheetData>
  <sheetProtection algorithmName="SHA-512" hashValue="bweFiB4spJI2LHJrfgVdzsWYy7383DMUII2TORM0w8ZC+jtM3cm+VMHkU8LSBFIwkvRePZZwzA8+LVskeH03lg==" saltValue="9v2oZivq10SjHbbqdYfSzA==" spinCount="100000" sheet="1" objects="1" scenarios="1" formatCells="0" autoFilter="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19</vt:i4>
      </vt:variant>
    </vt:vector>
  </HeadingPairs>
  <TitlesOfParts>
    <vt:vector size="31" baseType="lpstr">
      <vt:lpstr>Job Ticket</vt:lpstr>
      <vt:lpstr>Proposal</vt:lpstr>
      <vt:lpstr>CP</vt:lpstr>
      <vt:lpstr>CP Backup</vt:lpstr>
      <vt:lpstr>Plumb Takeoff</vt:lpstr>
      <vt:lpstr>Pipe Takeoff</vt:lpstr>
      <vt:lpstr>SM Takeoff</vt:lpstr>
      <vt:lpstr>Inventory Takeoff</vt:lpstr>
      <vt:lpstr>Crew Mix</vt:lpstr>
      <vt:lpstr>Labor Rates</vt:lpstr>
      <vt:lpstr>Booking</vt:lpstr>
      <vt:lpstr>Labor Burden Generator</vt:lpstr>
      <vt:lpstr>Pay_Type_Selection</vt:lpstr>
      <vt:lpstr>Booking!Print_Area</vt:lpstr>
      <vt:lpstr>CP!Print_Area</vt:lpstr>
      <vt:lpstr>'CP Backup'!Print_Area</vt:lpstr>
      <vt:lpstr>'Crew Mix'!Print_Area</vt:lpstr>
      <vt:lpstr>'Job Ticket'!Print_Area</vt:lpstr>
      <vt:lpstr>'Labor Rates'!Print_Area</vt:lpstr>
      <vt:lpstr>'Pipe Takeoff'!Print_Area</vt:lpstr>
      <vt:lpstr>'Plumb Takeoff'!Print_Area</vt:lpstr>
      <vt:lpstr>Proposal!Print_Area</vt:lpstr>
      <vt:lpstr>'SM Takeoff'!Print_Area</vt:lpstr>
      <vt:lpstr>'Inventory Takeoff'!Print_Titles</vt:lpstr>
      <vt:lpstr>'Pipe Takeoff'!Takeoff_Pipe_FieldLabor</vt:lpstr>
      <vt:lpstr>'Pipe Takeoff'!Takeoff_Pipe_FieldOvertime</vt:lpstr>
      <vt:lpstr>'Plumb Takeoff'!Takeoff_Plumb_FieldLabor</vt:lpstr>
      <vt:lpstr>'Plumb Takeoff'!Takeoff_Plumb_FieldOvertime</vt:lpstr>
      <vt:lpstr>Takeoff_ShopLabor</vt:lpstr>
      <vt:lpstr>Takeoff_SM_FieldLabor</vt:lpstr>
      <vt:lpstr>Takeoff_SM_FieldOvertime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Elliott</dc:creator>
  <cp:lastModifiedBy>Jaren Eells</cp:lastModifiedBy>
  <cp:lastPrinted>2024-12-13T17:41:54Z</cp:lastPrinted>
  <dcterms:created xsi:type="dcterms:W3CDTF">2011-10-07T14:48:11Z</dcterms:created>
  <dcterms:modified xsi:type="dcterms:W3CDTF">2026-09-10T12:12:06Z</dcterms:modified>
</cp:coreProperties>
</file>