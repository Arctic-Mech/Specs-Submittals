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S:\Favorites\26-0233 Amaterra Guest Suites\13 - PM Documents\PO's\"/>
    </mc:Choice>
  </mc:AlternateContent>
  <xr:revisionPtr revIDLastSave="0" documentId="13_ncr:11_{AE58FC22-AAD2-4ABF-BBEB-574773B0F13D}"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Print_Area" localSheetId="0">Sheet1!$A$1:$J$43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<sst xmlns="http://schemas.openxmlformats.org/spreadsheetml/2006/main" count="82" uniqueCount="51">
  <si>
    <t>2310 NE Columbia Blvd.
Portland, OR  97211
(503) 288-5844</t>
  </si>
  <si>
    <t>Vendor:</t>
  </si>
  <si>
    <t>Purchase Order</t>
  </si>
  <si>
    <t>PO #</t>
  </si>
  <si>
    <t>The above purchase order number must appear on all invoices, correspondence, bills of lading, packing slips, and packages.</t>
  </si>
  <si>
    <t>No equipment received without 24-hour notice.</t>
  </si>
  <si>
    <t>Ship To:</t>
  </si>
  <si>
    <t>Item #</t>
  </si>
  <si>
    <t>Quantity</t>
  </si>
  <si>
    <t>Total</t>
  </si>
  <si>
    <t>Unit Price</t>
  </si>
  <si>
    <t>Description</t>
  </si>
  <si>
    <t>Grand Total</t>
  </si>
  <si>
    <t>Not valid unless signed by purchasing agent</t>
  </si>
  <si>
    <t>By:</t>
  </si>
  <si>
    <t>Purchasing Agent</t>
  </si>
  <si>
    <t>Authorized Signature</t>
  </si>
  <si>
    <t>Date:</t>
  </si>
  <si>
    <t>Notify purchaser at once if unable to ship order as specified.</t>
  </si>
  <si>
    <t>Job No.:</t>
  </si>
  <si>
    <t>Job Name:</t>
  </si>
  <si>
    <t>Date Ordered:</t>
  </si>
  <si>
    <t>Date Required:</t>
  </si>
  <si>
    <t>Accepted:</t>
  </si>
  <si>
    <t>Please furnish the following:</t>
  </si>
  <si>
    <t xml:space="preserve">copies of shop drawings and catalogs by </t>
  </si>
  <si>
    <t>copies of Operation and Maintenance manuals</t>
  </si>
  <si>
    <t>Requested By:</t>
  </si>
  <si>
    <t>Subcontract                                    Equipment Rental</t>
  </si>
  <si>
    <t>Cost             Code</t>
  </si>
  <si>
    <t>No variation from the terms of this order or the provisions of the 
Uniform Commercial Code, where consistent with these terms, is 
acceptable unless approved in writing by the purchaser. THE TERMS
AND CONDITIONS OF THE FACE AND REVERSE SIDE OF THIS ORDER FORM SHALL CONSTITUTE THE FINAL AND COMPLETE AGREEMENT BETWEEN THE PURCHASER AND SELLER.</t>
  </si>
  <si>
    <r>
      <rPr>
        <b/>
        <sz val="11"/>
        <color indexed="8"/>
        <rFont val="Arial"/>
        <family val="2"/>
      </rPr>
      <t xml:space="preserve"> </t>
    </r>
    <r>
      <rPr>
        <sz val="8"/>
        <color indexed="8"/>
        <rFont val="Arial"/>
        <family val="2"/>
      </rPr>
      <t xml:space="preserve">
</t>
    </r>
  </si>
  <si>
    <t>Arctic Sheet Metal</t>
  </si>
  <si>
    <t>2330 NE Columbia Blvd.</t>
  </si>
  <si>
    <t>Portland, OR, 97211</t>
  </si>
  <si>
    <t>112341-26-0233</t>
  </si>
  <si>
    <t>26-0233</t>
  </si>
  <si>
    <t>Jaren Eells</t>
  </si>
  <si>
    <t>Amaterra</t>
  </si>
  <si>
    <t>10/20/26</t>
  </si>
  <si>
    <t>Ferguson</t>
  </si>
  <si>
    <t>Plumbing Underground</t>
  </si>
  <si>
    <t>PVC Venting</t>
  </si>
  <si>
    <t>Heating Water</t>
  </si>
  <si>
    <t>Chilled Water</t>
  </si>
  <si>
    <t>5-07</t>
  </si>
  <si>
    <t>Storm Drain Piping</t>
  </si>
  <si>
    <t>Copper IRR</t>
  </si>
  <si>
    <t>Water Piping</t>
  </si>
  <si>
    <t>Gas Piping</t>
  </si>
  <si>
    <t>No Hub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</si>
</sst>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11" x14ac:knownFonts="1">
    <font>
      <sz val="11"/>
      <color theme="1"/>
      <name val="Calibri"/>
      <family val="2"/>
      <scheme val="minor"/>
    </font>
    <font>
      <sz val="8"/>
      <color indexed="8"/>
      <name val="Arial"/>
      <family val="2"/>
    </font>
    <font>
      <b/>
      <sz val="11"/>
      <color indexed="8"/>
      <name val="Arial"/>
      <family val="2"/>
    </font>
    <font>
      <sz val="11"/>
      <color theme="1"/>
      <name val="Calibri"/>
      <family val="2"/>
      <scheme val="minor"/>
    </font>
    <font>
      <sz val="8"/>
      <color theme="1"/>
      <name val="Calibri"/>
      <family val="2"/>
      <scheme val="minor"/>
    </font>
    <font>
      <i/>
      <sz val="8"/>
      <color theme="1"/>
      <name val="Calibri"/>
      <family val="2"/>
      <scheme val="minor"/>
    </font>
    <font>
      <i/>
      <sz val="11"/>
      <color theme="1"/>
      <name val="Calibri"/>
      <family val="2"/>
      <scheme val="minor"/>
    </font>
    <font>
      <sz val="14"/>
      <color theme="1"/>
      <name val="Calibri"/>
      <family val="2"/>
      <scheme val="minor"/>
    </font>
    <font>
      <sz val="10"/>
      <color theme="1"/>
      <name val="Calibri"/>
      <family val="2"/>
      <scheme val="minor"/>
    </font>
    <font>
      <sz val="20"/>
      <color theme="1"/>
      <name val="Calibri"/>
      <family val="2"/>
      <scheme val="minor"/>
    </font>
    <font>
      <sz val="11"/>
      <color theme="1"/>
      <name val="Arial"/>
      <family val="2"/>
    </font>
  </fonts>
  <fills count="3">
    <fill>
      <patternFill patternType="none"/>
    </fill>
    <fill>
      <patternFill patternType="gray125"/>
    </fill>
    <fill>
      <patternFill patternType="gray125">
        <bgColor theme="0" tint="-4.9989318521683403E-2"/>
      </patternFill>
    </fill>
  </fills>
  <borders count="13">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44" fontId="3" fillId="0" borderId="0" applyFont="0" applyFill="0" applyBorder="0" applyAlignment="0" applyProtection="0"/>
  </cellStyleXfs>
  <cellXfs count="102">
    <xf numFmtId="0" fontId="0" fillId="0" borderId="0" xfId="0"/>
    <xf numFmtId="0" fontId="0" fillId="0" borderId="7" xfId="0" applyBorder="1" applyAlignment="1" applyProtection="1">
      <alignment horizontal="center"/>
      <protection locked="0"/>
    </xf>
    <xf numFmtId="0" fontId="0" fillId="0" borderId="10" xfId="0" applyBorder="1"/>
    <xf numFmtId="0" fontId="0" fillId="0" borderId="12" xfId="0" applyBorder="1"/>
    <xf numFmtId="0" fontId="0" fillId="0" borderId="2" xfId="0" applyBorder="1"/>
    <xf numFmtId="0" fontId="0" fillId="0" borderId="8" xfId="0" applyBorder="1"/>
    <xf numFmtId="0" fontId="7" fillId="0" borderId="7" xfId="0" applyFont="1" applyBorder="1"/>
    <xf numFmtId="0" fontId="0" fillId="0" borderId="9" xfId="0" applyBorder="1"/>
    <xf numFmtId="0" fontId="0" fillId="0" borderId="6" xfId="0" applyBorder="1"/>
    <xf numFmtId="0" fontId="0" fillId="0" borderId="5" xfId="0" applyBorder="1"/>
    <xf numFmtId="0" fontId="0" fillId="0" borderId="3" xfId="0" applyBorder="1"/>
    <xf numFmtId="0" fontId="0" fillId="0" borderId="4" xfId="0" applyBorder="1"/>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7" xfId="0" applyBorder="1"/>
    <xf numFmtId="0" fontId="0" fillId="0" borderId="7" xfId="0" applyBorder="1" applyAlignment="1">
      <alignment horizontal="center"/>
    </xf>
    <xf numFmtId="0" fontId="4" fillId="0" borderId="7" xfId="0" applyFont="1" applyBorder="1" applyAlignment="1">
      <alignment horizontal="center" vertical="top" wrapText="1"/>
    </xf>
    <xf numFmtId="8" fontId="0" fillId="0" borderId="7" xfId="1" applyNumberFormat="1" applyFont="1" applyBorder="1" applyProtection="1"/>
    <xf numFmtId="164" fontId="0" fillId="0" borderId="7" xfId="0" applyNumberFormat="1" applyBorder="1"/>
    <xf numFmtId="0" fontId="0" fillId="2" borderId="7" xfId="0" applyFill="1" applyBorder="1"/>
    <xf numFmtId="0" fontId="5" fillId="0" borderId="2" xfId="0" applyFont="1" applyBorder="1"/>
    <xf numFmtId="0" fontId="6" fillId="0" borderId="0" xfId="0" applyFont="1"/>
    <xf numFmtId="0" fontId="6" fillId="0" borderId="8" xfId="0" applyFont="1" applyBorder="1"/>
    <xf numFmtId="0" fontId="4" fillId="0" borderId="2" xfId="0" applyFont="1" applyBorder="1"/>
    <xf numFmtId="3" fontId="0" fillId="0" borderId="3" xfId="0" applyNumberFormat="1" applyBorder="1"/>
    <xf numFmtId="0" fontId="4" fillId="0" borderId="0" xfId="0" applyFont="1" applyAlignment="1">
      <alignment vertical="center"/>
    </xf>
    <xf numFmtId="0" fontId="4" fillId="0" borderId="9" xfId="0" applyFont="1" applyBorder="1"/>
    <xf numFmtId="3" fontId="0" fillId="0" borderId="6" xfId="0" applyNumberFormat="1" applyBorder="1"/>
    <xf numFmtId="0" fontId="0" fillId="0" borderId="0" xfId="0" applyAlignment="1">
      <alignment vertical="center"/>
    </xf>
    <xf numFmtId="49" fontId="0" fillId="0" borderId="7" xfId="0" applyNumberFormat="1" applyBorder="1" applyAlignment="1" applyProtection="1">
      <alignment horizontal="center"/>
      <protection locked="0"/>
    </xf>
    <xf numFmtId="2" fontId="0" fillId="0" borderId="7" xfId="0" applyNumberFormat="1" applyBorder="1" applyAlignment="1" applyProtection="1">
      <alignment horizontal="center"/>
      <protection locked="0"/>
    </xf>
    <xf numFmtId="0" fontId="8" fillId="0" borderId="7" xfId="0" applyFont="1" applyBorder="1" applyProtection="1">
      <protection locked="0"/>
    </xf>
    <xf numFmtId="0" fontId="0" fillId="0" borderId="2"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0" fillId="0" borderId="6" xfId="0" applyBorder="1" applyAlignment="1">
      <alignment horizontal="left"/>
    </xf>
    <xf numFmtId="0" fontId="0" fillId="0" borderId="5" xfId="0" applyBorder="1" applyAlignment="1">
      <alignment horizontal="left"/>
    </xf>
    <xf numFmtId="49" fontId="0" fillId="0" borderId="6" xfId="0" applyNumberFormat="1" applyBorder="1" applyAlignment="1">
      <alignment horizontal="left" indent="1"/>
    </xf>
    <xf numFmtId="49" fontId="0" fillId="0" borderId="5" xfId="0" applyNumberFormat="1" applyBorder="1" applyAlignment="1">
      <alignment horizontal="left" indent="1"/>
    </xf>
    <xf numFmtId="49" fontId="0" fillId="0" borderId="11" xfId="0" applyNumberFormat="1" applyBorder="1" applyAlignment="1">
      <alignment horizontal="left" indent="1"/>
    </xf>
    <xf numFmtId="0" fontId="0" fillId="0" borderId="1" xfId="0" applyBorder="1"/>
    <xf numFmtId="0" fontId="0" fillId="0" borderId="10" xfId="0" applyBorder="1"/>
    <xf numFmtId="0" fontId="0" fillId="0" borderId="2" xfId="0" applyBorder="1"/>
    <xf numFmtId="0" fontId="0" fillId="0" borderId="0" xfId="0"/>
    <xf numFmtId="49" fontId="0" fillId="0" borderId="5" xfId="0" applyNumberFormat="1" applyBorder="1" applyAlignment="1" applyProtection="1">
      <alignment horizontal="left" vertical="top" indent="1"/>
      <protection locked="0"/>
    </xf>
    <xf numFmtId="49" fontId="0" fillId="0" borderId="11" xfId="0" applyNumberFormat="1" applyBorder="1" applyAlignment="1" applyProtection="1">
      <alignment horizontal="left" vertical="top" indent="1"/>
      <protection locked="0"/>
    </xf>
    <xf numFmtId="0" fontId="0" fillId="0" borderId="1"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49" fontId="0" fillId="0" borderId="5" xfId="0" applyNumberFormat="1" applyBorder="1" applyAlignment="1" applyProtection="1">
      <alignment horizontal="left" indent="1"/>
      <protection locked="0"/>
    </xf>
    <xf numFmtId="49" fontId="0" fillId="0" borderId="11" xfId="0" applyNumberFormat="1" applyBorder="1" applyAlignment="1" applyProtection="1">
      <alignment horizontal="left" indent="1"/>
      <protection locked="0"/>
    </xf>
    <xf numFmtId="49" fontId="0" fillId="0" borderId="6" xfId="0" applyNumberFormat="1" applyBorder="1" applyAlignment="1" applyProtection="1">
      <alignment horizontal="left" indent="1"/>
      <protection locked="0"/>
    </xf>
    <xf numFmtId="0" fontId="0" fillId="0" borderId="5" xfId="0"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0" fillId="0" borderId="11" xfId="0" applyBorder="1"/>
    <xf numFmtId="49" fontId="9" fillId="0" borderId="6" xfId="0" applyNumberFormat="1" applyFont="1" applyBorder="1" applyProtection="1">
      <protection locked="0"/>
    </xf>
    <xf numFmtId="49" fontId="9" fillId="0" borderId="5" xfId="0" applyNumberFormat="1" applyFont="1" applyBorder="1" applyProtection="1">
      <protection locked="0"/>
    </xf>
    <xf numFmtId="49" fontId="0" fillId="0" borderId="11" xfId="0" applyNumberFormat="1" applyBorder="1" applyProtection="1">
      <protection locked="0"/>
    </xf>
    <xf numFmtId="0" fontId="4" fillId="0" borderId="1" xfId="0" applyFont="1" applyBorder="1" applyAlignment="1">
      <alignment vertical="center" wrapText="1"/>
    </xf>
    <xf numFmtId="0" fontId="4" fillId="0" borderId="10" xfId="0" applyFont="1" applyBorder="1" applyAlignment="1">
      <alignment vertical="center" wrapText="1"/>
    </xf>
    <xf numFmtId="0" fontId="0" fillId="0" borderId="12" xfId="0" applyBorder="1" applyAlignment="1">
      <alignment wrapText="1"/>
    </xf>
    <xf numFmtId="0" fontId="4" fillId="0" borderId="2" xfId="0" applyFont="1" applyBorder="1" applyAlignment="1">
      <alignment vertical="center" wrapText="1"/>
    </xf>
    <xf numFmtId="0" fontId="4" fillId="0" borderId="0" xfId="0" applyFont="1" applyAlignment="1">
      <alignment vertical="center" wrapText="1"/>
    </xf>
    <xf numFmtId="0" fontId="0" fillId="0" borderId="8" xfId="0" applyBorder="1" applyAlignment="1">
      <alignment wrapText="1"/>
    </xf>
    <xf numFmtId="0" fontId="4" fillId="0" borderId="3" xfId="0" applyFont="1" applyBorder="1" applyAlignment="1">
      <alignment horizontal="center"/>
    </xf>
    <xf numFmtId="0" fontId="0" fillId="0" borderId="4" xfId="0" applyBorder="1" applyAlignment="1">
      <alignment horizontal="center"/>
    </xf>
    <xf numFmtId="0" fontId="0" fillId="0" borderId="9" xfId="0" applyBorder="1"/>
    <xf numFmtId="0" fontId="9" fillId="0" borderId="6" xfId="0" applyFont="1" applyBorder="1"/>
    <xf numFmtId="0" fontId="9" fillId="0" borderId="5" xfId="0" applyFont="1" applyBorder="1"/>
    <xf numFmtId="0" fontId="4" fillId="0" borderId="0" xfId="0" applyFont="1" applyAlignment="1">
      <alignment horizontal="center" vertical="center"/>
    </xf>
    <xf numFmtId="0" fontId="4" fillId="0" borderId="0" xfId="0" applyFont="1" applyAlignment="1">
      <alignment horizontal="center"/>
    </xf>
    <xf numFmtId="0" fontId="0" fillId="0" borderId="11" xfId="0" applyBorder="1" applyAlignment="1">
      <alignment horizontal="left"/>
    </xf>
    <xf numFmtId="0" fontId="4" fillId="0" borderId="1" xfId="0" applyFont="1" applyBorder="1" applyAlignment="1">
      <alignment vertical="top" wrapText="1"/>
    </xf>
    <xf numFmtId="0" fontId="4" fillId="0" borderId="10" xfId="0" applyFont="1" applyBorder="1" applyAlignment="1">
      <alignment vertical="top" wrapText="1"/>
    </xf>
    <xf numFmtId="0" fontId="4" fillId="0" borderId="12"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8" xfId="0" applyFont="1" applyBorder="1" applyAlignment="1">
      <alignment vertical="top" wrapText="1"/>
    </xf>
    <xf numFmtId="0" fontId="0" fillId="0" borderId="2" xfId="0" applyBorder="1" applyAlignment="1">
      <alignment horizontal="center" vertical="center"/>
    </xf>
    <xf numFmtId="0" fontId="0" fillId="0" borderId="0" xfId="0" applyAlignment="1">
      <alignment horizontal="center" vertical="center"/>
    </xf>
    <xf numFmtId="0" fontId="0" fillId="0" borderId="8" xfId="0" applyBorder="1"/>
    <xf numFmtId="0" fontId="0" fillId="0" borderId="4" xfId="0" applyBorder="1"/>
    <xf numFmtId="49" fontId="0" fillId="0" borderId="5" xfId="0" applyNumberFormat="1" applyBorder="1" applyAlignment="1">
      <alignment horizontal="left" vertical="top" indent="1"/>
    </xf>
    <xf numFmtId="0" fontId="0" fillId="0" borderId="5" xfId="0" applyBorder="1" applyAlignment="1">
      <alignment horizontal="left" vertical="top" indent="1"/>
    </xf>
    <xf numFmtId="0" fontId="0" fillId="0" borderId="11" xfId="0" applyBorder="1" applyAlignment="1">
      <alignment horizontal="left" vertical="top" indent="1"/>
    </xf>
    <xf numFmtId="0" fontId="9" fillId="0" borderId="10" xfId="0" applyFont="1" applyBorder="1" applyAlignment="1">
      <alignment horizontal="center"/>
    </xf>
    <xf numFmtId="0" fontId="10" fillId="0" borderId="1" xfId="0" applyFont="1" applyBorder="1" applyAlignment="1">
      <alignment vertical="top" wrapText="1"/>
    </xf>
    <xf numFmtId="0" fontId="0" fillId="0" borderId="10" xfId="0" applyBorder="1" applyAlignment="1">
      <alignment vertical="top" wrapText="1"/>
    </xf>
    <xf numFmtId="0" fontId="0" fillId="0" borderId="12" xfId="0"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8"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9" xfId="0" applyBorder="1" applyAlignment="1">
      <alignment vertical="top" wrapText="1"/>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12" xfId="0" applyBorder="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4</xdr:col>
      <xdr:colOff>742950</xdr:colOff>
      <xdr:row>6</xdr:row>
      <xdr:rowOff>19050</xdr:rowOff>
    </xdr:to>
    <xdr:pic>
      <xdr:nvPicPr>
        <xdr:cNvPr id="1079" name="Picture 1" descr="ASMLOGO.BMP">
          <a:extLst>
            <a:ext uri="{FF2B5EF4-FFF2-40B4-BE49-F238E27FC236}">
              <a16:creationId xmlns:a16="http://schemas.microsoft.com/office/drawing/2014/main" id="{00000000-0008-0000-0000-0000370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3019425"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542925</xdr:colOff>
          <xdr:row>30</xdr:row>
          <xdr:rowOff>28575</xdr:rowOff>
        </xdr:from>
        <xdr:to>
          <xdr:col>5</xdr:col>
          <xdr:colOff>381000</xdr:colOff>
          <xdr:row>30</xdr:row>
          <xdr:rowOff>171450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xdr:colOff>
          <xdr:row>30</xdr:row>
          <xdr:rowOff>28575</xdr:rowOff>
        </xdr:from>
        <xdr:to>
          <xdr:col>2</xdr:col>
          <xdr:colOff>238125</xdr:colOff>
          <xdr:row>30</xdr:row>
          <xdr:rowOff>171450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3"/>
  <sheetViews>
    <sheetView showZeros="0" tabSelected="1" zoomScaleNormal="100" workbookViewId="0">
      <selection activeCell="J18" sqref="J18:J25"/>
    </sheetView>
  </sheetViews>
  <sheetFormatPr defaultRowHeight="15" x14ac:dyDescent="0.25"/>
  <cols>
    <col min="1" max="1" width="7.85546875" customWidth="1"/>
    <col min="2" max="2" width="8.28515625" customWidth="1"/>
    <col min="4" max="4" width="9" customWidth="1"/>
    <col min="5" max="5" width="11.28515625" customWidth="1"/>
    <col min="6" max="6" width="10.28515625" customWidth="1"/>
    <col min="7" max="7" width="6" customWidth="1"/>
    <col min="8" max="8" width="7" customWidth="1"/>
    <col min="9" max="9" width="16.42578125" customWidth="1"/>
    <col min="10" max="10" width="7.5703125" customWidth="1"/>
  </cols>
  <sheetData>
    <row r="1" spans="1:10" ht="26.25" x14ac:dyDescent="0.4">
      <c r="A1" s="41"/>
      <c r="B1" s="42"/>
      <c r="C1" s="42"/>
      <c r="D1" s="42"/>
      <c r="E1" s="3"/>
      <c r="F1" s="56" t="s">
        <v>2</v>
      </c>
      <c r="G1" s="57"/>
      <c r="H1" s="57"/>
      <c r="I1" s="57"/>
      <c r="J1" s="58"/>
    </row>
    <row r="2" spans="1:10" ht="26.25" x14ac:dyDescent="0.4">
      <c r="A2" s="43"/>
      <c r="B2" s="44"/>
      <c r="C2" s="44"/>
      <c r="D2" s="44"/>
      <c r="E2" s="5"/>
      <c r="F2" s="6" t="s">
        <v>3</v>
      </c>
      <c r="G2" s="59"/>
      <c r="H2" s="60"/>
      <c r="I2" s="60"/>
      <c r="J2" s="61"/>
    </row>
    <row r="3" spans="1:10" ht="15" customHeight="1" x14ac:dyDescent="0.25">
      <c r="A3" s="43"/>
      <c r="B3" s="44"/>
      <c r="C3" s="44"/>
      <c r="D3" s="44"/>
      <c r="E3" s="5"/>
      <c r="F3" s="62" t="s">
        <v>4</v>
      </c>
      <c r="G3" s="63"/>
      <c r="H3" s="63"/>
      <c r="I3" s="63"/>
      <c r="J3" s="64"/>
    </row>
    <row r="4" spans="1:10" ht="15" customHeight="1" x14ac:dyDescent="0.25">
      <c r="A4" s="43"/>
      <c r="B4" s="44"/>
      <c r="C4" s="44"/>
      <c r="D4" s="44"/>
      <c r="E4" s="5"/>
      <c r="F4" s="65"/>
      <c r="G4" s="66"/>
      <c r="H4" s="66"/>
      <c r="I4" s="66"/>
      <c r="J4" s="67"/>
    </row>
    <row r="5" spans="1:10" ht="15" customHeight="1" x14ac:dyDescent="0.25">
      <c r="A5" s="43"/>
      <c r="B5" s="44"/>
      <c r="C5" s="44"/>
      <c r="D5" s="44"/>
      <c r="E5" s="5"/>
      <c r="F5" s="65"/>
      <c r="G5" s="66"/>
      <c r="H5" s="66"/>
      <c r="I5" s="66"/>
      <c r="J5" s="67"/>
    </row>
    <row r="6" spans="1:10" x14ac:dyDescent="0.25">
      <c r="A6" s="43"/>
      <c r="B6" s="44"/>
      <c r="C6" s="44"/>
      <c r="D6" s="44"/>
      <c r="E6" s="5"/>
      <c r="F6" s="68" t="s">
        <v>5</v>
      </c>
      <c r="G6" s="69"/>
      <c r="H6" s="69"/>
      <c r="I6" s="69"/>
      <c r="J6" s="70"/>
    </row>
    <row r="7" spans="1:10" ht="15" customHeight="1" x14ac:dyDescent="0.25">
      <c r="A7" s="33" t="s">
        <v>0</v>
      </c>
      <c r="B7" s="34"/>
      <c r="C7" s="34"/>
      <c r="D7" s="34"/>
      <c r="E7" s="35"/>
      <c r="F7" s="36" t="s">
        <v>19</v>
      </c>
      <c r="G7" s="37"/>
      <c r="H7" s="52"/>
      <c r="I7" s="50"/>
      <c r="J7" s="51"/>
    </row>
    <row r="8" spans="1:10" x14ac:dyDescent="0.25">
      <c r="A8" s="33"/>
      <c r="B8" s="34"/>
      <c r="C8" s="34"/>
      <c r="D8" s="34"/>
      <c r="E8" s="35"/>
      <c r="F8" t="s">
        <v>27</v>
      </c>
      <c r="H8" s="52"/>
      <c r="I8" s="50"/>
      <c r="J8" s="51"/>
    </row>
    <row r="9" spans="1:10" ht="15" customHeight="1" x14ac:dyDescent="0.25">
      <c r="A9" s="33"/>
      <c r="B9" s="34"/>
      <c r="C9" s="34"/>
      <c r="D9" s="34"/>
      <c r="E9" s="35"/>
      <c r="F9" s="36" t="s">
        <v>20</v>
      </c>
      <c r="G9" s="37"/>
      <c r="H9" s="52"/>
      <c r="I9" s="50"/>
      <c r="J9" s="51"/>
    </row>
    <row r="10" spans="1:10" x14ac:dyDescent="0.25">
      <c r="A10" s="4"/>
      <c r="E10" s="5"/>
      <c r="F10" s="8" t="s">
        <v>21</v>
      </c>
      <c r="G10" s="9"/>
      <c r="H10" s="52"/>
      <c r="I10" s="50"/>
      <c r="J10" s="51"/>
    </row>
    <row r="11" spans="1:10" x14ac:dyDescent="0.25">
      <c r="A11" s="10"/>
      <c r="B11" s="11"/>
      <c r="C11" s="11"/>
      <c r="D11" s="11"/>
      <c r="E11" s="7"/>
      <c r="F11" s="8" t="s">
        <v>22</v>
      </c>
      <c r="G11" s="9"/>
      <c r="H11" s="52"/>
      <c r="B12" s="45"/>
      <c r="C12" s="45"/>
      <c r="D12" s="45"/>
      <c r="E12" s="46"/>
      <c r="F12" s="47" t="s">
        <v>6</v>
      </c>
      <c r="G12" s="50" t="s">
        <v>32</v>
      </c>
      <c r="H12" s="50"/>
      <c r="I12" s="50"/>
      <c r="J12" s="51"/>
    </row>
    <row r="13" spans="1:10" x14ac:dyDescent="0.25">
      <c r="A13" s="13"/>
      <c r="B13" s="45"/>
      <c r="C13" s="45"/>
      <c r="D13" s="45"/>
      <c r="E13" s="46"/>
      <c r="F13" s="48"/>
      <c r="G13" s="50" t="s">
        <v>33</v>
      </c>
      <c r="H13" s="50"/>
      <c r="I13" s="50"/>
      <c r="J13" s="51"/>
    </row>
    <row r="14" spans="1:10" x14ac:dyDescent="0.25">
      <c r="A14" s="13"/>
      <c r="B14" s="45"/>
      <c r="C14" s="45"/>
      <c r="D14" s="45"/>
      <c r="E14" s="46"/>
      <c r="F14" s="48"/>
      <c r="G14" s="50" t="s">
        <v>34</v>
      </c>
      <c r="H14" s="50"/>
      <c r="I14" s="50"/>
      <c r="J14" s="51"/>
    </row>
    <row r="15" spans="1:10" x14ac:dyDescent="0.25">
      <c r="A15" s="14"/>
      <c r="B15" s="45"/>
      <c r="C15" s="45"/>
      <c r="D15" s="45"/>
      <c r="E15" s="46"/>
      <c r="F15" s="49"/>
      <c r="G15" s="50"/>
      <c r="H15" s="50"/>
      <c r="I15" s="50"/>
      <c r="J15" s="51"/>
    </row>
    <row r="16" spans="1:10" ht="21" customHeight="1" x14ac:dyDescent="0.25">
      <c r="A16" s="15" t="s">
        <v>7</v>
      </c>
      <c r="B16" s="16" t="s">
        <v>8</v>
      </c>
      <c r="C16" s="53" t="s">
        <v>11</v>
      </c>
      <c r="D16" s="53"/>
      <c r="E16" s="53"/>
      <c r="F16" s="53"/>
      <c r="G16" s="54" t="s">
        <v>10</v>
      </c>
      <c r="H16" s="55"/>
      <c r="I16" s="16" t="s">
        <v>9</v>
      </c>
      <c r="J16" s="17" t="s">
        <v>29</v>
      </c>
    </row>
    <row r="17" spans="1:10" ht="20.100000000000001" customHeight="1" x14ac:dyDescent="0.25">
      <c r="A17" s="1"/>
      <c r="B17" s="1"/>
      <c r="C17" s="32"/>
      <c r="D17" s="32"/>
      <c r="E17" s="32"/>
      <c r="F17" s="32"/>
      <c r="G17" s="31"/>
      <c r="H17" s="31"/>
      <c r="I17" s="18">
        <f>B17*G17</f>
      </c>
      <c r="J17" s="30"/>
    </row>
    <row r="18" spans="1:10" ht="20.100000000000001" customHeight="1" x14ac:dyDescent="0.25">
      <c r="A18" s="1"/>
      <c r="B18" s="1"/>
      <c r="C18" s="32"/>
      <c r="D18" s="32"/>
      <c r="E18" s="32"/>
      <c r="F18" s="32"/>
      <c r="G18" s="31"/>
      <c r="H18" s="31"/>
      <c r="I18" s="18">
        <f t="shared" ref="I18:I30" si="0">B18*G18</f>
        <v>5299.61</v>
      </c>
      <c r="J18" s="30"/>
    </row>
    <row r="19" spans="1:10" ht="20.100000000000001" customHeight="1" x14ac:dyDescent="0.25">
      <c r="A19" s="1"/>
      <c r="B19" s="1"/>
      <c r="C19" s="32"/>
      <c r="D19" s="32"/>
      <c r="E19" s="32"/>
      <c r="F19" s="32"/>
      <c r="G19" s="31"/>
      <c r="H19" s="31"/>
      <c r="I19" s="18">
        <f t="shared" si="0"/>
        <v>191955.94</v>
      </c>
      <c r="J19" s="30"/>
    </row>
    <row r="20" spans="1:10" ht="20.100000000000001" customHeight="1" x14ac:dyDescent="0.25">
      <c r="A20" s="1"/>
      <c r="B20" s="1"/>
      <c r="C20" s="32"/>
      <c r="D20" s="32"/>
      <c r="E20" s="32"/>
      <c r="F20" s="32"/>
      <c r="G20" s="31"/>
      <c r="H20" s="31"/>
      <c r="I20" s="18">
        <f t="shared" si="0"/>
        <v>174281.19</v>
      </c>
      <c r="J20" s="30"/>
    </row>
    <row r="21" spans="1:10" ht="20.100000000000001" customHeight="1" x14ac:dyDescent="0.25">
      <c r="A21" s="1"/>
      <c r="B21" s="1"/>
      <c r="C21" s="32"/>
      <c r="D21" s="32"/>
      <c r="E21" s="32"/>
      <c r="F21" s="32"/>
      <c r="G21" s="31"/>
      <c r="H21" s="31"/>
      <c r="I21" s="18">
        <f t="shared" si="0"/>
        <v>128347.43</v>
      </c>
      <c r="J21" s="30"/>
    </row>
    <row r="22" spans="1:10" ht="20.100000000000001" customHeight="1" x14ac:dyDescent="0.25">
      <c r="A22" s="1"/>
      <c r="B22" s="1"/>
      <c r="C22" s="32"/>
      <c r="D22" s="32"/>
      <c r="E22" s="32"/>
      <c r="F22" s="32"/>
      <c r="G22" s="31"/>
      <c r="H22" s="31"/>
      <c r="I22" s="18">
        <f t="shared" si="0"/>
        <v>26014.36</v>
      </c>
      <c r="J22" s="30"/>
    </row>
    <row r="23" spans="1:10" ht="20.100000000000001" customHeight="1" x14ac:dyDescent="0.25">
      <c r="A23" s="1"/>
      <c r="B23" s="1"/>
      <c r="C23" s="32"/>
      <c r="D23" s="32"/>
      <c r="E23" s="32"/>
      <c r="F23" s="32"/>
      <c r="G23" s="31"/>
      <c r="H23" s="31"/>
      <c r="I23" s="18">
        <f t="shared" si="0"/>
        <v>180603.21</v>
      </c>
      <c r="J23" s="30"/>
    </row>
    <row r="24" spans="1:10" ht="20.100000000000001" customHeight="1" x14ac:dyDescent="0.25">
      <c r="A24" s="1"/>
      <c r="B24" s="1"/>
      <c r="C24" s="32"/>
      <c r="D24" s="32"/>
      <c r="E24" s="32"/>
      <c r="F24" s="32"/>
      <c r="G24" s="31"/>
      <c r="H24" s="31"/>
      <c r="I24" s="18">
        <f t="shared" si="0"/>
        <v>59875.19</v>
      </c>
      <c r="J24" s="30"/>
    </row>
    <row r="25" spans="1:10" ht="20.100000000000001" customHeight="1" x14ac:dyDescent="0.25">
      <c r="A25" s="1"/>
      <c r="B25" s="1"/>
      <c r="C25" s="32"/>
      <c r="D25" s="32"/>
      <c r="E25" s="32"/>
      <c r="F25" s="32"/>
      <c r="G25" s="31"/>
      <c r="H25" s="31"/>
      <c r="I25" s="18">
        <f t="shared" si="0"/>
        <v>97123.95</v>
      </c>
      <c r="J25" s="30"/>
    </row>
    <row r="26" spans="1:10" ht="20.100000000000001" customHeight="1" x14ac:dyDescent="0.25">
      <c r="A26" s="1"/>
      <c r="B26" s="1"/>
      <c r="J26" s="30"/>
      <c r="J27" s="30"/>
      <c r="J28" s="30"/>
      <c r="J29" s="30"/>
      <c r="J30" s="30"/>
      <c r="B31" s="37"/>
      <c r="C31" s="37"/>
      <c r="D31" s="37"/>
      <c r="E31" s="37"/>
      <c r="F31" s="75"/>
      <c r="G31" s="15" t="s">
        <v>12</v>
      </c>
      <c r="H31" s="15"/>
      <c r="I31" s="19">
        <f>SUM(I17:I30)</f>
        <v>894901.21</v>
      </c>
      <c r="J31" s="20"/>
    </row>
    <row r="32" spans="1:10" ht="15" customHeight="1" x14ac:dyDescent="0.25">
      <c r="A32" s="76" t="s">
        <v>30</v>
      </c>
      <c r="B32" s="77"/>
      <c r="C32" s="77"/>
      <c r="D32" s="77"/>
      <c r="E32" s="78"/>
      <c r="F32" s="82" t="s">
        <v>13</v>
      </c>
      <c r="G32" s="83"/>
      <c r="H32" s="83"/>
      <c r="I32" s="83"/>
      <c r="J32" s="84"/>
    </row>
    <row r="33" spans="1:10" x14ac:dyDescent="0.25">
      <c r="A33" s="79"/>
      <c r="B33" s="80"/>
      <c r="C33" s="80"/>
      <c r="D33" s="80"/>
      <c r="E33" s="81"/>
      <c r="F33" s="82"/>
      <c r="G33" s="83"/>
      <c r="H33" s="83"/>
      <c r="I33" s="83"/>
      <c r="J33" s="84"/>
    </row>
    <row r="34" spans="1:10" ht="12" customHeight="1" x14ac:dyDescent="0.25">
      <c r="A34" s="79"/>
      <c r="B34" s="80"/>
      <c r="C34" s="80"/>
      <c r="D34" s="80"/>
      <c r="E34" s="81"/>
      <c r="G34" s="44"/>
      <c r="H34" s="44"/>
      <c r="I34" s="44"/>
      <c r="J34" s="84"/>
    </row>
    <row r="35" spans="1:10" x14ac:dyDescent="0.25">
      <c r="A35" s="79"/>
      <c r="B35" s="80"/>
      <c r="C35" s="80"/>
      <c r="D35" s="80"/>
      <c r="E35" s="81"/>
      <c r="F35" s="4" t="s">
        <v>14</v>
      </c>
      <c r="G35" s="85"/>
      <c r="H35" s="85"/>
      <c r="I35" s="85"/>
      <c r="J35" s="70"/>
    </row>
    <row r="36" spans="1:10" ht="14.25" customHeight="1" x14ac:dyDescent="0.25">
      <c r="A36" s="79"/>
      <c r="B36" s="80"/>
      <c r="C36" s="80"/>
      <c r="D36" s="80"/>
      <c r="E36" s="81"/>
      <c r="F36" s="4"/>
      <c r="G36" s="74" t="s">
        <v>15</v>
      </c>
      <c r="H36" s="74"/>
      <c r="I36" s="74"/>
      <c r="J36" s="5"/>
    </row>
    <row r="37" spans="1:10" ht="17.25" customHeight="1" x14ac:dyDescent="0.25">
      <c r="A37" s="21" t="s">
        <v>18</v>
      </c>
      <c r="B37" s="22"/>
      <c r="C37" s="22"/>
      <c r="D37" s="22"/>
      <c r="E37" s="23"/>
      <c r="F37" s="4" t="s">
        <v>23</v>
      </c>
      <c r="G37" s="85"/>
      <c r="H37" s="85"/>
      <c r="I37" s="85"/>
      <c r="J37" s="70"/>
    </row>
    <row r="38" spans="1:10" ht="9.75" customHeight="1" x14ac:dyDescent="0.25">
      <c r="A38" s="4"/>
      <c r="E38" s="5"/>
      <c r="F38" s="4"/>
      <c r="G38" s="73" t="s">
        <v>16</v>
      </c>
      <c r="H38" s="73"/>
      <c r="I38" s="73"/>
      <c r="J38" s="5"/>
    </row>
    <row r="39" spans="1:10" ht="10.5" customHeight="1" x14ac:dyDescent="0.25">
      <c r="A39" s="24" t="s">
        <v>24</v>
      </c>
      <c r="E39" s="5"/>
      <c r="J39" s="5"/>
    </row>
    <row r="40" spans="1:10" ht="5.25" customHeight="1" x14ac:dyDescent="0.25">
      <c r="A40" s="24"/>
      <c r="E40" s="5"/>
      <c r="J40" s="5"/>
    </row>
    <row r="41" spans="1:10" x14ac:dyDescent="0.25">
      <c r="A41" s="25"/>
      <c r="B41" s="26" t="s">
        <v>25</v>
      </c>
      <c r="C41" s="26"/>
      <c r="D41" s="26"/>
      <c r="E41" s="27"/>
      <c r="F41" s="4" t="s">
        <v>17</v>
      </c>
      <c r="G41" s="69"/>
      <c r="H41" s="85"/>
      <c r="I41" s="85"/>
      <c r="J41" s="70"/>
    </row>
    <row r="42" spans="1:10" x14ac:dyDescent="0.25">
      <c r="A42" s="28"/>
      <c r="B42" s="26" t="s">
        <v>26</v>
      </c>
      <c r="C42" s="29"/>
      <c r="D42" s="29"/>
      <c r="E42" s="5"/>
      <c r="F42" s="4"/>
      <c r="J42" s="5"/>
    </row>
    <row r="43" spans="1:10" ht="4.5" customHeight="1" x14ac:dyDescent="0.25">
      <c r="A43" s="10"/>
      <c r="B43" s="11"/>
      <c r="C43" s="11"/>
      <c r="D43" s="11"/>
      <c r="E43" s="7"/>
      <c r="F43" s="10"/>
      <c r="G43" s="11"/>
      <c r="H43" s="11"/>
      <c r="I43" s="11"/>
      <c r="J43" s="7"/>
    </row>
  </sheetData>
  <sheetProtection algorithmName="SHA-512" hashValue="l/BHvvCPSFVazLMwXfU2PZzky7aJlW6tZHhHPS1ve5zAdEc70RLkamuoD6c85SjrKiGv5Uuz4KU0qrIWNem97g==" saltValue="jYBW91K0D5Iz5YsFQPWxlQ==" spinCount="100000" sheet="1" selectLockedCells="1"/>
  <mergeCells count="60">
    <mergeCell ref="F32:J33"/>
    <mergeCell ref="G34:J35"/>
    <mergeCell ref="G37:J37"/>
    <mergeCell ref="G41:J41"/>
    <mergeCell ref="G23:H23"/>
    <mergeCell ref="G24:H24"/>
    <mergeCell ref="G25:H25"/>
    <mergeCell ref="G38:I38"/>
    <mergeCell ref="G36:I36"/>
    <mergeCell ref="C29:F29"/>
    <mergeCell ref="C30:F30"/>
    <mergeCell ref="A31:F31"/>
    <mergeCell ref="A32:E36"/>
    <mergeCell ref="C28:F28"/>
    <mergeCell ref="G27:H27"/>
    <mergeCell ref="C23:F23"/>
    <mergeCell ref="F1:J1"/>
    <mergeCell ref="G2:J2"/>
    <mergeCell ref="F3:J5"/>
    <mergeCell ref="F6:J6"/>
    <mergeCell ref="H7:J7"/>
    <mergeCell ref="C22:F22"/>
    <mergeCell ref="G21:H21"/>
    <mergeCell ref="G22:H22"/>
    <mergeCell ref="G15:J15"/>
    <mergeCell ref="H11:J11"/>
    <mergeCell ref="G13:J13"/>
    <mergeCell ref="G14:J14"/>
    <mergeCell ref="C16:F16"/>
    <mergeCell ref="G16:H16"/>
    <mergeCell ref="G17:H17"/>
    <mergeCell ref="C18:F18"/>
    <mergeCell ref="G18:H18"/>
    <mergeCell ref="C26:F26"/>
    <mergeCell ref="C27:F27"/>
    <mergeCell ref="A1:D6"/>
    <mergeCell ref="C17:F17"/>
    <mergeCell ref="B15:E15"/>
    <mergeCell ref="F12:F15"/>
    <mergeCell ref="F7:G7"/>
    <mergeCell ref="F9:G9"/>
    <mergeCell ref="A7:E9"/>
    <mergeCell ref="B12:E12"/>
    <mergeCell ref="B13:E13"/>
    <mergeCell ref="B14:E14"/>
    <mergeCell ref="G12:J12"/>
    <mergeCell ref="H10:J10"/>
    <mergeCell ref="H8:J8"/>
    <mergeCell ref="H9:J9"/>
    <mergeCell ref="G26:H26"/>
    <mergeCell ref="G20:H20"/>
    <mergeCell ref="C19:F19"/>
    <mergeCell ref="G19:H19"/>
    <mergeCell ref="G28:H28"/>
    <mergeCell ref="G29:H29"/>
    <mergeCell ref="G30:H30"/>
    <mergeCell ref="C20:F20"/>
    <mergeCell ref="C21:F21"/>
    <mergeCell ref="C24:F24"/>
    <mergeCell ref="C25:F25"/>
  </mergeCells>
  <pageMargins left="0.45" right="0.2" top="0.75" bottom="0.5" header="0.3" footer="0.3"/>
  <pageSetup orientation="portrait" scale="100" fitToWidth="1" fitToHeight="1" r:id="rId1"/>
  <drawing r:id="rId2"/>
  <legacyDrawing r:id="rId3"/>
  <mc:AlternateContent xmlns:mc="http://schemas.openxmlformats.org/markup-compatibility/2006">
    <mc:Choice Requires="x14">
      <controls>
        <mc:AlternateContent xmlns:mc="http://schemas.openxmlformats.org/markup-compatibility/2006">
          <mc:Choice Requires="x14">
            <control shapeId="1085" r:id="rId4" name="Check Box 61">
              <controlPr defaultSize="0" autoFill="0" autoLine="0" autoPict="0">
                <anchor moveWithCells="1">
                  <from>
                    <xdr:col>4</xdr:col>
                    <xdr:colOff>542925</xdr:colOff>
                    <xdr:row>30</xdr:row>
                    <xdr:rowOff>28575</xdr:rowOff>
                  </from>
                  <to>
                    <xdr:col>5</xdr:col>
                    <xdr:colOff>381000</xdr:colOff>
                    <xdr:row>30</xdr:row>
                    <xdr:rowOff>171450</xdr:rowOff>
                  </to>
                </anchor>
              </controlPr>
            </control>
          </mc:Choice>
        </mc:AlternateContent>
        <mc:AlternateContent xmlns:mc="http://schemas.openxmlformats.org/markup-compatibility/2006">
          <mc:Choice Requires="x14">
            <control shapeId="1087" r:id="rId5" name="Check Box 63">
              <controlPr defaultSize="0" autoFill="0" autoLine="0" autoPict="0">
                <anchor moveWithCells="1">
                  <from>
                    <xdr:col>1</xdr:col>
                    <xdr:colOff>200025</xdr:colOff>
                    <xdr:row>30</xdr:row>
                    <xdr:rowOff>28575</xdr:rowOff>
                  </from>
                  <to>
                    <xdr:col>2</xdr:col>
                    <xdr:colOff>238125</xdr:colOff>
                    <xdr:row>30</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Purchase Order</dc:title>
  <dc:creator>Jaren Eells</dc:creator>
  <cp:lastModifiedBy>Jaren Eells</cp:lastModifiedBy>
  <cp:lastPrinted>2012-10-20T21:14:26Z</cp:lastPrinted>
  <dcterms:created xsi:type="dcterms:W3CDTF">2007-06-27T22:21:53Z</dcterms:created>
  <dcterms:modified xsi:type="dcterms:W3CDTF">2026-10-20T16:29:30Z</dcterms:modified>
</cp:coreProperties>
</file>